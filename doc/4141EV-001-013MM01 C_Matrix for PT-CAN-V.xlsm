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13"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zhangzhenbo/Desktop/fenggang/projects/battery_fault_prediction/"/>
    </mc:Choice>
  </mc:AlternateContent>
  <xr:revisionPtr revIDLastSave="0" documentId="13_ncr:1_{C0F1D040-4E95-414B-9FEA-599EDE28866F}" xr6:coauthVersionLast="46" xr6:coauthVersionMax="46" xr10:uidLastSave="{00000000-0000-0000-0000-000000000000}"/>
  <bookViews>
    <workbookView xWindow="0" yWindow="0" windowWidth="33600" windowHeight="21000" tabRatio="652" activeTab="1" xr2:uid="{00000000-000D-0000-FFFF-FFFF00000000}"/>
  </bookViews>
  <sheets>
    <sheet name="First_Page" sheetId="5" r:id="rId1"/>
    <sheet name="PT_Matrix" sheetId="1" r:id="rId2"/>
    <sheet name="Diag_Message" sheetId="9" r:id="rId3"/>
    <sheet name="Private_Message" sheetId="12" r:id="rId4"/>
    <sheet name="Explanation" sheetId="13" r:id="rId5"/>
    <sheet name="负载率" sheetId="14" state="hidden" r:id="rId6"/>
  </sheets>
  <definedNames>
    <definedName name="_xlnm._FilterDatabase" localSheetId="1" hidden="1">PT_Matrix!$2:$646</definedName>
    <definedName name="OLE_LINK5" localSheetId="0">First_Page!$F$30</definedName>
    <definedName name="_xlnm.Print_Area" localSheetId="1">PT_Matrix!$B$2:$AT$8</definedName>
  </definedNames>
  <calcPr calcId="191029"/>
</workbook>
</file>

<file path=xl/calcChain.xml><?xml version="1.0" encoding="utf-8"?>
<calcChain xmlns="http://schemas.openxmlformats.org/spreadsheetml/2006/main">
  <c r="B10" i="14" l="1"/>
  <c r="B9" i="14"/>
  <c r="B8" i="14"/>
  <c r="B7" i="14"/>
  <c r="B6" i="14"/>
  <c r="B5" i="14"/>
  <c r="B4" i="14"/>
  <c r="B3" i="14"/>
  <c r="F6" i="14" l="1"/>
</calcChain>
</file>

<file path=xl/sharedStrings.xml><?xml version="1.0" encoding="utf-8"?>
<sst xmlns="http://schemas.openxmlformats.org/spreadsheetml/2006/main" count="19206" uniqueCount="3159">
  <si>
    <t>Revision History</t>
  </si>
  <si>
    <t>Issue No.</t>
  </si>
  <si>
    <t>Date</t>
  </si>
  <si>
    <t>Receiver</t>
    <phoneticPr fontId="8" type="noConversion"/>
  </si>
  <si>
    <t>Comment</t>
    <phoneticPr fontId="8" type="noConversion"/>
  </si>
  <si>
    <t>Result</t>
    <phoneticPr fontId="8" type="noConversion"/>
  </si>
  <si>
    <t>J</t>
    <phoneticPr fontId="16" type="noConversion"/>
  </si>
  <si>
    <t>s</t>
  </si>
  <si>
    <t>Transmitter</t>
    <phoneticPr fontId="6" type="noConversion"/>
  </si>
  <si>
    <t>Message Name</t>
    <phoneticPr fontId="6" type="noConversion"/>
  </si>
  <si>
    <t>Message Type</t>
    <phoneticPr fontId="8" type="noConversion"/>
  </si>
  <si>
    <t>DLC</t>
    <phoneticPr fontId="8" type="noConversion"/>
  </si>
  <si>
    <t>period [ms]</t>
    <phoneticPr fontId="8" type="noConversion"/>
  </si>
  <si>
    <t>Name</t>
  </si>
  <si>
    <t>Author</t>
  </si>
  <si>
    <t>Reviewer</t>
  </si>
  <si>
    <t xml:space="preserve">Approver </t>
  </si>
  <si>
    <t xml:space="preserve"> Improving Little by Little Everyday</t>
    <phoneticPr fontId="8" type="noConversion"/>
  </si>
  <si>
    <t>© GWM Co., Ltd. all rights reserved</t>
    <phoneticPr fontId="8" type="noConversion"/>
  </si>
  <si>
    <t>Result</t>
    <phoneticPr fontId="8" type="noConversion"/>
  </si>
  <si>
    <t>NO.</t>
    <phoneticPr fontId="8" type="noConversion"/>
  </si>
  <si>
    <t>Transmitter</t>
    <phoneticPr fontId="0" type="noConversion"/>
  </si>
  <si>
    <t>Receiver</t>
    <phoneticPr fontId="0" type="noConversion"/>
  </si>
  <si>
    <t>Used by function</t>
    <phoneticPr fontId="0" type="noConversion"/>
  </si>
  <si>
    <t>Message Type</t>
    <phoneticPr fontId="0" type="noConversion"/>
  </si>
  <si>
    <t>period
[ms]</t>
    <phoneticPr fontId="0" type="noConversion"/>
  </si>
  <si>
    <t>DLC</t>
    <phoneticPr fontId="0" type="noConversion"/>
  </si>
  <si>
    <t>Comment</t>
    <phoneticPr fontId="8" type="noConversion"/>
  </si>
  <si>
    <t>Warning:Completely fill in the information of messages used by ECU itself (e.g., messages not defined by GWM, such as for flash, calibration, etc.)</t>
    <phoneticPr fontId="8" type="noConversion"/>
  </si>
  <si>
    <t>No.</t>
    <phoneticPr fontId="8" type="noConversion"/>
  </si>
  <si>
    <t>Message ID</t>
    <phoneticPr fontId="0" type="noConversion"/>
  </si>
  <si>
    <t>Message ID</t>
    <phoneticPr fontId="8" type="noConversion"/>
  </si>
  <si>
    <t>Receiver</t>
    <phoneticPr fontId="6" type="noConversion"/>
  </si>
  <si>
    <t>No.</t>
    <phoneticPr fontId="8" type="noConversion"/>
  </si>
  <si>
    <t>Item</t>
    <phoneticPr fontId="8" type="noConversion"/>
  </si>
  <si>
    <t>Description</t>
    <phoneticPr fontId="8" type="noConversion"/>
  </si>
  <si>
    <t>Reference(example)</t>
    <phoneticPr fontId="8" type="noConversion"/>
  </si>
  <si>
    <t>Remark</t>
    <phoneticPr fontId="8" type="noConversion"/>
  </si>
  <si>
    <t>Transmitter</t>
    <phoneticPr fontId="8" type="noConversion"/>
  </si>
  <si>
    <t>Name of the ECU sending a specific signal.</t>
    <phoneticPr fontId="8" type="noConversion"/>
  </si>
  <si>
    <t>ABS</t>
    <phoneticPr fontId="8" type="noConversion"/>
  </si>
  <si>
    <t>Receiver</t>
    <phoneticPr fontId="8" type="noConversion"/>
  </si>
  <si>
    <t>Name of the ECU(s) receiving a specific signal.</t>
    <phoneticPr fontId="8" type="noConversion"/>
  </si>
  <si>
    <t>IP</t>
    <phoneticPr fontId="8" type="noConversion"/>
  </si>
  <si>
    <t>Signal name</t>
    <phoneticPr fontId="8" type="noConversion"/>
  </si>
  <si>
    <t>Name of signal. The signal name will be visible in API and in CAN bus monitoring tool.. Note! Spaces are not allowed in the signal names.</t>
    <phoneticPr fontId="8" type="noConversion"/>
  </si>
  <si>
    <t>VehicleSpd</t>
    <phoneticPr fontId="8" type="noConversion"/>
  </si>
  <si>
    <t>Signal description</t>
    <phoneticPr fontId="8" type="noConversion"/>
  </si>
  <si>
    <t>A short description of the signal.</t>
    <phoneticPr fontId="8" type="noConversion"/>
  </si>
  <si>
    <t>Current Vehicle speed
information (when v &lt; 1
kph, set value to 0.)</t>
    <phoneticPr fontId="8" type="noConversion"/>
  </si>
  <si>
    <t>Used by function</t>
    <phoneticPr fontId="8" type="noConversion"/>
  </si>
  <si>
    <t xml:space="preserve">What is the CAN signal used for and which control function uses it. Please give a brief description of the control function. </t>
    <phoneticPr fontId="8" type="noConversion"/>
  </si>
  <si>
    <t xml:space="preserve">"VehicleSpd" is used by  IP to display current vehicle speed </t>
    <phoneticPr fontId="0" type="noConversion"/>
  </si>
  <si>
    <t>Message Name</t>
    <phoneticPr fontId="8" type="noConversion"/>
  </si>
  <si>
    <t>Name of a specific CAN frame containing the signal. 
Note: Spaces are not allowed in the message names</t>
    <phoneticPr fontId="8" type="noConversion"/>
  </si>
  <si>
    <t>ABS_1</t>
    <phoneticPr fontId="8" type="noConversion"/>
  </si>
  <si>
    <t>Message ID</t>
    <phoneticPr fontId="8" type="noConversion"/>
  </si>
  <si>
    <t xml:space="preserve">Hexadecimal value of the specific CAN frame’s CAN Identifier. The format shall be 0x..   </t>
    <phoneticPr fontId="8" type="noConversion"/>
  </si>
  <si>
    <t>0x13B</t>
    <phoneticPr fontId="8" type="noConversion"/>
  </si>
  <si>
    <t>Message Type</t>
    <phoneticPr fontId="8" type="noConversion"/>
  </si>
  <si>
    <t>Message send Type. 
Allowed values: P - Periodic; E - Event; M - Mixed Periodic/Event</t>
    <phoneticPr fontId="8" type="noConversion"/>
  </si>
  <si>
    <t>periodic</t>
    <phoneticPr fontId="8" type="noConversion"/>
  </si>
  <si>
    <t>Signal Type</t>
    <phoneticPr fontId="8" type="noConversion"/>
  </si>
  <si>
    <t>The signal transmission type is entered here. The
following types are allowed: P - Periodic; E - Event; M - Mixed Periodic/Event.
when the Message type is M,but the signal in the CAN frame may be P.</t>
    <phoneticPr fontId="8" type="noConversion"/>
  </si>
  <si>
    <t>Detailed description of E/M Messages' sending behavior Tx</t>
    <phoneticPr fontId="8" type="noConversion"/>
  </si>
  <si>
    <t>The transmitter's behavior. If the message type is E or M, then the Transmitter detailedly describes when and how to send E or M Messages.</t>
    <phoneticPr fontId="8" type="noConversion"/>
  </si>
  <si>
    <t>When the events occurred, if the event is caused by the signal "PEPS_StrtAuthReq", event message PEPS1 only be sent once, otherwise PEPS1 will be sent 5 times(50ms).</t>
    <phoneticPr fontId="8" type="noConversion"/>
  </si>
  <si>
    <t>Detailed description of E/M Messages' sending behavior Rx</t>
    <phoneticPr fontId="8" type="noConversion"/>
  </si>
  <si>
    <t>The Receiver's requirement. If the message type is E or M, then the Receiver detailedly describes it's requirement of when and how to send E or M Messages.</t>
    <phoneticPr fontId="8" type="noConversion"/>
  </si>
  <si>
    <t>When the events occurred,  PEPS1 should be sent 5 times(50ms).</t>
    <phoneticPr fontId="8" type="noConversion"/>
  </si>
  <si>
    <t>period</t>
    <phoneticPr fontId="8" type="noConversion"/>
  </si>
  <si>
    <t>Period time (ms) for message type M and P;
For the mixed/event message, if the event happens, it must be transmitted 5 times continuously, and the cycle time of the 5 continuous message must be defined(if the ECU has special requirement,eg.when event happens,it transmitted only once, this special situation must be described in Comment column ).</t>
    <phoneticPr fontId="8" type="noConversion"/>
  </si>
  <si>
    <t xml:space="preserve">Example:
For the mixed message, it is defined as 500/20, When no event happens,the Period time is 500ms,When the event happens,the cycle time of the 5 continuous message  is 20ms;
For the event message, it is defined as E/20, When no event happens,no signal Transmitted,When the event happens,the Period time is 20ms;
</t>
    <phoneticPr fontId="8" type="noConversion"/>
  </si>
  <si>
    <t>Signal latency budget Tx</t>
    <phoneticPr fontId="8" type="noConversion"/>
  </si>
  <si>
    <t>The transmitting ECU's Tx latency budget. Tx signal latency is the transmitting ECU's internal latency. It is from the time the signal is sampled (or measured or calculated) to the time the ECU attempts to send the signal on CAN.</t>
    <phoneticPr fontId="8" type="noConversion"/>
  </si>
  <si>
    <t>Signal latency budget Rx</t>
    <phoneticPr fontId="8" type="noConversion"/>
  </si>
  <si>
    <t>The receiving ECU's Rx latency requirement. Rx latency is from the time the signal is sampled (or measured or calculated) to the time the signal has arrived to the CAN driver of the receiving ECU.</t>
    <phoneticPr fontId="8" type="noConversion"/>
  </si>
  <si>
    <r>
      <t>D</t>
    </r>
    <r>
      <rPr>
        <sz val="10"/>
        <rFont val="Arial"/>
        <family val="2"/>
      </rPr>
      <t>LC</t>
    </r>
    <phoneticPr fontId="8" type="noConversion"/>
  </si>
  <si>
    <t>Data Length Code defining the shortest accepted length of a CAN frame received, and the length of a CAN frame to be transmitted. The dlc value used shall be 8</t>
    <phoneticPr fontId="8" type="noConversion"/>
  </si>
  <si>
    <t>Msb</t>
    <phoneticPr fontId="8" type="noConversion"/>
  </si>
  <si>
    <t>Location of the signal's most significant bit in the CAN frame. 
Note: bit #63 = [byte 1, bit 7] in the CAN frame, and bit# 0 = [byte 8, bit 0] in the CAN frame. A CAN frame shorter than 8 bytes will always have bit#63 in the first byte.</t>
    <phoneticPr fontId="8" type="noConversion"/>
  </si>
  <si>
    <t>Lsb</t>
    <phoneticPr fontId="8" type="noConversion"/>
  </si>
  <si>
    <t>Location of the signal's least significant bit in the CAN frame.</t>
    <phoneticPr fontId="8" type="noConversion"/>
  </si>
  <si>
    <t>Size</t>
    <phoneticPr fontId="8" type="noConversion"/>
  </si>
  <si>
    <t>Size of the signal in number of bits</t>
    <phoneticPr fontId="8" type="noConversion"/>
  </si>
  <si>
    <r>
      <t>1</t>
    </r>
    <r>
      <rPr>
        <sz val="10"/>
        <rFont val="Arial"/>
        <family val="2"/>
      </rPr>
      <t>6bits</t>
    </r>
    <phoneticPr fontId="8" type="noConversion"/>
  </si>
  <si>
    <t>Byte Orde</t>
    <phoneticPr fontId="8" type="noConversion"/>
  </si>
  <si>
    <t>Motorola or Intel</t>
    <phoneticPr fontId="8" type="noConversion"/>
  </si>
  <si>
    <t>Motorola</t>
    <phoneticPr fontId="8" type="noConversion"/>
  </si>
  <si>
    <t>Data type</t>
    <phoneticPr fontId="8" type="noConversion"/>
  </si>
  <si>
    <r>
      <t>This column indicates the signal data type. Allowed data types are: "Unsigned/Signed"</t>
    </r>
    <r>
      <rPr>
        <sz val="10"/>
        <rFont val="Arial"/>
        <family val="2"/>
      </rPr>
      <t>.</t>
    </r>
    <phoneticPr fontId="8" type="noConversion"/>
  </si>
  <si>
    <t>Unsigned</t>
    <phoneticPr fontId="8" type="noConversion"/>
  </si>
  <si>
    <t>First valid signal duration(ms) Tx</t>
    <phoneticPr fontId="8" type="noConversion"/>
  </si>
  <si>
    <t>The budget duration of transmitting ECU from its start of CAN initialization to  transmitting the first valid signal.</t>
    <phoneticPr fontId="8" type="noConversion"/>
  </si>
  <si>
    <t>1s</t>
    <phoneticPr fontId="8" type="noConversion"/>
  </si>
  <si>
    <t>First valid signal duration(ms) Rx</t>
    <phoneticPr fontId="8" type="noConversion"/>
  </si>
  <si>
    <t>The requirement duration of receiving ECU from the transmiting ECU's start of CAN initialization to  transmitting the first valid signal.</t>
    <phoneticPr fontId="8" type="noConversion"/>
  </si>
  <si>
    <t>1.5s</t>
    <phoneticPr fontId="8" type="noConversion"/>
  </si>
  <si>
    <t>Default Initialised value</t>
    <phoneticPr fontId="8" type="noConversion"/>
  </si>
  <si>
    <t>This column is used to enter the default value at start-up, or when no signal is available. The value shall be entered in computerized value in hex format.</t>
    <phoneticPr fontId="8" type="noConversion"/>
  </si>
  <si>
    <t>0h</t>
    <phoneticPr fontId="8" type="noConversion"/>
  </si>
  <si>
    <t>Alternative Signal Value</t>
    <phoneticPr fontId="8" type="noConversion"/>
  </si>
  <si>
    <t>The alternative signal value: if physical measured or calculated values are not any longer available. This alternative signal has a value out of the specified signal value range. It is also allowed to use the last measured value as alternative signal value.
This Value is entered here by Transmitter ,then receiver check it.The value shall be entered in computerized value in hex format.</t>
    <phoneticPr fontId="8" type="noConversion"/>
  </si>
  <si>
    <t>Last value</t>
    <phoneticPr fontId="8" type="noConversion"/>
  </si>
  <si>
    <r>
      <t>F</t>
    </r>
    <r>
      <rPr>
        <sz val="10"/>
        <rFont val="Arial"/>
        <family val="2"/>
      </rPr>
      <t>actor</t>
    </r>
    <phoneticPr fontId="8" type="noConversion"/>
  </si>
  <si>
    <t xml:space="preserve">The scaling factor of the signal. The value is in engineering unit per bit. </t>
    <phoneticPr fontId="8" type="noConversion"/>
  </si>
  <si>
    <t>Measured Resolution  Tx</t>
    <phoneticPr fontId="8" type="noConversion"/>
  </si>
  <si>
    <t xml:space="preserve">This is the resolution of the signal after signal conditioning (Linearization, filtering…). For the transmitting ECU the obtainable resolution should be entered. </t>
    <phoneticPr fontId="8" type="noConversion"/>
  </si>
  <si>
    <t>0.05 km/h</t>
    <phoneticPr fontId="8" type="noConversion"/>
  </si>
  <si>
    <r>
      <t xml:space="preserve">Measured Resolution  </t>
    </r>
    <r>
      <rPr>
        <sz val="10"/>
        <rFont val="Arial"/>
        <family val="2"/>
      </rPr>
      <t>R</t>
    </r>
    <r>
      <rPr>
        <sz val="10"/>
        <rFont val="Arial"/>
        <family val="2"/>
      </rPr>
      <t>x</t>
    </r>
    <phoneticPr fontId="8" type="noConversion"/>
  </si>
  <si>
    <t>This is the resolution of the signal after signal conditioning (Linearization, filtering…).  For the receiving ECU the required resolution should be entered.</t>
    <phoneticPr fontId="8" type="noConversion"/>
  </si>
  <si>
    <t>0.05625 km/h</t>
    <phoneticPr fontId="8" type="noConversion"/>
  </si>
  <si>
    <t>Accuracy Tx</t>
    <phoneticPr fontId="8" type="noConversion"/>
  </si>
  <si>
    <t>The signal's accuracy of the transmitting ECU's budget.</t>
    <phoneticPr fontId="8" type="noConversion"/>
  </si>
  <si>
    <t>&lt;0.01 km/h</t>
    <phoneticPr fontId="8" type="noConversion"/>
  </si>
  <si>
    <r>
      <t xml:space="preserve">Accuracy </t>
    </r>
    <r>
      <rPr>
        <sz val="10"/>
        <rFont val="Arial"/>
        <family val="2"/>
      </rPr>
      <t>R</t>
    </r>
    <r>
      <rPr>
        <sz val="10"/>
        <rFont val="Arial"/>
        <family val="2"/>
      </rPr>
      <t>x</t>
    </r>
    <phoneticPr fontId="8" type="noConversion"/>
  </si>
  <si>
    <t>The signal's accuracy of the receiving ECU's requirement.</t>
    <phoneticPr fontId="8" type="noConversion"/>
  </si>
  <si>
    <t>&lt;0.05625 km/h</t>
    <phoneticPr fontId="8" type="noConversion"/>
  </si>
  <si>
    <t>Offset</t>
    <phoneticPr fontId="8" type="noConversion"/>
  </si>
  <si>
    <t xml:space="preserve">The offset of the signal value. </t>
    <phoneticPr fontId="8" type="noConversion"/>
  </si>
  <si>
    <t>P-Minimum</t>
    <phoneticPr fontId="8" type="noConversion"/>
  </si>
  <si>
    <r>
      <t>The Minimum physical value</t>
    </r>
    <r>
      <rPr>
        <sz val="10"/>
        <color rgb="FFFF0000"/>
        <rFont val="Arial"/>
        <family val="2"/>
      </rPr>
      <t/>
    </r>
    <phoneticPr fontId="8" type="noConversion"/>
  </si>
  <si>
    <t>0km/h</t>
    <phoneticPr fontId="8" type="noConversion"/>
  </si>
  <si>
    <t>P-Maximum</t>
    <phoneticPr fontId="8" type="noConversion"/>
  </si>
  <si>
    <r>
      <t>The Maximum  physical value</t>
    </r>
    <r>
      <rPr>
        <sz val="10"/>
        <color rgb="FFFF0000"/>
        <rFont val="Arial"/>
        <family val="2"/>
      </rPr>
      <t xml:space="preserve"> </t>
    </r>
    <phoneticPr fontId="8" type="noConversion"/>
  </si>
  <si>
    <t>300km/h</t>
    <phoneticPr fontId="8" type="noConversion"/>
  </si>
  <si>
    <t>Uniform definition of units</t>
    <phoneticPr fontId="8" type="noConversion"/>
  </si>
  <si>
    <t>unit name</t>
    <phoneticPr fontId="8" type="noConversion"/>
  </si>
  <si>
    <t>unit symbol</t>
    <phoneticPr fontId="8" type="noConversion"/>
  </si>
  <si>
    <t>meter</t>
    <phoneticPr fontId="8" type="noConversion"/>
  </si>
  <si>
    <t>m</t>
    <phoneticPr fontId="8" type="noConversion"/>
  </si>
  <si>
    <t>second</t>
    <phoneticPr fontId="8" type="noConversion"/>
  </si>
  <si>
    <t>volt</t>
    <phoneticPr fontId="8" type="noConversion"/>
  </si>
  <si>
    <t>V</t>
    <phoneticPr fontId="8" type="noConversion"/>
  </si>
  <si>
    <t>moment of force</t>
    <phoneticPr fontId="8" type="noConversion"/>
  </si>
  <si>
    <t>Nm</t>
    <phoneticPr fontId="8" type="noConversion"/>
  </si>
  <si>
    <t>degree Celsius</t>
    <phoneticPr fontId="8" type="noConversion"/>
  </si>
  <si>
    <t>°C</t>
    <phoneticPr fontId="8" type="noConversion"/>
  </si>
  <si>
    <t>Kilometer</t>
    <phoneticPr fontId="8" type="noConversion"/>
  </si>
  <si>
    <t>km</t>
    <phoneticPr fontId="8" type="noConversion"/>
  </si>
  <si>
    <t>Kilometer per hour</t>
    <phoneticPr fontId="8" type="noConversion"/>
  </si>
  <si>
    <t>km/h</t>
    <phoneticPr fontId="8" type="noConversion"/>
  </si>
  <si>
    <t>angle degree</t>
    <phoneticPr fontId="8" type="noConversion"/>
  </si>
  <si>
    <t>°</t>
    <phoneticPr fontId="8" type="noConversion"/>
  </si>
  <si>
    <t>angle degree per second</t>
    <phoneticPr fontId="8" type="noConversion"/>
  </si>
  <si>
    <t>°/s</t>
    <phoneticPr fontId="8" type="noConversion"/>
  </si>
  <si>
    <t>the acceleration of gravity</t>
    <phoneticPr fontId="8" type="noConversion"/>
  </si>
  <si>
    <t>g</t>
    <phoneticPr fontId="8" type="noConversion"/>
  </si>
  <si>
    <t>percentage</t>
    <phoneticPr fontId="8" type="noConversion"/>
  </si>
  <si>
    <t>%</t>
    <phoneticPr fontId="8" type="noConversion"/>
  </si>
  <si>
    <t>minute</t>
    <phoneticPr fontId="8" type="noConversion"/>
  </si>
  <si>
    <t>min</t>
    <phoneticPr fontId="8" type="noConversion"/>
  </si>
  <si>
    <t xml:space="preserve">revolutions per minute </t>
    <phoneticPr fontId="8" type="noConversion"/>
  </si>
  <si>
    <t>rpm</t>
    <phoneticPr fontId="8" type="noConversion"/>
  </si>
  <si>
    <t>kilopascal</t>
    <phoneticPr fontId="8" type="noConversion"/>
  </si>
  <si>
    <t>kPa</t>
    <phoneticPr fontId="8" type="noConversion"/>
  </si>
  <si>
    <t>microlitre</t>
    <phoneticPr fontId="8" type="noConversion"/>
  </si>
  <si>
    <t>μL</t>
    <phoneticPr fontId="8" type="noConversion"/>
  </si>
  <si>
    <t>Signal Reserved Value</t>
    <phoneticPr fontId="8" type="noConversion"/>
  </si>
  <si>
    <t>The signal reserved value is used when the value range of signal is not defined completely, and the remainder filed(bits) will be as reserved value for the future use.</t>
    <phoneticPr fontId="8" type="noConversion"/>
  </si>
  <si>
    <t>0x1901~0x7FFE:Reserved</t>
    <phoneticPr fontId="8" type="noConversion"/>
  </si>
  <si>
    <t>Coding</t>
    <phoneticPr fontId="8" type="noConversion"/>
  </si>
  <si>
    <t>This column describes the coding of the signals.
To calculate the engineering value the following formula is used: 
E = N*Factor + Offset, where E is the engineering or physical value calculated.
'Not available' will be added into the signal coding. The signal shall be set to this value when it is not supported by a specific variant but the message shall still be transmitted. 
If the complete message is deleted in a variant then the 'Not Available' coding will not be used.</t>
    <phoneticPr fontId="8" type="noConversion"/>
  </si>
  <si>
    <t xml:space="preserve">
0x0000-0x14D5:Valid
0x14D6~0x1FFE:Reserved
0x1FFF:Invalid</t>
    <phoneticPr fontId="8" type="noConversion"/>
  </si>
  <si>
    <t>Signal Group</t>
    <phoneticPr fontId="8" type="noConversion"/>
  </si>
  <si>
    <t>This column is used to specify signal group.A signal group consists of two or more signals,which shall be synchronously written to and read from the Interaction Layer and synchronously transmitted and received over the CAN bus. A signal group is contained within one CAN frame.</t>
    <phoneticPr fontId="8" type="noConversion"/>
  </si>
  <si>
    <t>A_ABSgrp</t>
    <phoneticPr fontId="8" type="noConversion"/>
  </si>
  <si>
    <t>Variant and options</t>
    <phoneticPr fontId="8" type="noConversion"/>
  </si>
  <si>
    <t>If the signal only exists for or is needed by some variant of the ECU, this shall be stated here.</t>
    <phoneticPr fontId="8" type="noConversion"/>
  </si>
  <si>
    <t>ESP,
ABS</t>
    <phoneticPr fontId="8" type="noConversion"/>
  </si>
  <si>
    <t>HS_CAN Communication Matrix</t>
    <phoneticPr fontId="8" type="noConversion"/>
  </si>
  <si>
    <t>Version:</t>
    <phoneticPr fontId="8" type="noConversion"/>
  </si>
  <si>
    <t>Document Name</t>
    <phoneticPr fontId="8" type="noConversion"/>
  </si>
  <si>
    <t>Department:</t>
    <phoneticPr fontId="8" type="noConversion"/>
  </si>
  <si>
    <t>Electronic &amp; Electrical System Integration Department</t>
    <phoneticPr fontId="8" type="noConversion"/>
  </si>
  <si>
    <t>Project
Number:</t>
    <phoneticPr fontId="8" type="noConversion"/>
  </si>
  <si>
    <t>Project
Name:</t>
    <phoneticPr fontId="8" type="noConversion"/>
  </si>
  <si>
    <t>NO.</t>
    <phoneticPr fontId="8" type="noConversion"/>
  </si>
  <si>
    <t>GW/Qe-CY-DQGC-VD-03-04</t>
    <phoneticPr fontId="8" type="noConversion"/>
  </si>
  <si>
    <t>Role</t>
    <phoneticPr fontId="8" type="noConversion"/>
  </si>
  <si>
    <t>Signature Field</t>
    <phoneticPr fontId="8" type="noConversion"/>
  </si>
  <si>
    <t>Date</t>
    <phoneticPr fontId="8" type="noConversion"/>
  </si>
  <si>
    <t>Wang Meng</t>
    <phoneticPr fontId="8" type="noConversion"/>
  </si>
  <si>
    <t>Geng Junqing</t>
    <phoneticPr fontId="8" type="noConversion"/>
  </si>
  <si>
    <t>Wang Lichong</t>
    <phoneticPr fontId="8" type="noConversion"/>
  </si>
  <si>
    <t>Change Description</t>
    <phoneticPr fontId="8" type="noConversion"/>
  </si>
  <si>
    <t>NO.(BGSQ)</t>
    <phoneticPr fontId="8" type="noConversion"/>
  </si>
  <si>
    <t>Changed By</t>
    <phoneticPr fontId="8" type="noConversion"/>
  </si>
  <si>
    <t>Checked By</t>
    <phoneticPr fontId="8" type="noConversion"/>
  </si>
  <si>
    <t>Project Manager Approver</t>
    <phoneticPr fontId="8" type="noConversion"/>
  </si>
  <si>
    <t>/</t>
    <phoneticPr fontId="8" type="noConversion"/>
  </si>
  <si>
    <t>VCU</t>
  </si>
  <si>
    <t>P</t>
  </si>
  <si>
    <t>/</t>
    <phoneticPr fontId="6" type="noConversion"/>
  </si>
  <si>
    <t>Last value</t>
  </si>
  <si>
    <t>X</t>
    <phoneticPr fontId="8" type="noConversion"/>
  </si>
  <si>
    <t>Nm</t>
  </si>
  <si>
    <t>0x0:No crashed
0x1:Crashed</t>
  </si>
  <si>
    <t>/</t>
  </si>
  <si>
    <t>0x0:Disenable
0x1:Enable</t>
  </si>
  <si>
    <t>VCU</t>
    <phoneticPr fontId="8" type="noConversion"/>
  </si>
  <si>
    <t>BMS</t>
    <phoneticPr fontId="8" type="noConversion"/>
  </si>
  <si>
    <t>0x0:Invalid
0x1:Valid</t>
  </si>
  <si>
    <t>VCU3</t>
  </si>
  <si>
    <t>V</t>
  </si>
  <si>
    <t>0x0:Normal
0x1:Power low</t>
  </si>
  <si>
    <t>0x0:No energy recovery
0x1:Energy recovery</t>
  </si>
  <si>
    <t>0x0:OFF
0x1:Park 
0x2:UnPark 
0x3:Invalid</t>
  </si>
  <si>
    <t>0x0:No error
0x1:Error</t>
  </si>
  <si>
    <t>≤10</t>
  </si>
  <si>
    <t>0x0:Not pressed
0x1:Pressed
0x2:Reserved
0x3:Error</t>
  </si>
  <si>
    <t>0x0:Invalid
0x1:Valid
0x2:Init value
0x3:Reserved</t>
  </si>
  <si>
    <t>0x0:Not Initialized
0x1:Normal
0x2:Faulty
0x3:Reserved</t>
  </si>
  <si>
    <t>BMS1</t>
  </si>
  <si>
    <t>0x0:Open
0x1:Close</t>
  </si>
  <si>
    <t>BMS request open positive relay</t>
  </si>
  <si>
    <t>BMS4</t>
  </si>
  <si>
    <t>BMS5</t>
  </si>
  <si>
    <t>BMS6</t>
  </si>
  <si>
    <t>BMS9</t>
  </si>
  <si>
    <t>0x0:No error
0x1:limited power derating
0x2:Fail Silent disable charging can be recovered
0x3:Emergency Shutdown can not be recovered</t>
  </si>
  <si>
    <t>Hardware fault</t>
  </si>
  <si>
    <t>0x0:No fault
0x1:Hardware fault</t>
  </si>
  <si>
    <t>0x0:Normal
0x1:Over temperature protection</t>
  </si>
  <si>
    <t>Input voltage fault</t>
  </si>
  <si>
    <t>0x0:No fault
0x1:Input voltage fault</t>
  </si>
  <si>
    <t>Communication over time</t>
  </si>
  <si>
    <t>0x0:Normal
0x1:Communication over time</t>
  </si>
  <si>
    <t>0x0:Inactive
0x1:Active</t>
  </si>
  <si>
    <t>Derating because of over voltage HV</t>
  </si>
  <si>
    <t>A</t>
  </si>
  <si>
    <t>DCDC Fail state</t>
  </si>
  <si>
    <t>0x0:No error
0x1:Derating
0x2:DCDC Failure Healed automatically
0x3:DCDC Failure Healed  by reset KL15</t>
  </si>
  <si>
    <t>Operating mode DCDC</t>
  </si>
  <si>
    <t>rpm</t>
  </si>
  <si>
    <t xml:space="preserve">cooling pump open request  </t>
  </si>
  <si>
    <t>°C</t>
  </si>
  <si>
    <t>0x0:No fault (turn off the eps lamp)
0x1:Fault (turn on the eps lamp)</t>
  </si>
  <si>
    <t>0x0:No request
0x1:Requset work low
0x2:Requset work high
0x3:Reserved</t>
  </si>
  <si>
    <t>0x0:No request
0x1:Requset</t>
  </si>
  <si>
    <t>Motorola</t>
  </si>
  <si>
    <t>0x0:OFF
0x1:ON</t>
  </si>
  <si>
    <t>Network State</t>
  </si>
  <si>
    <t>SAS1</t>
  </si>
  <si>
    <t>0x0:Not calibrated
0x1:Calibrated</t>
  </si>
  <si>
    <t>0x0:Not trimmed
0x1:Trimmed</t>
  </si>
  <si>
    <t>BCM3</t>
  </si>
  <si>
    <t>E_Park</t>
    <phoneticPr fontId="0" type="noConversion"/>
  </si>
  <si>
    <t>0x0:Not Parked
0x1:Park active</t>
  </si>
  <si>
    <t>0x0:Not ready to drive
0x1:Ready to drive</t>
  </si>
  <si>
    <t>0x0:Not Performing
0x1:Performing</t>
  </si>
  <si>
    <t>0x0:No Fault
0x1:Fault</t>
  </si>
  <si>
    <t>0x0:Not stuck in UnPark
0x1:Stuck In UnPark</t>
  </si>
  <si>
    <t>0x0:No inhibit
0x1:Inhibit</t>
  </si>
  <si>
    <t>0x0:OFF
0x1:Blink
0x2:ON
0x3:Reservesd</t>
  </si>
  <si>
    <t>0:not activated
1:activated</t>
  </si>
  <si>
    <t>&lt;1 s</t>
  </si>
  <si>
    <t>OBC</t>
    <phoneticPr fontId="8" type="noConversion"/>
  </si>
  <si>
    <t>ESP</t>
    <phoneticPr fontId="8" type="noConversion"/>
  </si>
  <si>
    <t>MCU</t>
    <phoneticPr fontId="8" type="noConversion"/>
  </si>
  <si>
    <t>EPS</t>
    <phoneticPr fontId="8" type="noConversion"/>
  </si>
  <si>
    <t>J</t>
    <phoneticPr fontId="16" type="noConversion"/>
  </si>
  <si>
    <t>Tester</t>
    <phoneticPr fontId="8" type="noConversion"/>
  </si>
  <si>
    <r>
      <t>kostia</t>
    </r>
    <r>
      <rPr>
        <sz val="10"/>
        <rFont val="宋体"/>
        <family val="3"/>
        <charset val="134"/>
      </rPr>
      <t>诊断</t>
    </r>
    <r>
      <rPr>
        <sz val="10"/>
        <rFont val="GungsuhChe"/>
        <family val="3"/>
        <charset val="129"/>
      </rPr>
      <t>，用于下</t>
    </r>
    <r>
      <rPr>
        <sz val="10"/>
        <rFont val="宋体"/>
        <family val="3"/>
        <charset val="134"/>
      </rPr>
      <t>线标</t>
    </r>
    <r>
      <rPr>
        <sz val="10"/>
        <rFont val="GungsuhChe"/>
        <family val="3"/>
        <charset val="129"/>
      </rPr>
      <t>定</t>
    </r>
    <r>
      <rPr>
        <sz val="10"/>
        <rFont val="Arial"/>
        <family val="2"/>
      </rPr>
      <t>(EOL calibration)</t>
    </r>
    <phoneticPr fontId="8" type="noConversion"/>
  </si>
  <si>
    <t>0x608</t>
    <phoneticPr fontId="8" type="noConversion"/>
  </si>
  <si>
    <t>E</t>
    <phoneticPr fontId="8" type="noConversion"/>
  </si>
  <si>
    <t>/</t>
    <phoneticPr fontId="8" type="noConversion"/>
  </si>
  <si>
    <t>0x609</t>
    <phoneticPr fontId="8" type="noConversion"/>
  </si>
  <si>
    <t>Tester</t>
    <phoneticPr fontId="8" type="noConversion"/>
  </si>
  <si>
    <t>OBC</t>
    <phoneticPr fontId="8" type="noConversion"/>
  </si>
  <si>
    <t>X</t>
    <phoneticPr fontId="8" type="noConversion"/>
  </si>
  <si>
    <r>
      <t>T</t>
    </r>
    <r>
      <rPr>
        <sz val="10"/>
        <rFont val="Arial"/>
        <family val="2"/>
      </rPr>
      <t>ester</t>
    </r>
    <phoneticPr fontId="6" type="noConversion"/>
  </si>
  <si>
    <t>Diag_Fun_Req</t>
    <phoneticPr fontId="6" type="noConversion"/>
  </si>
  <si>
    <r>
      <t>0</t>
    </r>
    <r>
      <rPr>
        <sz val="10"/>
        <rFont val="Arial"/>
        <family val="2"/>
      </rPr>
      <t>x760</t>
    </r>
    <phoneticPr fontId="6" type="noConversion"/>
  </si>
  <si>
    <t>E</t>
    <phoneticPr fontId="6" type="noConversion"/>
  </si>
  <si>
    <t>Tester</t>
    <phoneticPr fontId="6" type="noConversion"/>
  </si>
  <si>
    <t>OBC_Phy_Req</t>
    <phoneticPr fontId="6" type="noConversion"/>
  </si>
  <si>
    <t>0x78C</t>
    <phoneticPr fontId="6" type="noConversion"/>
  </si>
  <si>
    <t>OBC</t>
    <phoneticPr fontId="6" type="noConversion"/>
  </si>
  <si>
    <t>OBC_Phy_Resp</t>
    <phoneticPr fontId="6" type="noConversion"/>
  </si>
  <si>
    <t>0x7CC</t>
    <phoneticPr fontId="6" type="noConversion"/>
  </si>
  <si>
    <t>0x721</t>
    <phoneticPr fontId="8" type="noConversion"/>
  </si>
  <si>
    <t>0x782</t>
  </si>
  <si>
    <t>0x729</t>
    <phoneticPr fontId="8" type="noConversion"/>
  </si>
  <si>
    <t>0x7C2</t>
  </si>
  <si>
    <t>Tester</t>
    <phoneticPr fontId="8" type="noConversion"/>
  </si>
  <si>
    <t>EPS</t>
    <phoneticPr fontId="8" type="noConversion"/>
  </si>
  <si>
    <r>
      <t>E</t>
    </r>
    <r>
      <rPr>
        <sz val="10"/>
        <rFont val="Arial"/>
        <family val="2"/>
      </rPr>
      <t>PS</t>
    </r>
    <r>
      <rPr>
        <sz val="10"/>
        <rFont val="Arial"/>
        <family val="2"/>
      </rPr>
      <t>_Phy_Req</t>
    </r>
    <phoneticPr fontId="6" type="noConversion"/>
  </si>
  <si>
    <r>
      <t>E</t>
    </r>
    <r>
      <rPr>
        <sz val="10"/>
        <rFont val="Arial"/>
        <family val="2"/>
      </rPr>
      <t>SP</t>
    </r>
    <r>
      <rPr>
        <sz val="10"/>
        <rFont val="Arial"/>
        <family val="2"/>
      </rPr>
      <t>_Phy_Req</t>
    </r>
    <phoneticPr fontId="6" type="noConversion"/>
  </si>
  <si>
    <r>
      <t>E</t>
    </r>
    <r>
      <rPr>
        <sz val="10"/>
        <rFont val="Arial"/>
        <family val="2"/>
      </rPr>
      <t>PS</t>
    </r>
    <r>
      <rPr>
        <sz val="10"/>
        <rFont val="Arial"/>
        <family val="2"/>
      </rPr>
      <t>_Phy_Resp</t>
    </r>
    <phoneticPr fontId="6" type="noConversion"/>
  </si>
  <si>
    <r>
      <t>E</t>
    </r>
    <r>
      <rPr>
        <sz val="10"/>
        <rFont val="Arial"/>
        <family val="2"/>
      </rPr>
      <t>SP</t>
    </r>
    <r>
      <rPr>
        <sz val="10"/>
        <rFont val="Arial"/>
        <family val="2"/>
      </rPr>
      <t>_Phy_Resp</t>
    </r>
    <phoneticPr fontId="6" type="noConversion"/>
  </si>
  <si>
    <r>
      <t>E</t>
    </r>
    <r>
      <rPr>
        <sz val="10"/>
        <rFont val="Arial"/>
        <family val="2"/>
      </rPr>
      <t>SP</t>
    </r>
    <phoneticPr fontId="8" type="noConversion"/>
  </si>
  <si>
    <t>BMS</t>
    <phoneticPr fontId="6" type="noConversion"/>
  </si>
  <si>
    <t>MCU</t>
    <phoneticPr fontId="6" type="noConversion"/>
  </si>
  <si>
    <t>E_Park</t>
    <phoneticPr fontId="6" type="noConversion"/>
  </si>
  <si>
    <r>
      <t>0x78</t>
    </r>
    <r>
      <rPr>
        <sz val="10"/>
        <rFont val="Arial"/>
        <family val="2"/>
      </rPr>
      <t>A</t>
    </r>
    <phoneticPr fontId="6" type="noConversion"/>
  </si>
  <si>
    <r>
      <t>0x7C</t>
    </r>
    <r>
      <rPr>
        <sz val="10"/>
        <rFont val="Arial"/>
        <family val="2"/>
      </rPr>
      <t>A</t>
    </r>
    <phoneticPr fontId="6" type="noConversion"/>
  </si>
  <si>
    <r>
      <t>V</t>
    </r>
    <r>
      <rPr>
        <sz val="10"/>
        <rFont val="Arial"/>
        <family val="2"/>
      </rPr>
      <t>CU</t>
    </r>
    <r>
      <rPr>
        <sz val="10"/>
        <rFont val="Arial"/>
        <family val="2"/>
      </rPr>
      <t>_Phy_Resp</t>
    </r>
    <phoneticPr fontId="6" type="noConversion"/>
  </si>
  <si>
    <r>
      <t>V</t>
    </r>
    <r>
      <rPr>
        <sz val="10"/>
        <rFont val="Arial"/>
        <family val="2"/>
      </rPr>
      <t>CU</t>
    </r>
    <phoneticPr fontId="6" type="noConversion"/>
  </si>
  <si>
    <r>
      <rPr>
        <sz val="10"/>
        <rFont val="Arial"/>
        <family val="2"/>
      </rPr>
      <t>V</t>
    </r>
    <r>
      <rPr>
        <sz val="10"/>
        <rFont val="Arial"/>
        <family val="2"/>
      </rPr>
      <t>CU</t>
    </r>
    <r>
      <rPr>
        <sz val="10"/>
        <rFont val="Arial"/>
        <family val="2"/>
      </rPr>
      <t>_Phy_Req</t>
    </r>
    <phoneticPr fontId="6" type="noConversion"/>
  </si>
  <si>
    <r>
      <rPr>
        <sz val="10"/>
        <rFont val="Arial"/>
        <family val="2"/>
      </rPr>
      <t>B</t>
    </r>
    <r>
      <rPr>
        <sz val="10"/>
        <rFont val="Arial"/>
        <family val="2"/>
      </rPr>
      <t>MS</t>
    </r>
    <r>
      <rPr>
        <sz val="10"/>
        <rFont val="Arial"/>
        <family val="2"/>
      </rPr>
      <t>_Phy_Req</t>
    </r>
    <phoneticPr fontId="6" type="noConversion"/>
  </si>
  <si>
    <t>0x78B</t>
    <phoneticPr fontId="6" type="noConversion"/>
  </si>
  <si>
    <r>
      <t>BMS</t>
    </r>
    <r>
      <rPr>
        <sz val="10"/>
        <rFont val="Arial"/>
        <family val="2"/>
      </rPr>
      <t>_Phy_Resp</t>
    </r>
    <phoneticPr fontId="6" type="noConversion"/>
  </si>
  <si>
    <t>0x7CB</t>
    <phoneticPr fontId="6" type="noConversion"/>
  </si>
  <si>
    <r>
      <t>0x78</t>
    </r>
    <r>
      <rPr>
        <sz val="10"/>
        <rFont val="Arial"/>
        <family val="2"/>
      </rPr>
      <t>7</t>
    </r>
    <phoneticPr fontId="6" type="noConversion"/>
  </si>
  <si>
    <r>
      <rPr>
        <sz val="10"/>
        <rFont val="Arial"/>
        <family val="2"/>
      </rPr>
      <t>M</t>
    </r>
    <r>
      <rPr>
        <sz val="10"/>
        <rFont val="Arial"/>
        <family val="2"/>
      </rPr>
      <t>CU</t>
    </r>
    <r>
      <rPr>
        <sz val="10"/>
        <rFont val="Arial"/>
        <family val="2"/>
      </rPr>
      <t>_Phy_Req</t>
    </r>
    <phoneticPr fontId="6" type="noConversion"/>
  </si>
  <si>
    <t>0x7C7</t>
    <phoneticPr fontId="6" type="noConversion"/>
  </si>
  <si>
    <r>
      <t>MCU</t>
    </r>
    <r>
      <rPr>
        <sz val="10"/>
        <rFont val="Arial"/>
        <family val="2"/>
      </rPr>
      <t>_Phy_Resp</t>
    </r>
    <phoneticPr fontId="6" type="noConversion"/>
  </si>
  <si>
    <r>
      <t>0x7</t>
    </r>
    <r>
      <rPr>
        <sz val="10"/>
        <rFont val="Arial"/>
        <family val="2"/>
      </rPr>
      <t>9D</t>
    </r>
    <phoneticPr fontId="6" type="noConversion"/>
  </si>
  <si>
    <r>
      <t>0x7</t>
    </r>
    <r>
      <rPr>
        <sz val="10"/>
        <rFont val="Arial"/>
        <family val="2"/>
      </rPr>
      <t>DD</t>
    </r>
    <phoneticPr fontId="6" type="noConversion"/>
  </si>
  <si>
    <r>
      <t>E</t>
    </r>
    <r>
      <rPr>
        <sz val="10"/>
        <rFont val="Arial"/>
        <family val="2"/>
      </rPr>
      <t>_Park</t>
    </r>
    <r>
      <rPr>
        <sz val="10"/>
        <rFont val="Arial"/>
        <family val="2"/>
      </rPr>
      <t>_Phy_Req</t>
    </r>
    <phoneticPr fontId="6" type="noConversion"/>
  </si>
  <si>
    <t>E_Park_Phy_Resp</t>
    <phoneticPr fontId="6" type="noConversion"/>
  </si>
  <si>
    <t>X</t>
    <phoneticPr fontId="8" type="noConversion"/>
  </si>
  <si>
    <t>CCP</t>
    <phoneticPr fontId="8" type="noConversion"/>
  </si>
  <si>
    <t>CCP</t>
    <phoneticPr fontId="8" type="noConversion"/>
  </si>
  <si>
    <t>0x60C</t>
    <phoneticPr fontId="8" type="noConversion"/>
  </si>
  <si>
    <t>0x60D</t>
    <phoneticPr fontId="8" type="noConversion"/>
  </si>
  <si>
    <t>0x706~0x70F</t>
    <phoneticPr fontId="8" type="noConversion"/>
  </si>
  <si>
    <t>X</t>
    <phoneticPr fontId="8" type="noConversion"/>
  </si>
  <si>
    <t>Development Phase Test ID</t>
    <phoneticPr fontId="8" type="noConversion"/>
  </si>
  <si>
    <t>BMS2</t>
  </si>
  <si>
    <t>BMS12</t>
  </si>
  <si>
    <t>0x2E2</t>
  </si>
  <si>
    <t>BMS_BattModuleTemp2</t>
  </si>
  <si>
    <t>BMS_BattModuleTemp3</t>
  </si>
  <si>
    <t>module temperature of power battery_3</t>
  </si>
  <si>
    <t>0x3C0</t>
  </si>
  <si>
    <t>BMS_BattModuleTemp4</t>
  </si>
  <si>
    <t>module temperature of power battery_4</t>
  </si>
  <si>
    <t>BMS_BattModuleTemp5</t>
  </si>
  <si>
    <t>module temperature of power battery_5</t>
  </si>
  <si>
    <t>BMS_BattModuleTemp6</t>
  </si>
  <si>
    <t>module temperature of power battery_6</t>
  </si>
  <si>
    <t>BMS_BattModuleTemp7</t>
  </si>
  <si>
    <t>module temperature of power battery_7</t>
  </si>
  <si>
    <t>BMS_BattModuleTemp8</t>
  </si>
  <si>
    <t>module temperature of power battery_8</t>
  </si>
  <si>
    <t>BMS_BattModuleTemp9</t>
  </si>
  <si>
    <t>module temperature of power battery_9</t>
  </si>
  <si>
    <t>0x0</t>
  </si>
  <si>
    <t>BMS_BattModuleTemp10</t>
  </si>
  <si>
    <t>module temperature of power battery_10</t>
  </si>
  <si>
    <t>BMS_BattModuleTemp11</t>
  </si>
  <si>
    <t>module temperature of power battery_11</t>
  </si>
  <si>
    <t>BMS_BattModuleTemp12</t>
  </si>
  <si>
    <t>module temperature of power battery_12</t>
  </si>
  <si>
    <t>BMS_BattModuleTemp13</t>
  </si>
  <si>
    <t>module temperature of power battery_13</t>
  </si>
  <si>
    <t>BMS_BattModuleTemp14</t>
  </si>
  <si>
    <t>module temperature of power battery_14</t>
  </si>
  <si>
    <t>BMS_BattModuleTemp15</t>
  </si>
  <si>
    <t>module temperature of power battery_15</t>
  </si>
  <si>
    <t>BMS_BattModuleTemp16</t>
  </si>
  <si>
    <t>module temperature of power battery_16</t>
  </si>
  <si>
    <t>BMS_BattModuleTemp17</t>
  </si>
  <si>
    <t>module temperature of power battery_17</t>
  </si>
  <si>
    <t>BMS_SignleCellVolt2</t>
  </si>
  <si>
    <t>BMS_SignleCellVolt3</t>
  </si>
  <si>
    <t>5</t>
  </si>
  <si>
    <t>BMS_SignleCellVolt4</t>
  </si>
  <si>
    <t>BMS_SignleCellVolt5</t>
  </si>
  <si>
    <t>signle cell vlotage of power battery5</t>
  </si>
  <si>
    <t>BMS_SignleCellVolt6</t>
  </si>
  <si>
    <t>signle cell vlotage of power battery6</t>
  </si>
  <si>
    <t>BMS_SignleCellVolt7</t>
  </si>
  <si>
    <t>signle cell vlotage of power battery7</t>
  </si>
  <si>
    <t>BMS_SignleCellVolt8</t>
  </si>
  <si>
    <t>signle cell vlotage of power battery8</t>
  </si>
  <si>
    <t>signle cell vlotage of power battery9</t>
  </si>
  <si>
    <t>BMS_SignleCellVolt10</t>
  </si>
  <si>
    <t>signle cell vlotage of power battery10</t>
  </si>
  <si>
    <t>BMS_SignleCellVolt11</t>
  </si>
  <si>
    <t>signle cell vlotage of power battery11</t>
  </si>
  <si>
    <t>BMS_SignleCellVolt12</t>
  </si>
  <si>
    <t>signle cell vlotage of power battery12</t>
  </si>
  <si>
    <t>BMS_SignleCellVolt13</t>
  </si>
  <si>
    <t>signle cell vlotage of power battery13</t>
  </si>
  <si>
    <t>BMS_SignleCellVolt14</t>
  </si>
  <si>
    <t>signle cell vlotage of power battery14</t>
  </si>
  <si>
    <t>BMS_SignleCellVolt15</t>
  </si>
  <si>
    <t>signle cell vlotage of power battery15</t>
  </si>
  <si>
    <t>BMS_SignleCellVolt16</t>
  </si>
  <si>
    <t>signle cell vlotage of power battery16</t>
  </si>
  <si>
    <t>signle cell vlotage of power battery17</t>
  </si>
  <si>
    <t>0x3D4</t>
  </si>
  <si>
    <t>BMS_SignleCellVolt18</t>
  </si>
  <si>
    <t>signle cell vlotage of power battery18</t>
  </si>
  <si>
    <t>BMS_SignleCellVolt19</t>
  </si>
  <si>
    <t>signle cell vlotage of power battery19</t>
  </si>
  <si>
    <t>BMS_SignleCellVolt20</t>
  </si>
  <si>
    <t>signle cell vlotage of power battery20</t>
  </si>
  <si>
    <t>BMS_SignleCellVolt21</t>
  </si>
  <si>
    <t>signle cell vlotage of power battery21</t>
  </si>
  <si>
    <t>BMS_SignleCellVolt22</t>
  </si>
  <si>
    <t>signle cell vlotage of power battery22</t>
  </si>
  <si>
    <t>BMS_SignleCellVolt23</t>
  </si>
  <si>
    <t>signle cell vlotage of power battery23</t>
  </si>
  <si>
    <t>BMS_SignleCellVolt24</t>
  </si>
  <si>
    <t>signle cell vlotage of power battery24</t>
  </si>
  <si>
    <t>signle cell vlotage of power battery25</t>
  </si>
  <si>
    <t>0x3D5</t>
  </si>
  <si>
    <t>BMS_SignleCellVolt26</t>
  </si>
  <si>
    <t>signle cell vlotage of power battery26</t>
  </si>
  <si>
    <t>BMS_SignleCellVolt27</t>
  </si>
  <si>
    <t>signle cell vlotage of power battery27</t>
  </si>
  <si>
    <t>BMS_SignleCellVolt28</t>
  </si>
  <si>
    <t>signle cell vlotage of power battery28</t>
  </si>
  <si>
    <t>BMS_SignleCellVolt29</t>
  </si>
  <si>
    <t>signle cell vlotage of power battery29</t>
  </si>
  <si>
    <t>BMS_SignleCellVolt30</t>
  </si>
  <si>
    <t>signle cell vlotage of power battery30</t>
  </si>
  <si>
    <t>BMS_SignleCellVolt31</t>
  </si>
  <si>
    <t>signle cell vlotage of power battery31</t>
  </si>
  <si>
    <t>BMS_SignleCellVolt32</t>
  </si>
  <si>
    <t>signle cell vlotage of power battery32</t>
  </si>
  <si>
    <t>signle cell vlotage of power battery33</t>
  </si>
  <si>
    <t>signle cell vlotage of power battery34</t>
  </si>
  <si>
    <t>BMS_SignleCellVolt35</t>
  </si>
  <si>
    <t>signle cell vlotage of power battery35</t>
  </si>
  <si>
    <t>BMS_SignleCellVolt36</t>
  </si>
  <si>
    <t>signle cell vlotage of power battery36</t>
  </si>
  <si>
    <t>BMS_SignleCellVolt37</t>
  </si>
  <si>
    <t>signle cell vlotage of power battery37</t>
  </si>
  <si>
    <t>BMS_SignleCellVolt38</t>
  </si>
  <si>
    <t>signle cell vlotage of power battery38</t>
  </si>
  <si>
    <t>BMS_SignleCellVolt39</t>
  </si>
  <si>
    <t>signle cell vlotage of power battery39</t>
  </si>
  <si>
    <t>BMS_SignleCellVolt40</t>
  </si>
  <si>
    <t>signle cell vlotage of power battery40</t>
  </si>
  <si>
    <t>signle cell vlotage of power battery41</t>
  </si>
  <si>
    <t>BMS_SignleCellVolt42</t>
  </si>
  <si>
    <t>signle cell vlotage of power battery42</t>
  </si>
  <si>
    <t>BMS_SignleCellVolt43</t>
  </si>
  <si>
    <t>signle cell vlotage of power battery43</t>
  </si>
  <si>
    <t>BMS_SignleCellVolt44</t>
  </si>
  <si>
    <t>signle cell vlotage of power battery44</t>
  </si>
  <si>
    <t>BMS_SignleCellVolt45</t>
  </si>
  <si>
    <t>signle cell vlotage of power battery45</t>
  </si>
  <si>
    <t>BMS_SignleCellVolt46</t>
  </si>
  <si>
    <t>signle cell vlotage of power battery46</t>
  </si>
  <si>
    <t>BMS_SignleCellVolt47</t>
  </si>
  <si>
    <t>signle cell vlotage of power battery47</t>
  </si>
  <si>
    <t>BMS_SignleCellVolt48</t>
  </si>
  <si>
    <t>signle cell vlotage of power battery48</t>
  </si>
  <si>
    <t>signle cell vlotage of power battery49</t>
  </si>
  <si>
    <t>signle cell vlotage of power battery50</t>
  </si>
  <si>
    <t>signle cell vlotage of power battery51</t>
  </si>
  <si>
    <t>signle cell vlotage of power battery52</t>
  </si>
  <si>
    <t>signle cell vlotage of power battery53</t>
  </si>
  <si>
    <t>signle cell vlotage of power battery54</t>
  </si>
  <si>
    <t>signle cell vlotage of power battery55</t>
  </si>
  <si>
    <t>signle cell vlotage of power battery56</t>
  </si>
  <si>
    <t>signle cell vlotage of power battery57</t>
  </si>
  <si>
    <t>signle cell vlotage of power battery58</t>
  </si>
  <si>
    <t>BMS_SignleCellVolt59</t>
  </si>
  <si>
    <t>signle cell vlotage of power battery59</t>
  </si>
  <si>
    <t>BMS_SignleCellVolt60</t>
  </si>
  <si>
    <t>signle cell vlotage of power battery60</t>
  </si>
  <si>
    <t>BMS_SignleCellVolt61</t>
  </si>
  <si>
    <t>signle cell vlotage of power battery61</t>
  </si>
  <si>
    <t>BMS_SignleCellVolt62</t>
  </si>
  <si>
    <t>signle cell vlotage of power battery62</t>
  </si>
  <si>
    <t>BMS_SignleCellVolt63</t>
  </si>
  <si>
    <t>signle cell vlotage of power battery63</t>
  </si>
  <si>
    <t>BMS_SignleCellVolt64</t>
  </si>
  <si>
    <t>signle cell vlotage of power battery64</t>
  </si>
  <si>
    <t>signle cell vlotage of power battery65</t>
  </si>
  <si>
    <t>BMS_SignleCellVolt66</t>
  </si>
  <si>
    <t>signle cell vlotage of power battery66</t>
  </si>
  <si>
    <t>BMS_SignleCellVolt67</t>
  </si>
  <si>
    <t>signle cell vlotage of power battery67</t>
  </si>
  <si>
    <t>BMS_SignleCellVolt68</t>
  </si>
  <si>
    <t>signle cell vlotage of power battery68</t>
  </si>
  <si>
    <t>BMS_SignleCellVolt69</t>
  </si>
  <si>
    <t>signle cell vlotage of power battery69</t>
  </si>
  <si>
    <t>BMS_SignleCellVolt70</t>
  </si>
  <si>
    <t>signle cell vlotage of power battery70</t>
  </si>
  <si>
    <t>BMS_SignleCellVolt71</t>
  </si>
  <si>
    <t>signle cell vlotage of power battery71</t>
  </si>
  <si>
    <t>BMS_SignleCellVolt72</t>
  </si>
  <si>
    <t>signle cell vlotage of power battery72</t>
  </si>
  <si>
    <t>signle cell vlotage of power battery73</t>
  </si>
  <si>
    <t>signle cell vlotage of power battery74</t>
  </si>
  <si>
    <t>BMS_SignleCellVolt75</t>
  </si>
  <si>
    <t>signle cell vlotage of power battery75</t>
  </si>
  <si>
    <t>BMS_SignleCellVolt76</t>
  </si>
  <si>
    <t>signle cell vlotage of power battery76</t>
  </si>
  <si>
    <t>BMS_SignleCellVolt77</t>
  </si>
  <si>
    <t>signle cell vlotage of power battery77</t>
  </si>
  <si>
    <t>BMS_SignleCellVolt78</t>
  </si>
  <si>
    <t>signle cell vlotage of power battery78</t>
  </si>
  <si>
    <t>BMS_SignleCellVolt79</t>
  </si>
  <si>
    <t>signle cell vlotage of power battery79</t>
  </si>
  <si>
    <t>BMS_SignleCellVolt80</t>
  </si>
  <si>
    <t>signle cell vlotage of power battery80</t>
  </si>
  <si>
    <t>signle cell vlotage of power battery81</t>
  </si>
  <si>
    <t>BMS_SignleCellVolt82</t>
  </si>
  <si>
    <t>signle cell vlotage of power battery82</t>
  </si>
  <si>
    <t>BMS_SignleCellVolt83</t>
  </si>
  <si>
    <t>signle cell vlotage of power battery83</t>
  </si>
  <si>
    <t>BMS_SignleCellVolt84</t>
  </si>
  <si>
    <t>signle cell vlotage of power battery84</t>
  </si>
  <si>
    <t>BMS_SignleCellVolt85</t>
  </si>
  <si>
    <t>signle cell vlotage of power battery85</t>
  </si>
  <si>
    <t>BMS_SignleCellVolt86</t>
  </si>
  <si>
    <t>signle cell vlotage of power battery86</t>
  </si>
  <si>
    <t>BMS_SignleCellVolt87</t>
  </si>
  <si>
    <t>signle cell vlotage of power battery87</t>
  </si>
  <si>
    <t>BMS_SignleCellVolt88</t>
  </si>
  <si>
    <t>signle cell vlotage of power battery88</t>
  </si>
  <si>
    <t>BMS_SignleCellVolt49</t>
  </si>
  <si>
    <t>BMS_SignleCellVolt50</t>
  </si>
  <si>
    <t>BMS_SignleCellVolt51</t>
  </si>
  <si>
    <t>BMS_SignleCellVolt52</t>
  </si>
  <si>
    <t>BMS_SignleCellVolt53</t>
  </si>
  <si>
    <t>BMS_SignleCellVolt54</t>
  </si>
  <si>
    <t>BMS_SignleCellVolt55</t>
  </si>
  <si>
    <t>BMS_SignleCellVolt56</t>
  </si>
  <si>
    <t>J</t>
    <phoneticPr fontId="16" type="noConversion"/>
  </si>
  <si>
    <t>Tester</t>
    <phoneticPr fontId="8" type="noConversion"/>
  </si>
  <si>
    <t>EPS</t>
    <phoneticPr fontId="8" type="noConversion"/>
  </si>
  <si>
    <t>用于转向中位标定</t>
    <phoneticPr fontId="8" type="noConversion"/>
  </si>
  <si>
    <t>E</t>
    <phoneticPr fontId="8" type="noConversion"/>
  </si>
  <si>
    <t>/</t>
    <phoneticPr fontId="8" type="noConversion"/>
  </si>
  <si>
    <t>X</t>
    <phoneticPr fontId="8" type="noConversion"/>
  </si>
  <si>
    <t>EPS</t>
    <phoneticPr fontId="8" type="noConversion"/>
  </si>
  <si>
    <t>X</t>
    <phoneticPr fontId="8" type="noConversion"/>
  </si>
  <si>
    <t>0x285</t>
    <phoneticPr fontId="8" type="noConversion"/>
  </si>
  <si>
    <t>0x234</t>
    <phoneticPr fontId="8" type="noConversion"/>
  </si>
  <si>
    <t>GW</t>
    <phoneticPr fontId="0" type="noConversion"/>
  </si>
  <si>
    <t>CF-CAN:To IP</t>
  </si>
  <si>
    <t>SBWM</t>
    <phoneticPr fontId="0" type="noConversion"/>
  </si>
  <si>
    <t>Passenger Seat Belt Reminder with Visual</t>
  </si>
  <si>
    <t>Driver Seat Belt Reminder with Visual</t>
  </si>
  <si>
    <t>500/20</t>
  </si>
  <si>
    <t>Unsigned</t>
  </si>
  <si>
    <t>ABM</t>
    <phoneticPr fontId="0" type="noConversion"/>
  </si>
  <si>
    <t>X</t>
    <phoneticPr fontId="6" type="noConversion"/>
  </si>
  <si>
    <t>Tester</t>
    <phoneticPr fontId="0" type="noConversion"/>
  </si>
  <si>
    <r>
      <t>T</t>
    </r>
    <r>
      <rPr>
        <sz val="10"/>
        <color indexed="8"/>
        <rFont val="Arial"/>
        <family val="2"/>
      </rPr>
      <t>ester</t>
    </r>
    <phoneticPr fontId="8" type="noConversion"/>
  </si>
  <si>
    <t>ABM_Phy_Req</t>
    <phoneticPr fontId="8" type="noConversion"/>
  </si>
  <si>
    <t>0x76A</t>
    <phoneticPr fontId="8" type="noConversion"/>
  </si>
  <si>
    <t>E</t>
    <phoneticPr fontId="16" type="noConversion"/>
  </si>
  <si>
    <r>
      <t>A</t>
    </r>
    <r>
      <rPr>
        <sz val="10"/>
        <rFont val="Arial"/>
        <family val="2"/>
      </rPr>
      <t>BM</t>
    </r>
    <phoneticPr fontId="8" type="noConversion"/>
  </si>
  <si>
    <r>
      <t>A</t>
    </r>
    <r>
      <rPr>
        <sz val="10"/>
        <rFont val="Arial"/>
        <family val="2"/>
      </rPr>
      <t>BM</t>
    </r>
    <r>
      <rPr>
        <sz val="10"/>
        <rFont val="Arial"/>
        <family val="2"/>
      </rPr>
      <t>_Phy_Resp</t>
    </r>
    <phoneticPr fontId="8" type="noConversion"/>
  </si>
  <si>
    <t>0x7AA</t>
    <phoneticPr fontId="8" type="noConversion"/>
  </si>
  <si>
    <t>SBWM_Phy_Req</t>
    <phoneticPr fontId="8" type="noConversion"/>
  </si>
  <si>
    <r>
      <t>S</t>
    </r>
    <r>
      <rPr>
        <sz val="10"/>
        <rFont val="Arial"/>
        <family val="2"/>
      </rPr>
      <t>BWM</t>
    </r>
    <phoneticPr fontId="6" type="noConversion"/>
  </si>
  <si>
    <t>SBWM_Phy_Resp</t>
    <phoneticPr fontId="8" type="noConversion"/>
  </si>
  <si>
    <t>0x6B2</t>
    <phoneticPr fontId="6" type="noConversion"/>
  </si>
  <si>
    <t>0x6B3</t>
    <phoneticPr fontId="6" type="noConversion"/>
  </si>
  <si>
    <t>X</t>
    <phoneticPr fontId="6" type="noConversion"/>
  </si>
  <si>
    <t>GW_Phy_Req</t>
    <phoneticPr fontId="8" type="noConversion"/>
  </si>
  <si>
    <t>0x761</t>
  </si>
  <si>
    <t>GW_Phy_Resp</t>
    <phoneticPr fontId="8" type="noConversion"/>
  </si>
  <si>
    <r>
      <t>G</t>
    </r>
    <r>
      <rPr>
        <sz val="10"/>
        <rFont val="Arial"/>
        <family val="2"/>
      </rPr>
      <t>W</t>
    </r>
    <phoneticPr fontId="6" type="noConversion"/>
  </si>
  <si>
    <t>0x7A1</t>
    <phoneticPr fontId="8" type="noConversion"/>
  </si>
  <si>
    <t>NetworkState_GW</t>
  </si>
  <si>
    <t>0X0</t>
  </si>
  <si>
    <t>X</t>
  </si>
  <si>
    <t>0X145</t>
  </si>
  <si>
    <t>0X0:Invalid
0X1:Valid</t>
  </si>
  <si>
    <t>0X0:Not active
0X1:Active</t>
  </si>
  <si>
    <t>0X0:Off
0X1:Standby 
0X2:active</t>
  </si>
  <si>
    <t>0X16B</t>
  </si>
  <si>
    <t>Last Value</t>
  </si>
  <si>
    <t>0X1:Not valid;
0X0:Valid.</t>
  </si>
  <si>
    <t>0X0:No reminder
0X1:Pedal needs to be applied</t>
  </si>
  <si>
    <t>0X0:Undefined
0X1:No Error
0X2:Error
0X3:Diagnosis</t>
  </si>
  <si>
    <t>0X0:Released
0X1:Closed
0X2:In progress
0X3:unknown</t>
  </si>
  <si>
    <t xml:space="preserve">0X0:Neutral
0X1:Release
0X2:Apply
0X3:Reserved
</t>
  </si>
  <si>
    <t>EPBTXTdisplay</t>
  </si>
  <si>
    <t xml:space="preserve">TXT message </t>
  </si>
  <si>
    <t>0X0:Brake light off
0X1:Brake light on</t>
  </si>
  <si>
    <t>0x0000-0x3A70:Valid value
0x3A71-0xFFFF:Reserved</t>
  </si>
  <si>
    <t>0x27F</t>
  </si>
  <si>
    <t>signle cell vlotage of power battery89</t>
  </si>
  <si>
    <t>BMS_SignleCellVolt90</t>
  </si>
  <si>
    <t>signle cell vlotage of power battery90</t>
  </si>
  <si>
    <t>BMS_SignleCellVolt91</t>
  </si>
  <si>
    <t>signle cell vlotage of power battery91</t>
  </si>
  <si>
    <t>≤1000</t>
  </si>
  <si>
    <t>Driver requested gear shift position</t>
  </si>
  <si>
    <t>0x0C7</t>
  </si>
  <si>
    <t>When the events occurred,, event message VCU will be sent for five times, message cycle time is 50ms.</t>
  </si>
  <si>
    <t>0X00</t>
  </si>
  <si>
    <t>0X0:No failure
0X1:Failure</t>
  </si>
  <si>
    <t>OBC2</t>
  </si>
  <si>
    <t>SE-CAN:To TBK
CF-CAN:To HUT，IP</t>
  </si>
  <si>
    <t xml:space="preserve">SE-CAN:To TBK
</t>
  </si>
  <si>
    <t>SE-CAN:To TBK</t>
  </si>
  <si>
    <t>SE_CAN:To TBK
CF_CAN:To HUT,IP</t>
  </si>
  <si>
    <t>CF_CAN:To IP
SE_CAN:To TBK</t>
  </si>
  <si>
    <t>SE_CAN:To TBK</t>
  </si>
  <si>
    <t>In initialization，the signal send 0x1（2s）CF_CAN:To IP
SE_CAN:To TBK</t>
  </si>
  <si>
    <t>TBK1</t>
  </si>
  <si>
    <t>TBK2</t>
  </si>
  <si>
    <t>TBK5</t>
  </si>
  <si>
    <t>module temperature of power battery_19</t>
  </si>
  <si>
    <t>module temperature of power battery_20</t>
  </si>
  <si>
    <t>module temperature of power battery_21</t>
  </si>
  <si>
    <t>module temperature of power battery_22</t>
  </si>
  <si>
    <t>module temperature of power battery_23</t>
  </si>
  <si>
    <t>module temperature of power battery_24</t>
  </si>
  <si>
    <t>module temperature of power battery_25</t>
  </si>
  <si>
    <t>module temperature of power battery_26</t>
  </si>
  <si>
    <t>module temperature of power battery_27</t>
  </si>
  <si>
    <t>module temperature of power battery_28</t>
  </si>
  <si>
    <t>module temperature of power battery_29</t>
  </si>
  <si>
    <t>module temperature of power battery_30</t>
  </si>
  <si>
    <t>module temperature of power battery_31</t>
  </si>
  <si>
    <t>module temperature of power battery_32</t>
  </si>
  <si>
    <t>module temperature of power battery_33</t>
  </si>
  <si>
    <t>module temperature of power battery_34</t>
  </si>
  <si>
    <t>signle cell vlotage of power battery92</t>
  </si>
  <si>
    <t>signle cell vlotage of power battery93</t>
  </si>
  <si>
    <t>signle cell vlotage of power battery94</t>
  </si>
  <si>
    <t>signle cell vlotage of power battery95</t>
  </si>
  <si>
    <t>signle cell vlotage of power battery96</t>
  </si>
  <si>
    <t>signle cell vlotage of power battery97</t>
  </si>
  <si>
    <t>signle cell vlotage of power battery98</t>
  </si>
  <si>
    <t>signle cell vlotage of power battery99</t>
  </si>
  <si>
    <t>signle cell vlotage of power battery100</t>
  </si>
  <si>
    <t>signle cell vlotage of power battery101</t>
  </si>
  <si>
    <t>signle cell vlotage of power battery102</t>
  </si>
  <si>
    <t>BMS_SignleCellVolt93</t>
  </si>
  <si>
    <t>BMS_SignleCellVolt94</t>
  </si>
  <si>
    <t>BMS_SignleCellVolt95</t>
  </si>
  <si>
    <t>BMS_SignleCellVolt96</t>
  </si>
  <si>
    <t>BMS_SignleCellVolt97</t>
  </si>
  <si>
    <t>BMS_SignleCellVolt98</t>
  </si>
  <si>
    <t>BMS_SignleCellVolt99</t>
  </si>
  <si>
    <t>BMS_SignleCellVolt100</t>
  </si>
  <si>
    <t>BMS_SignleCellVolt101</t>
  </si>
  <si>
    <t>BMS_SignleCellVolt102</t>
  </si>
  <si>
    <t>BMS34</t>
  </si>
  <si>
    <t>BMS35</t>
  </si>
  <si>
    <t>0x3ED</t>
  </si>
  <si>
    <t>0x3EE</t>
  </si>
  <si>
    <t>0x3EF</t>
  </si>
  <si>
    <t>CH141-EV</t>
    <phoneticPr fontId="8" type="noConversion"/>
  </si>
  <si>
    <t>Active when the actuator is fully extended against thePark pawl spring, meaning the pawl will "definitely"engage when the gear aligns with the pawl, it will to dropin,The sensor does NOT sense whether the pawl is in theslot, just whether it is cocked and ready to drop.</t>
  </si>
  <si>
    <t>Signal Description</t>
    <phoneticPr fontId="8" type="noConversion"/>
  </si>
  <si>
    <t>period
[ms]</t>
    <phoneticPr fontId="8" type="noConversion"/>
  </si>
  <si>
    <t>Signal latency budget Tx[ms]</t>
    <phoneticPr fontId="8" type="noConversion"/>
  </si>
  <si>
    <t xml:space="preserve">Signal latency budget Rx[ms] </t>
    <phoneticPr fontId="8" type="noConversion"/>
  </si>
  <si>
    <t>size
[bit]</t>
    <phoneticPr fontId="8" type="noConversion"/>
  </si>
  <si>
    <t>Byte Order</t>
    <phoneticPr fontId="8" type="noConversion"/>
  </si>
  <si>
    <t>Data Type</t>
    <phoneticPr fontId="8" type="noConversion"/>
  </si>
  <si>
    <t>Alternative value</t>
    <phoneticPr fontId="8" type="noConversion"/>
  </si>
  <si>
    <t>Factor</t>
    <phoneticPr fontId="8" type="noConversion"/>
  </si>
  <si>
    <t>Measured Resolution Rx</t>
    <phoneticPr fontId="8" type="noConversion"/>
  </si>
  <si>
    <t>Accuracy Rx</t>
    <phoneticPr fontId="8" type="noConversion"/>
  </si>
  <si>
    <t>Unit</t>
    <phoneticPr fontId="8" type="noConversion"/>
  </si>
  <si>
    <t>VSG</t>
    <phoneticPr fontId="8" type="noConversion"/>
  </si>
  <si>
    <t>ESP_MasterCylBrkPressValid</t>
  </si>
  <si>
    <t>GW</t>
  </si>
  <si>
    <t>HUT_EgyRecSet</t>
  </si>
  <si>
    <t>HUT Energy recuperation set</t>
  </si>
  <si>
    <t>BCM1</t>
  </si>
  <si>
    <t>0x0:Closed
0x1:Open</t>
  </si>
  <si>
    <t>0X0F4</t>
  </si>
  <si>
    <t>0X0:Valid
0X1:Invalid</t>
  </si>
  <si>
    <t>CheckSum_VCU1</t>
    <phoneticPr fontId="8" type="noConversion"/>
  </si>
  <si>
    <t xml:space="preserve">Use the checksum strategy from document“GWMLAN00-18 Checksum Req Spec-V1.0” </t>
    <phoneticPr fontId="8" type="noConversion"/>
  </si>
  <si>
    <t>/</t>
    <phoneticPr fontId="0" type="noConversion"/>
  </si>
  <si>
    <t>VCU1</t>
    <phoneticPr fontId="8" type="noConversion"/>
  </si>
  <si>
    <t>0x0CF</t>
    <phoneticPr fontId="8" type="noConversion"/>
  </si>
  <si>
    <t>P</t>
    <phoneticPr fontId="6" type="noConversion"/>
  </si>
  <si>
    <t>/</t>
    <phoneticPr fontId="6" type="noConversion"/>
  </si>
  <si>
    <t>Motorola</t>
    <phoneticPr fontId="0" type="noConversion"/>
  </si>
  <si>
    <t>Unsigned</t>
    <phoneticPr fontId="0" type="noConversion"/>
  </si>
  <si>
    <t>0x00</t>
    <phoneticPr fontId="0" type="noConversion"/>
  </si>
  <si>
    <t>/</t>
    <phoneticPr fontId="8" type="noConversion"/>
  </si>
  <si>
    <t>X</t>
    <phoneticPr fontId="8" type="noConversion"/>
  </si>
  <si>
    <t>Set point torque of MCU</t>
    <phoneticPr fontId="8" type="noConversion"/>
  </si>
  <si>
    <t>0x000</t>
    <phoneticPr fontId="0" type="noConversion"/>
  </si>
  <si>
    <t>X</t>
    <phoneticPr fontId="0" type="noConversion"/>
  </si>
  <si>
    <t>Crash Signal detect by VCU</t>
    <phoneticPr fontId="6" type="noConversion"/>
  </si>
  <si>
    <t>0x0</t>
    <phoneticPr fontId="0" type="noConversion"/>
  </si>
  <si>
    <t>request able state/mode of MCU</t>
    <phoneticPr fontId="8" type="noConversion"/>
  </si>
  <si>
    <t>VCU_BMSEmgyToShutDown</t>
    <phoneticPr fontId="8" type="noConversion"/>
  </si>
  <si>
    <t>VCU_BMS Emergency to Shut Down</t>
    <phoneticPr fontId="8" type="noConversion"/>
  </si>
  <si>
    <t>0x0:No Request
0x1:Request</t>
    <phoneticPr fontId="8" type="noConversion"/>
  </si>
  <si>
    <t>/</t>
    <phoneticPr fontId="0" type="noConversion"/>
  </si>
  <si>
    <t>X</t>
    <phoneticPr fontId="0" type="noConversion"/>
  </si>
  <si>
    <t>VCU_ChrgEnable</t>
    <phoneticPr fontId="6" type="noConversion"/>
  </si>
  <si>
    <t>charge enable signal</t>
    <phoneticPr fontId="6" type="noConversion"/>
  </si>
  <si>
    <t>0x0:Init value
0x1:Disenable
0x2:Enable
0x3:Reserved</t>
    <phoneticPr fontId="0" type="noConversion"/>
  </si>
  <si>
    <t>VCU_BMS isolation detect request</t>
    <phoneticPr fontId="6" type="noConversion"/>
  </si>
  <si>
    <t>VCU_HvPowerCtrl</t>
    <phoneticPr fontId="6" type="noConversion"/>
  </si>
  <si>
    <t>high voltage power up or down control</t>
    <phoneticPr fontId="6" type="noConversion"/>
  </si>
  <si>
    <t>0x0:Default
0x1:Powerup
0x2:Powerup for charge
0x3:Powerdown</t>
    <phoneticPr fontId="0" type="noConversion"/>
  </si>
  <si>
    <t>x</t>
    <phoneticPr fontId="0" type="noConversion"/>
  </si>
  <si>
    <t>RollingCounter_VCU1</t>
    <phoneticPr fontId="6" type="noConversion"/>
  </si>
  <si>
    <t>VCU1 rolling counter</t>
    <phoneticPr fontId="0" type="noConversion"/>
  </si>
  <si>
    <t>CheckSum_VCU2</t>
    <phoneticPr fontId="8" type="noConversion"/>
  </si>
  <si>
    <t>VCU2</t>
    <phoneticPr fontId="8" type="noConversion"/>
  </si>
  <si>
    <t>0x194</t>
    <phoneticPr fontId="8" type="noConversion"/>
  </si>
  <si>
    <t>VCU</t>
    <phoneticPr fontId="6" type="noConversion"/>
  </si>
  <si>
    <t>VCU_ACPowerLim</t>
    <phoneticPr fontId="6" type="noConversion"/>
  </si>
  <si>
    <t>Power Consumption limit of AC</t>
    <phoneticPr fontId="6" type="noConversion"/>
  </si>
  <si>
    <t>W</t>
    <phoneticPr fontId="6" type="noConversion"/>
  </si>
  <si>
    <t>/</t>
    <phoneticPr fontId="0" type="noConversion"/>
  </si>
  <si>
    <t>CF-CAN:To AC</t>
    <phoneticPr fontId="0" type="noConversion"/>
  </si>
  <si>
    <t>X</t>
    <phoneticPr fontId="0" type="noConversion"/>
  </si>
  <si>
    <t>VCU</t>
    <phoneticPr fontId="0" type="noConversion"/>
  </si>
  <si>
    <t>VCU_GearSts</t>
    <phoneticPr fontId="6" type="noConversion"/>
  </si>
  <si>
    <t>Gear state(P/R/N/D/S/E)</t>
    <phoneticPr fontId="6" type="noConversion"/>
  </si>
  <si>
    <t>VCU2</t>
    <phoneticPr fontId="8" type="noConversion"/>
  </si>
  <si>
    <t>0x194</t>
    <phoneticPr fontId="8" type="noConversion"/>
  </si>
  <si>
    <t>P</t>
    <phoneticPr fontId="6" type="noConversion"/>
  </si>
  <si>
    <t>/</t>
    <phoneticPr fontId="6" type="noConversion"/>
  </si>
  <si>
    <t>Motorola</t>
    <phoneticPr fontId="0" type="noConversion"/>
  </si>
  <si>
    <t>Unsigned</t>
    <phoneticPr fontId="0" type="noConversion"/>
  </si>
  <si>
    <t>0x0</t>
    <phoneticPr fontId="0" type="noConversion"/>
  </si>
  <si>
    <t>X</t>
    <phoneticPr fontId="8" type="noConversion"/>
  </si>
  <si>
    <t>VCU</t>
    <phoneticPr fontId="6" type="noConversion"/>
  </si>
  <si>
    <t>VCU_CMPEnable</t>
    <phoneticPr fontId="6" type="noConversion"/>
  </si>
  <si>
    <t>Compressor Enable</t>
    <phoneticPr fontId="6" type="noConversion"/>
  </si>
  <si>
    <t>VCU_HeatEnable</t>
    <phoneticPr fontId="6" type="noConversion"/>
  </si>
  <si>
    <t>Heating Enable</t>
    <phoneticPr fontId="6" type="noConversion"/>
  </si>
  <si>
    <t>VCU2</t>
    <phoneticPr fontId="8" type="noConversion"/>
  </si>
  <si>
    <t>0x194</t>
    <phoneticPr fontId="8" type="noConversion"/>
  </si>
  <si>
    <t>P</t>
    <phoneticPr fontId="6" type="noConversion"/>
  </si>
  <si>
    <t>/</t>
    <phoneticPr fontId="6" type="noConversion"/>
  </si>
  <si>
    <t>Motorola</t>
    <phoneticPr fontId="0" type="noConversion"/>
  </si>
  <si>
    <t>Unsigned</t>
    <phoneticPr fontId="0" type="noConversion"/>
  </si>
  <si>
    <t>0x0</t>
    <phoneticPr fontId="0" type="noConversion"/>
  </si>
  <si>
    <t>CF-CAN:To AC</t>
    <phoneticPr fontId="0" type="noConversion"/>
  </si>
  <si>
    <t>VCU</t>
    <phoneticPr fontId="6" type="noConversion"/>
  </si>
  <si>
    <t>VCU_ACShutdownReq</t>
    <phoneticPr fontId="6" type="noConversion"/>
  </si>
  <si>
    <t>ACShut down Request</t>
    <phoneticPr fontId="6" type="noConversion"/>
  </si>
  <si>
    <t>VCU</t>
    <phoneticPr fontId="8" type="noConversion"/>
  </si>
  <si>
    <t>VCU_GearStsValid</t>
    <phoneticPr fontId="6" type="noConversion"/>
  </si>
  <si>
    <t>VCU_GearSts signal valid</t>
    <phoneticPr fontId="6" type="noConversion"/>
  </si>
  <si>
    <t>Last value</t>
    <phoneticPr fontId="0" type="noConversion"/>
  </si>
  <si>
    <r>
      <t xml:space="preserve">
SE-CAN</t>
    </r>
    <r>
      <rPr>
        <sz val="10"/>
        <rFont val="宋体"/>
        <family val="3"/>
        <charset val="134"/>
      </rPr>
      <t>：</t>
    </r>
    <r>
      <rPr>
        <sz val="10"/>
        <rFont val="Arial"/>
        <family val="2"/>
      </rPr>
      <t>To TBK</t>
    </r>
    <phoneticPr fontId="0" type="noConversion"/>
  </si>
  <si>
    <t>VCU</t>
    <phoneticPr fontId="8" type="noConversion"/>
  </si>
  <si>
    <t>Word display</t>
    <phoneticPr fontId="0" type="noConversion"/>
  </si>
  <si>
    <t xml:space="preserve">CF-CAN: To IP </t>
    <phoneticPr fontId="0" type="noConversion"/>
  </si>
  <si>
    <t>Close AC ,Increase remaining miles</t>
    <phoneticPr fontId="0" type="noConversion"/>
  </si>
  <si>
    <t>Km</t>
    <phoneticPr fontId="0" type="noConversion"/>
  </si>
  <si>
    <t>CF-CAN: To HUT</t>
    <phoneticPr fontId="0" type="noConversion"/>
  </si>
  <si>
    <t>VCU_GearStsIP</t>
    <phoneticPr fontId="0" type="noConversion"/>
  </si>
  <si>
    <t>Gear state to IP</t>
    <phoneticPr fontId="0" type="noConversion"/>
  </si>
  <si>
    <t xml:space="preserve">0x0:Reserved  
0x1:P  
0x2:R  
0x3:N  
0x4:D  
0x5:S  
0x6:E  
0x7:flashing P 
0x8:flashing N
0x9-0xF:Reserved </t>
    <phoneticPr fontId="0" type="noConversion"/>
  </si>
  <si>
    <t xml:space="preserve">CF-CAN: To IP </t>
    <phoneticPr fontId="0" type="noConversion"/>
  </si>
  <si>
    <t>RollingCounter_VCU2</t>
    <phoneticPr fontId="6" type="noConversion"/>
  </si>
  <si>
    <t>VCU2 rolling counter</t>
    <phoneticPr fontId="0" type="noConversion"/>
  </si>
  <si>
    <t>CheckSum_VCU3</t>
    <phoneticPr fontId="8" type="noConversion"/>
  </si>
  <si>
    <t>VCU3</t>
    <phoneticPr fontId="0" type="noConversion"/>
  </si>
  <si>
    <t>0x294</t>
    <phoneticPr fontId="8" type="noConversion"/>
  </si>
  <si>
    <t>VCU_ChargSts</t>
    <phoneticPr fontId="0" type="noConversion"/>
  </si>
  <si>
    <t>Charging  statue  display</t>
    <phoneticPr fontId="0" type="noConversion"/>
  </si>
  <si>
    <t>Motorola</t>
    <phoneticPr fontId="6" type="noConversion"/>
  </si>
  <si>
    <t>Unsigned</t>
    <phoneticPr fontId="6" type="noConversion"/>
  </si>
  <si>
    <t>0x0:Default
0x1:Charging
0x2:Delaying
0x3:Charge complete
0x4:Charge stopped
0x5: Charge initialize
0x6:Fault
0x7:Reserved</t>
    <phoneticPr fontId="0" type="noConversion"/>
  </si>
  <si>
    <t>VCU_Sts</t>
    <phoneticPr fontId="0" type="noConversion"/>
  </si>
  <si>
    <t>VCU Status</t>
    <phoneticPr fontId="0" type="noConversion"/>
  </si>
  <si>
    <t>0x0:default
0x1:PowerUp4Ready
0x2:Charging
0x3:reserved</t>
    <phoneticPr fontId="0" type="noConversion"/>
  </si>
  <si>
    <r>
      <t>SE-CAN</t>
    </r>
    <r>
      <rPr>
        <sz val="10"/>
        <rFont val="宋体"/>
        <family val="3"/>
        <charset val="134"/>
      </rPr>
      <t>：</t>
    </r>
    <r>
      <rPr>
        <sz val="10"/>
        <rFont val="Arial"/>
        <family val="2"/>
      </rPr>
      <t>To TBK</t>
    </r>
    <phoneticPr fontId="0" type="noConversion"/>
  </si>
  <si>
    <t>VCU_DCDCLvSetPoint</t>
    <phoneticPr fontId="8" type="noConversion"/>
  </si>
  <si>
    <t>VCU sends low voltage set point to DCDC</t>
    <phoneticPr fontId="8" type="noConversion"/>
  </si>
  <si>
    <t>Ready LED status</t>
    <phoneticPr fontId="6" type="noConversion"/>
  </si>
  <si>
    <t>0x294</t>
    <phoneticPr fontId="8" type="noConversion"/>
  </si>
  <si>
    <t xml:space="preserve">
CF-CAN:To IP BCM</t>
    <phoneticPr fontId="0" type="noConversion"/>
  </si>
  <si>
    <t>Battery Cut</t>
    <phoneticPr fontId="0" type="noConversion"/>
  </si>
  <si>
    <t>0x0:Disconnect
0x1:Connect</t>
    <phoneticPr fontId="0" type="noConversion"/>
  </si>
  <si>
    <t>/
CF-CAN:To IP</t>
    <phoneticPr fontId="0" type="noConversion"/>
  </si>
  <si>
    <t xml:space="preserve"> Active when Vehicle Power is in low state</t>
    <phoneticPr fontId="6" type="noConversion"/>
  </si>
  <si>
    <t>VCU_EnergyRecoverySts</t>
    <phoneticPr fontId="6" type="noConversion"/>
  </si>
  <si>
    <t xml:space="preserve"> Active when Vehicle is in energy recovery</t>
    <phoneticPr fontId="6" type="noConversion"/>
  </si>
  <si>
    <t>0x294</t>
    <phoneticPr fontId="8" type="noConversion"/>
  </si>
  <si>
    <t xml:space="preserve">
CF-CAN:To IP</t>
    <phoneticPr fontId="0" type="noConversion"/>
  </si>
  <si>
    <t>VCU_EPSEnable</t>
    <phoneticPr fontId="6" type="noConversion"/>
  </si>
  <si>
    <t>EPS Enable</t>
    <phoneticPr fontId="6" type="noConversion"/>
  </si>
  <si>
    <t>Estimate remainning distance</t>
    <phoneticPr fontId="6" type="noConversion"/>
  </si>
  <si>
    <t>0x000</t>
    <phoneticPr fontId="0" type="noConversion"/>
  </si>
  <si>
    <t>x</t>
    <phoneticPr fontId="0" type="noConversion"/>
  </si>
  <si>
    <t>VCU_ParkReq</t>
    <phoneticPr fontId="6" type="noConversion"/>
  </si>
  <si>
    <t>Park request to E-Park</t>
    <phoneticPr fontId="6" type="noConversion"/>
  </si>
  <si>
    <t>VCU3</t>
    <phoneticPr fontId="0" type="noConversion"/>
  </si>
  <si>
    <t>VCU_DCDCOperMod</t>
    <phoneticPr fontId="8" type="noConversion"/>
  </si>
  <si>
    <t>DCDC operation mode</t>
    <phoneticPr fontId="8" type="noConversion"/>
  </si>
  <si>
    <t>/</t>
    <phoneticPr fontId="0" type="noConversion"/>
  </si>
  <si>
    <t>X</t>
    <phoneticPr fontId="0" type="noConversion"/>
  </si>
  <si>
    <t>VCU_SysFault</t>
    <phoneticPr fontId="6" type="noConversion"/>
  </si>
  <si>
    <t>Active when Vehicle system is in error state</t>
    <phoneticPr fontId="6" type="noConversion"/>
  </si>
  <si>
    <t>0x0:No Fault
0x1:Yellow lamp ON
0x2:Red lamp ON
0x3:Reserved</t>
    <phoneticPr fontId="8" type="noConversion"/>
  </si>
  <si>
    <t>VCU_LowVoltShutdown</t>
    <phoneticPr fontId="8" type="noConversion"/>
  </si>
  <si>
    <t>VCU_Low Voltage Shut down</t>
    <phoneticPr fontId="0" type="noConversion"/>
  </si>
  <si>
    <t>0x0:No Request
0x1:Request</t>
    <phoneticPr fontId="0" type="noConversion"/>
  </si>
  <si>
    <t>VCU_BMSheatalw</t>
    <phoneticPr fontId="8" type="noConversion"/>
  </si>
  <si>
    <t>VCU_BMS Heat Allow</t>
    <phoneticPr fontId="8" type="noConversion"/>
  </si>
  <si>
    <t>0x0:No allow
0x1:Allow</t>
    <phoneticPr fontId="0" type="noConversion"/>
  </si>
  <si>
    <t>RollingCounter_VCU3</t>
    <phoneticPr fontId="6" type="noConversion"/>
  </si>
  <si>
    <t>VCU3 rolling counter</t>
    <phoneticPr fontId="0" type="noConversion"/>
  </si>
  <si>
    <t>CheckSum_VCU4</t>
    <phoneticPr fontId="8" type="noConversion"/>
  </si>
  <si>
    <t>VCU4</t>
    <phoneticPr fontId="0" type="noConversion"/>
  </si>
  <si>
    <t>0x0A2</t>
    <phoneticPr fontId="0" type="noConversion"/>
  </si>
  <si>
    <t>/</t>
    <phoneticPr fontId="6" type="noConversion"/>
  </si>
  <si>
    <t>Motorola</t>
    <phoneticPr fontId="0" type="noConversion"/>
  </si>
  <si>
    <t>Unsigned</t>
    <phoneticPr fontId="0" type="noConversion"/>
  </si>
  <si>
    <t>/</t>
    <phoneticPr fontId="0" type="noConversion"/>
  </si>
  <si>
    <t>0x00</t>
    <phoneticPr fontId="0" type="noConversion"/>
  </si>
  <si>
    <t>/</t>
    <phoneticPr fontId="8" type="noConversion"/>
  </si>
  <si>
    <t>X</t>
    <phoneticPr fontId="0" type="noConversion"/>
  </si>
  <si>
    <t>VCU</t>
    <phoneticPr fontId="8" type="noConversion"/>
  </si>
  <si>
    <t>ESP</t>
    <phoneticPr fontId="8" type="noConversion"/>
  </si>
  <si>
    <t>MaxAvailRcprtnTrq</t>
    <phoneticPr fontId="8" type="noConversion"/>
  </si>
  <si>
    <t>Maximum currently available Recuperation torque of Generator</t>
    <phoneticPr fontId="0" type="noConversion"/>
  </si>
  <si>
    <t>RBS</t>
    <phoneticPr fontId="0" type="noConversion"/>
  </si>
  <si>
    <t>VCU4</t>
    <phoneticPr fontId="0" type="noConversion"/>
  </si>
  <si>
    <t>0x0A2</t>
    <phoneticPr fontId="0" type="noConversion"/>
  </si>
  <si>
    <t>P</t>
    <phoneticPr fontId="0" type="noConversion"/>
  </si>
  <si>
    <t>Motorola</t>
    <phoneticPr fontId="8" type="noConversion"/>
  </si>
  <si>
    <t>0x0</t>
    <phoneticPr fontId="0" type="noConversion"/>
  </si>
  <si>
    <t>Nm</t>
    <phoneticPr fontId="6" type="noConversion"/>
  </si>
  <si>
    <t>This Torque is TM(Traction Motor) output shaft level.</t>
    <phoneticPr fontId="0" type="noConversion"/>
  </si>
  <si>
    <t>CurrRcprtnTrq</t>
    <phoneticPr fontId="8" type="noConversion"/>
  </si>
  <si>
    <t>Current Recuperation torque of Generator</t>
    <phoneticPr fontId="0" type="noConversion"/>
  </si>
  <si>
    <t>RBS</t>
    <phoneticPr fontId="0" type="noConversion"/>
  </si>
  <si>
    <t>VCU4</t>
    <phoneticPr fontId="0" type="noConversion"/>
  </si>
  <si>
    <t>0x0A2</t>
    <phoneticPr fontId="0" type="noConversion"/>
  </si>
  <si>
    <t>P</t>
    <phoneticPr fontId="8" type="noConversion"/>
  </si>
  <si>
    <t>DrvTrqReq</t>
    <phoneticPr fontId="8" type="noConversion"/>
  </si>
  <si>
    <t>Driver request torque</t>
    <phoneticPr fontId="8" type="noConversion"/>
  </si>
  <si>
    <t>TCS/VDC</t>
    <phoneticPr fontId="8" type="noConversion"/>
  </si>
  <si>
    <t>P</t>
    <phoneticPr fontId="6" type="noConversion"/>
  </si>
  <si>
    <t>Nm</t>
    <phoneticPr fontId="0" type="noConversion"/>
  </si>
  <si>
    <t>DrvTrqReqValid</t>
    <phoneticPr fontId="8" type="noConversion"/>
  </si>
  <si>
    <t>Driver request torque status</t>
    <phoneticPr fontId="8" type="noConversion"/>
  </si>
  <si>
    <t>VCU_BrkPedalSts</t>
    <phoneticPr fontId="8" type="noConversion"/>
  </si>
  <si>
    <t>indicates the brake pedal is pressed or not or incorrect for
plausibility check.</t>
    <phoneticPr fontId="8" type="noConversion"/>
  </si>
  <si>
    <t>0x0A2</t>
    <phoneticPr fontId="0" type="noConversion"/>
  </si>
  <si>
    <t>P</t>
    <phoneticPr fontId="8" type="noConversion"/>
  </si>
  <si>
    <t>/</t>
    <phoneticPr fontId="8" type="noConversion"/>
  </si>
  <si>
    <t>x</t>
    <phoneticPr fontId="0" type="noConversion"/>
  </si>
  <si>
    <t>AccPedPosValidity</t>
    <phoneticPr fontId="8" type="noConversion"/>
  </si>
  <si>
    <t>Acceleration pedal postion validity</t>
    <phoneticPr fontId="8" type="noConversion"/>
  </si>
  <si>
    <t>MaxAvailRcprtnTrqValid</t>
    <phoneticPr fontId="8" type="noConversion"/>
  </si>
  <si>
    <t>Indication Signal MaxAvailRcprtnTrq valid or not.</t>
    <phoneticPr fontId="0" type="noConversion"/>
  </si>
  <si>
    <t>P</t>
    <phoneticPr fontId="0" type="noConversion"/>
  </si>
  <si>
    <t>CurrRcprtnTrqValid</t>
    <phoneticPr fontId="8" type="noConversion"/>
  </si>
  <si>
    <t>Indication Signal CurrRcprtnTrq valid or not.</t>
    <phoneticPr fontId="0" type="noConversion"/>
  </si>
  <si>
    <t>RollingCounter_VCU4</t>
    <phoneticPr fontId="6" type="noConversion"/>
  </si>
  <si>
    <t>VCU4 rolling counter</t>
    <phoneticPr fontId="0" type="noConversion"/>
  </si>
  <si>
    <t>CheckSum_VCU5</t>
    <phoneticPr fontId="8" type="noConversion"/>
  </si>
  <si>
    <t>VCU5</t>
    <phoneticPr fontId="0" type="noConversion"/>
  </si>
  <si>
    <t>0x31B</t>
    <phoneticPr fontId="0" type="noConversion"/>
  </si>
  <si>
    <t>VCU_InstantEgyCnsmptn</t>
    <phoneticPr fontId="6" type="noConversion"/>
  </si>
  <si>
    <t>Instant energy consumption</t>
    <phoneticPr fontId="6" type="noConversion"/>
  </si>
  <si>
    <t>VCU5</t>
    <phoneticPr fontId="8" type="noConversion"/>
  </si>
  <si>
    <t>P</t>
    <phoneticPr fontId="8" type="noConversion"/>
  </si>
  <si>
    <t>kwh/100km</t>
    <phoneticPr fontId="8" type="noConversion"/>
  </si>
  <si>
    <t>VCU_SysFaultLvl</t>
    <phoneticPr fontId="8" type="noConversion"/>
  </si>
  <si>
    <t>System fault level</t>
    <phoneticPr fontId="8" type="noConversion"/>
  </si>
  <si>
    <r>
      <t>0x0: No fault
0x1: Level 1
0x2: Level 2</t>
    </r>
    <r>
      <rPr>
        <sz val="10"/>
        <rFont val="宋体"/>
        <family val="3"/>
        <charset val="134"/>
      </rPr>
      <t xml:space="preserve">
</t>
    </r>
    <r>
      <rPr>
        <sz val="10"/>
        <rFont val="Arial"/>
        <family val="2"/>
      </rPr>
      <t>0x3: Level 3</t>
    </r>
    <r>
      <rPr>
        <sz val="10"/>
        <rFont val="宋体"/>
        <family val="3"/>
        <charset val="134"/>
      </rPr>
      <t xml:space="preserve">
</t>
    </r>
    <r>
      <rPr>
        <sz val="10"/>
        <rFont val="Arial"/>
        <family val="2"/>
      </rPr>
      <t>0x4: Level 4</t>
    </r>
    <r>
      <rPr>
        <sz val="10"/>
        <rFont val="宋体"/>
        <family val="3"/>
        <charset val="134"/>
      </rPr>
      <t xml:space="preserve">
</t>
    </r>
    <r>
      <rPr>
        <sz val="10"/>
        <rFont val="Arial"/>
        <family val="2"/>
      </rPr>
      <t>0x5: Level 5
0x6:Level 6
0x7:Reserved</t>
    </r>
    <phoneticPr fontId="0" type="noConversion"/>
  </si>
  <si>
    <t>VCU</t>
    <phoneticPr fontId="8" type="noConversion"/>
  </si>
  <si>
    <t>VCU_AverageEgyCnsmptn</t>
    <phoneticPr fontId="8" type="noConversion"/>
  </si>
  <si>
    <t>Average energy consumption</t>
    <phoneticPr fontId="8" type="noConversion"/>
  </si>
  <si>
    <t>VCU5</t>
    <phoneticPr fontId="8" type="noConversion"/>
  </si>
  <si>
    <t>0x31B</t>
    <phoneticPr fontId="0" type="noConversion"/>
  </si>
  <si>
    <t>P</t>
    <phoneticPr fontId="8" type="noConversion"/>
  </si>
  <si>
    <t>kwh/100km</t>
    <phoneticPr fontId="8" type="noConversion"/>
  </si>
  <si>
    <t>GW</t>
    <phoneticPr fontId="0" type="noConversion"/>
  </si>
  <si>
    <t>AC Line Disconnect</t>
    <phoneticPr fontId="0" type="noConversion"/>
  </si>
  <si>
    <t>0x0:Init
0x1:Not connect
0x2:connect
0x3:Reserved</t>
    <phoneticPr fontId="0" type="noConversion"/>
  </si>
  <si>
    <t>RollingCounter_VCU5</t>
    <phoneticPr fontId="6" type="noConversion"/>
  </si>
  <si>
    <t>VCU5 rolling counter</t>
    <phoneticPr fontId="0" type="noConversion"/>
  </si>
  <si>
    <t>CheckSum_VCU6</t>
    <phoneticPr fontId="8" type="noConversion"/>
  </si>
  <si>
    <t>VCU6</t>
    <phoneticPr fontId="0" type="noConversion"/>
  </si>
  <si>
    <t>0x0D4</t>
    <phoneticPr fontId="0" type="noConversion"/>
  </si>
  <si>
    <t>0x00</t>
    <phoneticPr fontId="0" type="noConversion"/>
  </si>
  <si>
    <t>/</t>
    <phoneticPr fontId="8" type="noConversion"/>
  </si>
  <si>
    <t>VCU6</t>
    <phoneticPr fontId="0" type="noConversion"/>
  </si>
  <si>
    <t>Motorola</t>
    <phoneticPr fontId="8" type="noConversion"/>
  </si>
  <si>
    <t>Calibration Value</t>
    <phoneticPr fontId="0" type="noConversion"/>
  </si>
  <si>
    <t>%</t>
    <phoneticPr fontId="8" type="noConversion"/>
  </si>
  <si>
    <t>VCU</t>
    <phoneticPr fontId="29" type="noConversion"/>
  </si>
  <si>
    <t>VCU_CruiseSpd</t>
    <phoneticPr fontId="8" type="noConversion"/>
  </si>
  <si>
    <t>indicate cruise set speed</t>
    <phoneticPr fontId="8" type="noConversion"/>
  </si>
  <si>
    <t>VCU6</t>
    <phoneticPr fontId="8" type="noConversion"/>
  </si>
  <si>
    <t>Motorola</t>
    <phoneticPr fontId="6" type="noConversion"/>
  </si>
  <si>
    <t>Unsigned</t>
    <phoneticPr fontId="6" type="noConversion"/>
  </si>
  <si>
    <t>0x0000</t>
    <phoneticPr fontId="6" type="noConversion"/>
  </si>
  <si>
    <t>km/h</t>
    <phoneticPr fontId="6" type="noConversion"/>
  </si>
  <si>
    <t>VCU_VacPmpFailr</t>
    <phoneticPr fontId="8" type="noConversion"/>
  </si>
  <si>
    <t>Vacuum pump failure</t>
    <phoneticPr fontId="8" type="noConversion"/>
  </si>
  <si>
    <t>0x0</t>
    <phoneticPr fontId="6" type="noConversion"/>
  </si>
  <si>
    <t>0x0:No failure
0x1:Failure</t>
    <phoneticPr fontId="0" type="noConversion"/>
  </si>
  <si>
    <t>VCU_CruiseCtrlSts</t>
    <phoneticPr fontId="29" type="noConversion"/>
  </si>
  <si>
    <t>Cruise control status indicates the real cruise status of the vehicle.</t>
    <phoneticPr fontId="8" type="noConversion"/>
  </si>
  <si>
    <t>RollingCounter_VCU6</t>
    <phoneticPr fontId="6" type="noConversion"/>
  </si>
  <si>
    <t>VCU6 rolling counter</t>
    <phoneticPr fontId="0" type="noConversion"/>
  </si>
  <si>
    <t>VCU6</t>
    <phoneticPr fontId="8" type="noConversion"/>
  </si>
  <si>
    <t>0x0D4</t>
    <phoneticPr fontId="0" type="noConversion"/>
  </si>
  <si>
    <t>VCU_VehSpd</t>
    <phoneticPr fontId="8" type="noConversion"/>
  </si>
  <si>
    <t>Vehicle Speed</t>
    <phoneticPr fontId="8" type="noConversion"/>
  </si>
  <si>
    <t>VCU7</t>
    <phoneticPr fontId="8" type="noConversion"/>
  </si>
  <si>
    <t>0x28B</t>
    <phoneticPr fontId="0" type="noConversion"/>
  </si>
  <si>
    <t>km/h</t>
    <phoneticPr fontId="8" type="noConversion"/>
  </si>
  <si>
    <t>Ignition switch status</t>
    <phoneticPr fontId="8" type="noConversion"/>
  </si>
  <si>
    <t>0x0</t>
    <phoneticPr fontId="6" type="noConversion"/>
  </si>
  <si>
    <t>0x0:OFF
0x1:ON</t>
    <phoneticPr fontId="29" type="noConversion"/>
  </si>
  <si>
    <t>VCU_HiVoltInterlockSts</t>
    <phoneticPr fontId="29" type="noConversion"/>
  </si>
  <si>
    <t>High voltage interlock status</t>
    <phoneticPr fontId="8" type="noConversion"/>
  </si>
  <si>
    <t>0x0:Normal
0x1:Error</t>
    <phoneticPr fontId="29" type="noConversion"/>
  </si>
  <si>
    <t>0x0:Inactive
0x1:Active</t>
    <phoneticPr fontId="29" type="noConversion"/>
  </si>
  <si>
    <t>VCU_BattVolt</t>
    <phoneticPr fontId="29" type="noConversion"/>
  </si>
  <si>
    <t>Battery voltage</t>
    <phoneticPr fontId="8" type="noConversion"/>
  </si>
  <si>
    <t>0x00</t>
    <phoneticPr fontId="6" type="noConversion"/>
  </si>
  <si>
    <t>V</t>
    <phoneticPr fontId="8" type="noConversion"/>
  </si>
  <si>
    <t>VCU_DTCNumber</t>
    <phoneticPr fontId="0" type="noConversion"/>
  </si>
  <si>
    <t>VCU DTC Number</t>
    <phoneticPr fontId="0" type="noConversion"/>
  </si>
  <si>
    <t>VCU_ActGearSts</t>
    <phoneticPr fontId="29" type="noConversion"/>
  </si>
  <si>
    <t>Actual gear status</t>
    <phoneticPr fontId="8" type="noConversion"/>
  </si>
  <si>
    <t>SE-CAN:To TBK</t>
    <phoneticPr fontId="6" type="noConversion"/>
  </si>
  <si>
    <t>Climb slope enable flag</t>
    <phoneticPr fontId="8" type="noConversion"/>
  </si>
  <si>
    <t>Sliding slope enable flag</t>
    <phoneticPr fontId="8" type="noConversion"/>
  </si>
  <si>
    <t>VCU_VCUSts</t>
    <phoneticPr fontId="29" type="noConversion"/>
  </si>
  <si>
    <t>VCU status</t>
    <phoneticPr fontId="8" type="noConversion"/>
  </si>
  <si>
    <t>VCU</t>
    <phoneticPr fontId="0" type="noConversion"/>
  </si>
  <si>
    <t>VCUAuth</t>
    <phoneticPr fontId="0" type="noConversion"/>
  </si>
  <si>
    <t>VCU8</t>
    <phoneticPr fontId="0" type="noConversion"/>
  </si>
  <si>
    <t>0x032</t>
    <phoneticPr fontId="0" type="noConversion"/>
  </si>
  <si>
    <t>E</t>
    <phoneticPr fontId="0" type="noConversion"/>
  </si>
  <si>
    <t>VCU9</t>
    <phoneticPr fontId="0" type="noConversion"/>
  </si>
  <si>
    <t>0x1E2</t>
    <phoneticPr fontId="16" type="noConversion"/>
  </si>
  <si>
    <t>/</t>
    <phoneticPr fontId="16" type="noConversion"/>
  </si>
  <si>
    <t>BMS</t>
    <phoneticPr fontId="8" type="noConversion"/>
  </si>
  <si>
    <t>CheckSum_BMS1</t>
    <phoneticPr fontId="8" type="noConversion"/>
  </si>
  <si>
    <t xml:space="preserve">Use the checksum strategy from document
“GWMLAN00-18 Checksum Req Spec-V1.0” </t>
    <phoneticPr fontId="8" type="noConversion"/>
  </si>
  <si>
    <t>0x0F1</t>
    <phoneticPr fontId="8" type="noConversion"/>
  </si>
  <si>
    <t>P</t>
    <phoneticPr fontId="0" type="noConversion"/>
  </si>
  <si>
    <t>X</t>
    <phoneticPr fontId="8" type="noConversion"/>
  </si>
  <si>
    <t>BMS</t>
    <phoneticPr fontId="0" type="noConversion"/>
  </si>
  <si>
    <t>BMS_SOC</t>
    <phoneticPr fontId="8" type="noConversion"/>
  </si>
  <si>
    <t>SOC of battery pack</t>
    <phoneticPr fontId="0" type="noConversion"/>
  </si>
  <si>
    <t>0x0F1</t>
    <phoneticPr fontId="8" type="noConversion"/>
  </si>
  <si>
    <t>0x0000</t>
    <phoneticPr fontId="0" type="noConversion"/>
  </si>
  <si>
    <t>0.1%</t>
    <phoneticPr fontId="0" type="noConversion"/>
  </si>
  <si>
    <t>%</t>
    <phoneticPr fontId="0" type="noConversion"/>
  </si>
  <si>
    <t xml:space="preserve">BMS_DCChrgPosRlySts </t>
    <phoneticPr fontId="8" type="noConversion"/>
  </si>
  <si>
    <t>DC charge postive relay status</t>
    <phoneticPr fontId="0" type="noConversion"/>
  </si>
  <si>
    <t>BMS1</t>
    <phoneticPr fontId="0" type="noConversion"/>
  </si>
  <si>
    <t>0x0:Open
0x1:Close</t>
    <phoneticPr fontId="8" type="noConversion"/>
  </si>
  <si>
    <t>BMS_Sts</t>
    <phoneticPr fontId="0" type="noConversion"/>
  </si>
  <si>
    <t>BMS status.</t>
    <phoneticPr fontId="0" type="noConversion"/>
  </si>
  <si>
    <t>0x1</t>
    <phoneticPr fontId="0" type="noConversion"/>
  </si>
  <si>
    <t>BMS system fault level</t>
    <phoneticPr fontId="0" type="noConversion"/>
  </si>
  <si>
    <t xml:space="preserve">BMS_DCChrgNegRlySts </t>
    <phoneticPr fontId="8" type="noConversion"/>
  </si>
  <si>
    <t>DC charge  negative relay status</t>
    <phoneticPr fontId="0" type="noConversion"/>
  </si>
  <si>
    <t>voltage of battery pack</t>
    <phoneticPr fontId="0" type="noConversion"/>
  </si>
  <si>
    <t>0.1V</t>
    <phoneticPr fontId="0" type="noConversion"/>
  </si>
  <si>
    <t>V</t>
    <phoneticPr fontId="0" type="noConversion"/>
  </si>
  <si>
    <t>SE-CAN:To TBK</t>
    <phoneticPr fontId="6" type="noConversion"/>
  </si>
  <si>
    <t>BMS_PosRlySts</t>
    <phoneticPr fontId="8" type="noConversion"/>
  </si>
  <si>
    <t>positive relay status</t>
    <phoneticPr fontId="0" type="noConversion"/>
  </si>
  <si>
    <t>negative relay status</t>
    <phoneticPr fontId="0" type="noConversion"/>
  </si>
  <si>
    <t>precharge relay status</t>
    <phoneticPr fontId="0" type="noConversion"/>
  </si>
  <si>
    <t>heat relay status</t>
    <phoneticPr fontId="0" type="noConversion"/>
  </si>
  <si>
    <t>0x0:No request
0x1:Request</t>
    <phoneticPr fontId="0" type="noConversion"/>
  </si>
  <si>
    <t>Crash Signal detect by BMS</t>
    <phoneticPr fontId="6" type="noConversion"/>
  </si>
  <si>
    <t>0x0:No crashed
0x1:Crashed</t>
    <phoneticPr fontId="8" type="noConversion"/>
  </si>
  <si>
    <t>RollingCounter_BMS1</t>
    <phoneticPr fontId="6" type="noConversion"/>
  </si>
  <si>
    <t>BMS1 rolling counter</t>
    <phoneticPr fontId="0" type="noConversion"/>
  </si>
  <si>
    <t xml:space="preserve">Use the checksum strategy from document“GWMLAN00-18 Checksum Req Spec-V1.0” </t>
    <phoneticPr fontId="8" type="noConversion"/>
  </si>
  <si>
    <t>0x0F2</t>
    <phoneticPr fontId="8" type="noConversion"/>
  </si>
  <si>
    <t>0x0F2</t>
    <phoneticPr fontId="8" type="noConversion"/>
  </si>
  <si>
    <t>P</t>
    <phoneticPr fontId="0" type="noConversion"/>
  </si>
  <si>
    <t>0x0000</t>
    <phoneticPr fontId="0" type="noConversion"/>
  </si>
  <si>
    <t>0.1A</t>
    <phoneticPr fontId="0" type="noConversion"/>
  </si>
  <si>
    <t>A</t>
    <phoneticPr fontId="0" type="noConversion"/>
  </si>
  <si>
    <t>BMS</t>
    <phoneticPr fontId="0" type="noConversion"/>
  </si>
  <si>
    <t>0.1A</t>
    <phoneticPr fontId="0" type="noConversion"/>
  </si>
  <si>
    <t>A</t>
    <phoneticPr fontId="0" type="noConversion"/>
  </si>
  <si>
    <t>BMS2 rolling counter</t>
    <phoneticPr fontId="0" type="noConversion"/>
  </si>
  <si>
    <t>BMS</t>
    <phoneticPr fontId="8" type="noConversion"/>
  </si>
  <si>
    <t>CheckSum_BMS3</t>
    <phoneticPr fontId="8" type="noConversion"/>
  </si>
  <si>
    <t>BMS3</t>
    <phoneticPr fontId="0" type="noConversion"/>
  </si>
  <si>
    <t>0x28F</t>
    <phoneticPr fontId="0" type="noConversion"/>
  </si>
  <si>
    <t>BMS_CellVoltMax</t>
    <phoneticPr fontId="8" type="noConversion"/>
  </si>
  <si>
    <t>maximun cell voltage</t>
    <phoneticPr fontId="0" type="noConversion"/>
  </si>
  <si>
    <t>0.001V</t>
    <phoneticPr fontId="0" type="noConversion"/>
  </si>
  <si>
    <t>BMS_CellVoltMin</t>
    <phoneticPr fontId="8" type="noConversion"/>
  </si>
  <si>
    <t>minimun cell voltage</t>
    <phoneticPr fontId="0" type="noConversion"/>
  </si>
  <si>
    <t>BMS_MaxCellVoltPosnNumber</t>
    <phoneticPr fontId="8" type="noConversion"/>
  </si>
  <si>
    <t>Max Cell voltage position number</t>
    <phoneticPr fontId="0" type="noConversion"/>
  </si>
  <si>
    <t>200ms</t>
    <phoneticPr fontId="0" type="noConversion"/>
  </si>
  <si>
    <t>SE-CAN:To TBK</t>
    <phoneticPr fontId="6" type="noConversion"/>
  </si>
  <si>
    <t>BMS_MinCellVoltPosnNumber</t>
    <phoneticPr fontId="8" type="noConversion"/>
  </si>
  <si>
    <t>Min Cell voltage position number</t>
    <phoneticPr fontId="0" type="noConversion"/>
  </si>
  <si>
    <t>BMS3</t>
    <phoneticPr fontId="0" type="noConversion"/>
  </si>
  <si>
    <t>0x28F</t>
    <phoneticPr fontId="0" type="noConversion"/>
  </si>
  <si>
    <t>200ms</t>
    <phoneticPr fontId="0" type="noConversion"/>
  </si>
  <si>
    <t>RollingCounter_BMS3</t>
    <phoneticPr fontId="8" type="noConversion"/>
  </si>
  <si>
    <t>BMS3 rolling counter</t>
    <phoneticPr fontId="0" type="noConversion"/>
  </si>
  <si>
    <t>BMS</t>
    <phoneticPr fontId="6" type="noConversion"/>
  </si>
  <si>
    <t>BMS_CellOverVoltRank</t>
    <phoneticPr fontId="8" type="noConversion"/>
  </si>
  <si>
    <t>cell over voltage Rank</t>
    <phoneticPr fontId="6" type="noConversion"/>
  </si>
  <si>
    <t>0x286</t>
    <phoneticPr fontId="8" type="noConversion"/>
  </si>
  <si>
    <t>BMS</t>
    <phoneticPr fontId="6" type="noConversion"/>
  </si>
  <si>
    <t>BMS_CrashDetErr</t>
    <phoneticPr fontId="8" type="noConversion"/>
  </si>
  <si>
    <t>Crash detect circuit error</t>
    <phoneticPr fontId="6" type="noConversion"/>
  </si>
  <si>
    <t>Motorola</t>
    <phoneticPr fontId="6" type="noConversion"/>
  </si>
  <si>
    <t>Unsigned</t>
    <phoneticPr fontId="6" type="noConversion"/>
  </si>
  <si>
    <t>0x0</t>
    <phoneticPr fontId="6" type="noConversion"/>
  </si>
  <si>
    <t>BMS_CellDeltaVoltRank</t>
    <phoneticPr fontId="8" type="noConversion"/>
  </si>
  <si>
    <t>cell delta voltage Rank</t>
    <phoneticPr fontId="6" type="noConversion"/>
  </si>
  <si>
    <t>0x0:Normal
0x1:Rank1
0x2:Rank2
0x3:Rank3</t>
    <phoneticPr fontId="8" type="noConversion"/>
  </si>
  <si>
    <t>BMS_BattOverVoltRank</t>
    <phoneticPr fontId="8" type="noConversion"/>
  </si>
  <si>
    <t>battery pack over voltage Rank</t>
    <phoneticPr fontId="6" type="noConversion"/>
  </si>
  <si>
    <t>BMS_BattUnderVoltRank</t>
    <phoneticPr fontId="8" type="noConversion"/>
  </si>
  <si>
    <t>battery pack under voltage Rank</t>
    <phoneticPr fontId="6" type="noConversion"/>
  </si>
  <si>
    <t>BMS_CC2connectErr</t>
    <phoneticPr fontId="8" type="noConversion"/>
  </si>
  <si>
    <t>CC2 connect error</t>
    <phoneticPr fontId="6" type="noConversion"/>
  </si>
  <si>
    <t>0x0:No error
0x1:Error</t>
    <phoneticPr fontId="6" type="noConversion"/>
  </si>
  <si>
    <t>BMS_DCChrgRlyErr</t>
    <phoneticPr fontId="6" type="noConversion"/>
  </si>
  <si>
    <t>DC Positive or Negative Relay error</t>
    <phoneticPr fontId="6" type="noConversion"/>
  </si>
  <si>
    <t>BMS_BattUnderTempRank</t>
    <phoneticPr fontId="8" type="noConversion"/>
  </si>
  <si>
    <t>under temperature Rank</t>
    <phoneticPr fontId="6" type="noConversion"/>
  </si>
  <si>
    <t>BMS_DeltaTempRank</t>
    <phoneticPr fontId="8" type="noConversion"/>
  </si>
  <si>
    <t>delta temperature Rank</t>
    <phoneticPr fontId="6" type="noConversion"/>
  </si>
  <si>
    <t>0x286</t>
    <phoneticPr fontId="8" type="noConversion"/>
  </si>
  <si>
    <t>0x0:Normal
0x1:Rank1
0x2:Rank2
0x3:Rank3</t>
    <phoneticPr fontId="8" type="noConversion"/>
  </si>
  <si>
    <t>BMS_BattSOCLowRank</t>
    <phoneticPr fontId="8" type="noConversion"/>
  </si>
  <si>
    <t>SOC low Rank</t>
    <phoneticPr fontId="6" type="noConversion"/>
  </si>
  <si>
    <t>BMS_HeatTempDetErr</t>
    <phoneticPr fontId="8" type="noConversion"/>
  </si>
  <si>
    <t>Heat temperature detect error</t>
    <phoneticPr fontId="6" type="noConversion"/>
  </si>
  <si>
    <t>BMS_CellVoltDetErr</t>
    <phoneticPr fontId="8" type="noConversion"/>
  </si>
  <si>
    <t>BMS cell voltage detect error</t>
    <phoneticPr fontId="6" type="noConversion"/>
  </si>
  <si>
    <t>0x0:No error
0x1:Error</t>
    <phoneticPr fontId="8" type="noConversion"/>
  </si>
  <si>
    <t>BMS_BattVoltDetErr</t>
    <phoneticPr fontId="8" type="noConversion"/>
  </si>
  <si>
    <t>BMS battery pack voltage detect error</t>
    <phoneticPr fontId="6" type="noConversion"/>
  </si>
  <si>
    <t>BMS_CurrDetErr</t>
    <phoneticPr fontId="8" type="noConversion"/>
  </si>
  <si>
    <t>BMS current detect error</t>
    <phoneticPr fontId="6" type="noConversion"/>
  </si>
  <si>
    <t>BMS_IsolationDetectErr</t>
    <phoneticPr fontId="8" type="noConversion"/>
  </si>
  <si>
    <t>BMS isolation detect error</t>
    <phoneticPr fontId="6" type="noConversion"/>
  </si>
  <si>
    <t>BMS_ModuleTempDetErr</t>
    <phoneticPr fontId="8" type="noConversion"/>
  </si>
  <si>
    <t>Module temperature detect error</t>
    <phoneticPr fontId="6" type="noConversion"/>
  </si>
  <si>
    <t>BMS_BalanceCheckErr</t>
    <phoneticPr fontId="8" type="noConversion"/>
  </si>
  <si>
    <t>BMS balance check error</t>
    <phoneticPr fontId="6" type="noConversion"/>
  </si>
  <si>
    <t>BMS_InnerCANErr</t>
    <phoneticPr fontId="8" type="noConversion"/>
  </si>
  <si>
    <t>inner CAN error</t>
    <phoneticPr fontId="6" type="noConversion"/>
  </si>
  <si>
    <t>BMS_ChrgCANErr</t>
    <phoneticPr fontId="8" type="noConversion"/>
  </si>
  <si>
    <t>charge CAN error</t>
    <phoneticPr fontId="6" type="noConversion"/>
  </si>
  <si>
    <t>BMS_CarCANErr</t>
    <phoneticPr fontId="8" type="noConversion"/>
  </si>
  <si>
    <t>car CAN error</t>
    <phoneticPr fontId="6" type="noConversion"/>
  </si>
  <si>
    <t>BMS_GeneralErr</t>
    <phoneticPr fontId="8" type="noConversion"/>
  </si>
  <si>
    <t>BMS other error</t>
    <phoneticPr fontId="6" type="noConversion"/>
  </si>
  <si>
    <t>BMS_LVUnderVoltErr</t>
    <phoneticPr fontId="8" type="noConversion"/>
  </si>
  <si>
    <t>0x0:No error
0x1:Error</t>
    <phoneticPr fontId="6" type="noConversion"/>
  </si>
  <si>
    <t>BMS_LVOverVoltErr</t>
    <phoneticPr fontId="8" type="noConversion"/>
  </si>
  <si>
    <t>Low voltage side Over voltage error</t>
    <phoneticPr fontId="6" type="noConversion"/>
  </si>
  <si>
    <t>BMS_ACChrgActvtErr</t>
    <phoneticPr fontId="8" type="noConversion"/>
  </si>
  <si>
    <t>AC Charge Activate error</t>
    <phoneticPr fontId="6" type="noConversion"/>
  </si>
  <si>
    <t>BMS_DCChrgShakeHndErr</t>
    <phoneticPr fontId="8" type="noConversion"/>
  </si>
  <si>
    <t>DC Charge Shake hands error</t>
    <phoneticPr fontId="6" type="noConversion"/>
  </si>
  <si>
    <t>BMS_DCChrgOverCurrErr</t>
    <phoneticPr fontId="8" type="noConversion"/>
  </si>
  <si>
    <t>DC Charge Over Current  error</t>
    <phoneticPr fontId="6" type="noConversion"/>
  </si>
  <si>
    <t>BMS_ACChrgOverCurrErr</t>
    <phoneticPr fontId="8" type="noConversion"/>
  </si>
  <si>
    <t>AC Charge Over Current error</t>
    <phoneticPr fontId="6" type="noConversion"/>
  </si>
  <si>
    <t>BMS_CellUnderVoltRank</t>
    <phoneticPr fontId="8" type="noConversion"/>
  </si>
  <si>
    <t>cell under voltage Rank</t>
    <phoneticPr fontId="6" type="noConversion"/>
  </si>
  <si>
    <t>BMS_BattOverTempRank</t>
    <phoneticPr fontId="8" type="noConversion"/>
  </si>
  <si>
    <t>over temperature Rank</t>
    <phoneticPr fontId="6" type="noConversion"/>
  </si>
  <si>
    <t>BMS4</t>
    <phoneticPr fontId="6" type="noConversion"/>
  </si>
  <si>
    <r>
      <t>BMS_SOH</t>
    </r>
    <r>
      <rPr>
        <sz val="10"/>
        <color rgb="FFFF0000"/>
        <rFont val="Arial"/>
        <family val="2"/>
      </rPr>
      <t>Rank</t>
    </r>
    <phoneticPr fontId="6" type="noConversion"/>
  </si>
  <si>
    <t xml:space="preserve">SOH Over Low  Rank </t>
    <phoneticPr fontId="6" type="noConversion"/>
  </si>
  <si>
    <t>BMS_DCChrgPosRlyErr</t>
    <phoneticPr fontId="6" type="noConversion"/>
  </si>
  <si>
    <t>DC Positive  Relay error</t>
    <phoneticPr fontId="6" type="noConversion"/>
  </si>
  <si>
    <t>BMS</t>
    <phoneticPr fontId="6" type="noConversion"/>
  </si>
  <si>
    <t>BMS_DCChrgNegRlyErr</t>
    <phoneticPr fontId="6" type="noConversion"/>
  </si>
  <si>
    <t>DC Negative Relay error</t>
    <phoneticPr fontId="6" type="noConversion"/>
  </si>
  <si>
    <t>0x286</t>
    <phoneticPr fontId="8" type="noConversion"/>
  </si>
  <si>
    <t>0x0:No error
0x1:Error</t>
    <phoneticPr fontId="6" type="noConversion"/>
  </si>
  <si>
    <t>BMS</t>
    <phoneticPr fontId="0" type="noConversion"/>
  </si>
  <si>
    <t>CheckSum_BMS5</t>
    <phoneticPr fontId="8" type="noConversion"/>
  </si>
  <si>
    <t xml:space="preserve">Use the checksum strategy from document“GWMLAN00-18 Checksum Req Spec-V1.0” </t>
    <phoneticPr fontId="8" type="noConversion"/>
  </si>
  <si>
    <t>0x29A</t>
    <phoneticPr fontId="8" type="noConversion"/>
  </si>
  <si>
    <t>X</t>
    <phoneticPr fontId="8" type="noConversion"/>
  </si>
  <si>
    <t>BMS_ChrgCurrMax</t>
    <phoneticPr fontId="8" type="noConversion"/>
  </si>
  <si>
    <t xml:space="preserve">BMS maximun charge current </t>
    <phoneticPr fontId="0" type="noConversion"/>
  </si>
  <si>
    <t>0x0000</t>
    <phoneticPr fontId="0" type="noConversion"/>
  </si>
  <si>
    <t>A</t>
    <phoneticPr fontId="0" type="noConversion"/>
  </si>
  <si>
    <t>BMS_ChrgTime</t>
    <phoneticPr fontId="8" type="noConversion"/>
  </si>
  <si>
    <t>need charge time</t>
    <phoneticPr fontId="0" type="noConversion"/>
  </si>
  <si>
    <t>1min</t>
    <phoneticPr fontId="0" type="noConversion"/>
  </si>
  <si>
    <t>min</t>
    <phoneticPr fontId="0" type="noConversion"/>
  </si>
  <si>
    <t>RollingCounter_BMS5</t>
    <phoneticPr fontId="8" type="noConversion"/>
  </si>
  <si>
    <t>BMS5 rolling counter</t>
    <phoneticPr fontId="8" type="noConversion"/>
  </si>
  <si>
    <t>CheckSum_BMS6</t>
    <phoneticPr fontId="8" type="noConversion"/>
  </si>
  <si>
    <t>0x2FF</t>
    <phoneticPr fontId="8" type="noConversion"/>
  </si>
  <si>
    <t>OBC</t>
    <phoneticPr fontId="0" type="noConversion"/>
  </si>
  <si>
    <t>BMS_ReqChrgVolt</t>
    <phoneticPr fontId="8" type="noConversion"/>
  </si>
  <si>
    <t>BMS Requested Charge Voltage</t>
    <phoneticPr fontId="0" type="noConversion"/>
  </si>
  <si>
    <t>BMS6</t>
    <phoneticPr fontId="0" type="noConversion"/>
  </si>
  <si>
    <t>0.1V</t>
    <phoneticPr fontId="0" type="noConversion"/>
  </si>
  <si>
    <t>V</t>
    <phoneticPr fontId="0" type="noConversion"/>
  </si>
  <si>
    <t>BMS_ReqChrgCurr</t>
    <phoneticPr fontId="8" type="noConversion"/>
  </si>
  <si>
    <t>BMS Requested Charge current</t>
    <phoneticPr fontId="0" type="noConversion"/>
  </si>
  <si>
    <t>0.1A</t>
    <phoneticPr fontId="0" type="noConversion"/>
  </si>
  <si>
    <t>BMS_ChrgEnable</t>
    <phoneticPr fontId="8" type="noConversion"/>
  </si>
  <si>
    <t>BMS charge enable control</t>
    <phoneticPr fontId="0" type="noConversion"/>
  </si>
  <si>
    <t>0x0:Default value
0x1:Turn on
0x2:Turn off (end of charge)
0x3:Reserved</t>
    <phoneticPr fontId="0" type="noConversion"/>
  </si>
  <si>
    <t>BMS_HeatReq</t>
    <phoneticPr fontId="8" type="noConversion"/>
  </si>
  <si>
    <t>BMS_Heatrequest</t>
    <phoneticPr fontId="8" type="noConversion"/>
  </si>
  <si>
    <t>0x0:No Request
0x1:Request</t>
    <phoneticPr fontId="8" type="noConversion"/>
  </si>
  <si>
    <t>BMS_ChrgReq</t>
    <phoneticPr fontId="8" type="noConversion"/>
  </si>
  <si>
    <t>BMS_Chargerequest</t>
    <phoneticPr fontId="8" type="noConversion"/>
  </si>
  <si>
    <t>BMS_DCChrgConnect</t>
    <phoneticPr fontId="8" type="noConversion"/>
  </si>
  <si>
    <t>DC charger connect</t>
    <phoneticPr fontId="0" type="noConversion"/>
  </si>
  <si>
    <t xml:space="preserve">
CF-CAN:To IP</t>
    <phoneticPr fontId="0" type="noConversion"/>
  </si>
  <si>
    <t>BMS_ChrgSts</t>
    <phoneticPr fontId="8" type="noConversion"/>
  </si>
  <si>
    <t>BMS charge status</t>
    <phoneticPr fontId="0" type="noConversion"/>
  </si>
  <si>
    <t>BMS_heatstatus</t>
    <phoneticPr fontId="8" type="noConversion"/>
  </si>
  <si>
    <t>0x2FF</t>
    <phoneticPr fontId="8" type="noConversion"/>
  </si>
  <si>
    <t>RollingCounter_BMS6</t>
    <phoneticPr fontId="0" type="noConversion"/>
  </si>
  <si>
    <t>BMS6 rolling counter</t>
    <phoneticPr fontId="0" type="noConversion"/>
  </si>
  <si>
    <t>GW</t>
    <phoneticPr fontId="0" type="noConversion"/>
  </si>
  <si>
    <t>E</t>
    <phoneticPr fontId="0" type="noConversion"/>
  </si>
  <si>
    <t>0x0</t>
    <phoneticPr fontId="16" type="noConversion"/>
  </si>
  <si>
    <t>/</t>
    <phoneticPr fontId="16" type="noConversion"/>
  </si>
  <si>
    <t>CheckSum_BMS9</t>
    <phoneticPr fontId="8" type="noConversion"/>
  </si>
  <si>
    <t>0x324</t>
    <phoneticPr fontId="0" type="noConversion"/>
  </si>
  <si>
    <r>
      <rPr>
        <sz val="10"/>
        <rFont val="宋体"/>
        <family val="3"/>
        <charset val="134"/>
      </rPr>
      <t>≤</t>
    </r>
    <r>
      <rPr>
        <sz val="10"/>
        <rFont val="Arial"/>
        <family val="2"/>
      </rPr>
      <t xml:space="preserve">100 </t>
    </r>
    <phoneticPr fontId="8" type="noConversion"/>
  </si>
  <si>
    <t>BMS_SOH</t>
    <phoneticPr fontId="8" type="noConversion"/>
  </si>
  <si>
    <t>State Of Healthy</t>
    <phoneticPr fontId="0" type="noConversion"/>
  </si>
  <si>
    <t>0x324</t>
    <phoneticPr fontId="0" type="noConversion"/>
  </si>
  <si>
    <r>
      <rPr>
        <sz val="10"/>
        <rFont val="宋体"/>
        <family val="3"/>
        <charset val="134"/>
      </rPr>
      <t>≤</t>
    </r>
    <r>
      <rPr>
        <sz val="10"/>
        <rFont val="Arial"/>
        <family val="2"/>
      </rPr>
      <t xml:space="preserve">100 </t>
    </r>
    <phoneticPr fontId="8" type="noConversion"/>
  </si>
  <si>
    <t>0x64</t>
    <phoneticPr fontId="0" type="noConversion"/>
  </si>
  <si>
    <t>BMS_IsolationRValue</t>
    <phoneticPr fontId="8" type="noConversion"/>
  </si>
  <si>
    <t>Isolation resistance value</t>
    <phoneticPr fontId="0" type="noConversion"/>
  </si>
  <si>
    <t>BMS9</t>
    <phoneticPr fontId="0" type="noConversion"/>
  </si>
  <si>
    <t>5s</t>
    <phoneticPr fontId="0" type="noConversion"/>
  </si>
  <si>
    <t>0x2710</t>
    <phoneticPr fontId="0" type="noConversion"/>
  </si>
  <si>
    <t>Kohm</t>
    <phoneticPr fontId="0" type="noConversion"/>
  </si>
  <si>
    <t>RollingCounter_BMS9</t>
    <phoneticPr fontId="0" type="noConversion"/>
  </si>
  <si>
    <t>Rollingcounter</t>
    <phoneticPr fontId="0" type="noConversion"/>
  </si>
  <si>
    <t xml:space="preserve">Use the checksum strategy from document
“GWMLAN00-18 Checksum Req Spec-V1.0” </t>
    <phoneticPr fontId="8" type="noConversion"/>
  </si>
  <si>
    <t>BMS software version</t>
    <phoneticPr fontId="0" type="noConversion"/>
  </si>
  <si>
    <t>0x00</t>
    <phoneticPr fontId="0" type="noConversion"/>
  </si>
  <si>
    <t>current of battery pack</t>
    <phoneticPr fontId="0" type="noConversion"/>
  </si>
  <si>
    <t>BMS hardware version</t>
    <phoneticPr fontId="0" type="noConversion"/>
  </si>
  <si>
    <t>BMS_DCChrgOutlTemp1</t>
    <phoneticPr fontId="8" type="noConversion"/>
  </si>
  <si>
    <t>BMS12</t>
    <phoneticPr fontId="6" type="noConversion"/>
  </si>
  <si>
    <t>0x2E2</t>
    <phoneticPr fontId="6" type="noConversion"/>
  </si>
  <si>
    <t>0x00</t>
    <phoneticPr fontId="6" type="noConversion"/>
  </si>
  <si>
    <r>
      <t>1</t>
    </r>
    <r>
      <rPr>
        <sz val="10"/>
        <rFont val="宋体"/>
        <family val="3"/>
        <charset val="134"/>
      </rPr>
      <t>℃</t>
    </r>
    <phoneticPr fontId="6" type="noConversion"/>
  </si>
  <si>
    <t>℃</t>
    <phoneticPr fontId="6" type="noConversion"/>
  </si>
  <si>
    <t>BMS_DCChrgOutlTemp2</t>
    <phoneticPr fontId="8" type="noConversion"/>
  </si>
  <si>
    <t>0x00</t>
    <phoneticPr fontId="6" type="noConversion"/>
  </si>
  <si>
    <r>
      <t>1</t>
    </r>
    <r>
      <rPr>
        <sz val="10"/>
        <rFont val="宋体"/>
        <family val="3"/>
        <charset val="134"/>
      </rPr>
      <t>℃</t>
    </r>
    <phoneticPr fontId="6" type="noConversion"/>
  </si>
  <si>
    <t>℃</t>
    <phoneticPr fontId="6" type="noConversion"/>
  </si>
  <si>
    <t>BMS_BattHeatrTemp1</t>
    <phoneticPr fontId="8" type="noConversion"/>
  </si>
  <si>
    <t>BMS_Batteryheatertemperature1</t>
    <phoneticPr fontId="8" type="noConversion"/>
  </si>
  <si>
    <t>0x2E2</t>
    <phoneticPr fontId="6" type="noConversion"/>
  </si>
  <si>
    <t>BMS_BattHeatrTemp2</t>
    <phoneticPr fontId="8" type="noConversion"/>
  </si>
  <si>
    <t>BMS_Batteryheatertemperature2</t>
    <phoneticPr fontId="8" type="noConversion"/>
  </si>
  <si>
    <t>BMS_PosRlyErr</t>
    <phoneticPr fontId="8" type="noConversion"/>
  </si>
  <si>
    <t>positive relay error</t>
    <phoneticPr fontId="6" type="noConversion"/>
  </si>
  <si>
    <t>0x0:Normal
0x1:stick open
0x2:stick close
0x3:Reserved</t>
    <phoneticPr fontId="8" type="noConversion"/>
  </si>
  <si>
    <t>BMS_NegRlyErr</t>
    <phoneticPr fontId="8" type="noConversion"/>
  </si>
  <si>
    <t>negative relay error</t>
    <phoneticPr fontId="6" type="noConversion"/>
  </si>
  <si>
    <t>BMS_PreRlyErr</t>
    <phoneticPr fontId="8" type="noConversion"/>
  </si>
  <si>
    <t>precharge relay error</t>
    <phoneticPr fontId="6" type="noConversion"/>
  </si>
  <si>
    <t>BMS_HeatRlyErr</t>
    <phoneticPr fontId="8" type="noConversion"/>
  </si>
  <si>
    <t>heat relay error</t>
    <phoneticPr fontId="6" type="noConversion"/>
  </si>
  <si>
    <t>BMS_SysErr</t>
    <phoneticPr fontId="8" type="noConversion"/>
  </si>
  <si>
    <t>BMS_System Error</t>
    <phoneticPr fontId="8" type="noConversion"/>
  </si>
  <si>
    <t>CF-CAN:To IP</t>
    <phoneticPr fontId="6" type="noConversion"/>
  </si>
  <si>
    <t>BMS_Battery Heater Over Temperature</t>
    <phoneticPr fontId="8" type="noConversion"/>
  </si>
  <si>
    <t>BMS_PrechrgErr</t>
    <phoneticPr fontId="8" type="noConversion"/>
  </si>
  <si>
    <t>BMS_Precharge Error</t>
    <phoneticPr fontId="8" type="noConversion"/>
  </si>
  <si>
    <t>BMS_ModuleTempMin</t>
    <phoneticPr fontId="8" type="noConversion"/>
  </si>
  <si>
    <t>minimun module temperature</t>
    <phoneticPr fontId="0" type="noConversion"/>
  </si>
  <si>
    <t>BMS13</t>
    <phoneticPr fontId="0" type="noConversion"/>
  </si>
  <si>
    <t>0x2E4</t>
    <phoneticPr fontId="8" type="noConversion"/>
  </si>
  <si>
    <r>
      <t>1</t>
    </r>
    <r>
      <rPr>
        <sz val="10"/>
        <rFont val="宋体"/>
        <family val="3"/>
        <charset val="134"/>
      </rPr>
      <t>℃</t>
    </r>
    <phoneticPr fontId="0" type="noConversion"/>
  </si>
  <si>
    <t>℃</t>
    <phoneticPr fontId="0" type="noConversion"/>
  </si>
  <si>
    <t>BMS_ModuleTempMax</t>
    <phoneticPr fontId="8" type="noConversion"/>
  </si>
  <si>
    <t>maximun module temperature</t>
    <phoneticPr fontId="0" type="noConversion"/>
  </si>
  <si>
    <t>BMS_ModuleTempaverage</t>
    <phoneticPr fontId="8" type="noConversion"/>
  </si>
  <si>
    <t>average module temperature</t>
    <phoneticPr fontId="0" type="noConversion"/>
  </si>
  <si>
    <t>0x2E4</t>
    <phoneticPr fontId="0" type="noConversion"/>
  </si>
  <si>
    <t>BMS_BattModuleTemp1</t>
    <phoneticPr fontId="0" type="noConversion"/>
  </si>
  <si>
    <t>module temperature of power battery_1</t>
    <phoneticPr fontId="8" type="noConversion"/>
  </si>
  <si>
    <t>BMS14</t>
    <phoneticPr fontId="16" type="noConversion"/>
  </si>
  <si>
    <t>0x3C0</t>
    <phoneticPr fontId="8" type="noConversion"/>
  </si>
  <si>
    <t>/</t>
    <phoneticPr fontId="16" type="noConversion"/>
  </si>
  <si>
    <t>8</t>
    <phoneticPr fontId="0" type="noConversion"/>
  </si>
  <si>
    <t>Unsigned</t>
    <phoneticPr fontId="8" type="noConversion"/>
  </si>
  <si>
    <t>/</t>
    <phoneticPr fontId="34" type="noConversion"/>
  </si>
  <si>
    <t>module temperature of power battery_2</t>
    <phoneticPr fontId="8" type="noConversion"/>
  </si>
  <si>
    <t>0x3C0</t>
    <phoneticPr fontId="0" type="noConversion"/>
  </si>
  <si>
    <t xml:space="preserve"> </t>
    <phoneticPr fontId="0" type="noConversion"/>
  </si>
  <si>
    <t>0x3C0</t>
    <phoneticPr fontId="16" type="noConversion"/>
  </si>
  <si>
    <t>BMS15</t>
    <phoneticPr fontId="16" type="noConversion"/>
  </si>
  <si>
    <t>0x3F0</t>
    <phoneticPr fontId="0" type="noConversion"/>
  </si>
  <si>
    <t>/</t>
    <phoneticPr fontId="34" type="noConversion"/>
  </si>
  <si>
    <t xml:space="preserve"> </t>
    <phoneticPr fontId="0" type="noConversion"/>
  </si>
  <si>
    <t>BMS</t>
    <phoneticPr fontId="8" type="noConversion"/>
  </si>
  <si>
    <t>BMS15</t>
    <phoneticPr fontId="16" type="noConversion"/>
  </si>
  <si>
    <t>0x3F0</t>
    <phoneticPr fontId="0" type="noConversion"/>
  </si>
  <si>
    <t>8</t>
    <phoneticPr fontId="0" type="noConversion"/>
  </si>
  <si>
    <t>Unsigned</t>
    <phoneticPr fontId="8" type="noConversion"/>
  </si>
  <si>
    <t>BMS16</t>
    <phoneticPr fontId="16" type="noConversion"/>
  </si>
  <si>
    <t>0x3FA</t>
    <phoneticPr fontId="0" type="noConversion"/>
  </si>
  <si>
    <t>BMS_ProductionDate</t>
    <phoneticPr fontId="0" type="noConversion"/>
  </si>
  <si>
    <t>Production Date</t>
    <phoneticPr fontId="0" type="noConversion"/>
  </si>
  <si>
    <t>BMS_SerlNumber</t>
    <phoneticPr fontId="0" type="noConversion"/>
  </si>
  <si>
    <t>Serial Number</t>
    <phoneticPr fontId="0" type="noConversion"/>
  </si>
  <si>
    <t>BMS_BattModuleTemp18</t>
    <phoneticPr fontId="0" type="noConversion"/>
  </si>
  <si>
    <t>module temperature of power battery_18</t>
    <phoneticPr fontId="0" type="noConversion"/>
  </si>
  <si>
    <t>BMS_BattModuleTemp19</t>
    <phoneticPr fontId="0" type="noConversion"/>
  </si>
  <si>
    <t>BMS_SignleCellVolt25</t>
    <phoneticPr fontId="16" type="noConversion"/>
  </si>
  <si>
    <t>BMS_SignleCellVolt33</t>
    <phoneticPr fontId="16" type="noConversion"/>
  </si>
  <si>
    <t>BMS22</t>
    <phoneticPr fontId="0" type="noConversion"/>
  </si>
  <si>
    <t>BMS_SignleCellVolt34</t>
    <phoneticPr fontId="16" type="noConversion"/>
  </si>
  <si>
    <t>BMS_SignleCellVolt41</t>
    <phoneticPr fontId="16" type="noConversion"/>
  </si>
  <si>
    <t>BMS_SignleCellVolt57</t>
    <phoneticPr fontId="16" type="noConversion"/>
  </si>
  <si>
    <t>BMS_SignleCellVolt58</t>
    <phoneticPr fontId="16" type="noConversion"/>
  </si>
  <si>
    <t>BMS_SignleCellVolt65</t>
    <phoneticPr fontId="16" type="noConversion"/>
  </si>
  <si>
    <t>BMS_SignleCellVolt73</t>
    <phoneticPr fontId="16" type="noConversion"/>
  </si>
  <si>
    <t>BMS_SignleCellVolt74</t>
    <phoneticPr fontId="16" type="noConversion"/>
  </si>
  <si>
    <t>BMS_SignleCellVolt81</t>
    <phoneticPr fontId="16" type="noConversion"/>
  </si>
  <si>
    <t>BMS28</t>
    <phoneticPr fontId="16" type="noConversion"/>
  </si>
  <si>
    <t>0x3DC</t>
    <phoneticPr fontId="16" type="noConversion"/>
  </si>
  <si>
    <t>BMS_SignleCellVolt89</t>
    <phoneticPr fontId="16" type="noConversion"/>
  </si>
  <si>
    <t>BMS29</t>
    <phoneticPr fontId="16" type="noConversion"/>
  </si>
  <si>
    <t>0x3DD</t>
    <phoneticPr fontId="16" type="noConversion"/>
  </si>
  <si>
    <t>BMS31</t>
    <phoneticPr fontId="0" type="noConversion"/>
  </si>
  <si>
    <t>0x3C6</t>
    <phoneticPr fontId="0" type="noConversion"/>
  </si>
  <si>
    <t>BMS_SignleCellVolt92</t>
    <phoneticPr fontId="0" type="noConversion"/>
  </si>
  <si>
    <t>BMS32</t>
    <phoneticPr fontId="0" type="noConversion"/>
  </si>
  <si>
    <t xml:space="preserve">0x3EC </t>
    <phoneticPr fontId="0" type="noConversion"/>
  </si>
  <si>
    <t>BMS33</t>
    <phoneticPr fontId="0" type="noConversion"/>
  </si>
  <si>
    <t>BMS_BattModuleTemp20</t>
    <phoneticPr fontId="0" type="noConversion"/>
  </si>
  <si>
    <t>BMS34</t>
    <phoneticPr fontId="16" type="noConversion"/>
  </si>
  <si>
    <t>BMS_BattModuleTemp21</t>
    <phoneticPr fontId="0" type="noConversion"/>
  </si>
  <si>
    <t>BMS_BattModuleTemp22</t>
    <phoneticPr fontId="0" type="noConversion"/>
  </si>
  <si>
    <t>BMS_BattModuleTemp23</t>
    <phoneticPr fontId="0" type="noConversion"/>
  </si>
  <si>
    <t>BMS_BattModuleTemp24</t>
    <phoneticPr fontId="0" type="noConversion"/>
  </si>
  <si>
    <t>BMS_BattModuleTemp25</t>
    <phoneticPr fontId="0" type="noConversion"/>
  </si>
  <si>
    <t>BMS_BattModuleTemp26</t>
    <phoneticPr fontId="0" type="noConversion"/>
  </si>
  <si>
    <t>BMS_BattModuleTemp27</t>
    <phoneticPr fontId="0" type="noConversion"/>
  </si>
  <si>
    <t>BMS_BattModuleTemp28</t>
    <phoneticPr fontId="0" type="noConversion"/>
  </si>
  <si>
    <t>BMS35</t>
    <phoneticPr fontId="0" type="noConversion"/>
  </si>
  <si>
    <t>BMS_BattModuleTemp29</t>
    <phoneticPr fontId="0" type="noConversion"/>
  </si>
  <si>
    <t>BMS_BattModuleTemp30</t>
    <phoneticPr fontId="0" type="noConversion"/>
  </si>
  <si>
    <t>BMS_BattModuleTemp31</t>
    <phoneticPr fontId="0" type="noConversion"/>
  </si>
  <si>
    <t>BMS_BattModuleTemp32</t>
    <phoneticPr fontId="0" type="noConversion"/>
  </si>
  <si>
    <t>BMS_BattModuleTemp33</t>
    <phoneticPr fontId="0" type="noConversion"/>
  </si>
  <si>
    <t>BMS_BattModuleTemp34</t>
    <phoneticPr fontId="0" type="noConversion"/>
  </si>
  <si>
    <t>CheckSum_OBC1</t>
    <phoneticPr fontId="8" type="noConversion"/>
  </si>
  <si>
    <t>OBC1</t>
    <phoneticPr fontId="0" type="noConversion"/>
  </si>
  <si>
    <t>0x316</t>
    <phoneticPr fontId="0" type="noConversion"/>
  </si>
  <si>
    <t>OBC</t>
    <phoneticPr fontId="0" type="noConversion"/>
  </si>
  <si>
    <t>charger output voltage</t>
    <phoneticPr fontId="0" type="noConversion"/>
  </si>
  <si>
    <t>OBC_FailSts</t>
    <phoneticPr fontId="8" type="noConversion"/>
  </si>
  <si>
    <t>OBC failure state</t>
    <phoneticPr fontId="8" type="noConversion"/>
  </si>
  <si>
    <t>charger output current</t>
    <phoneticPr fontId="0" type="noConversion"/>
  </si>
  <si>
    <t>OBC_ModSts</t>
    <phoneticPr fontId="0" type="noConversion"/>
  </si>
  <si>
    <t>mode status of charger</t>
    <phoneticPr fontId="0" type="noConversion"/>
  </si>
  <si>
    <t>OBC1</t>
    <phoneticPr fontId="0" type="noConversion"/>
  </si>
  <si>
    <t>0x316</t>
    <phoneticPr fontId="0" type="noConversion"/>
  </si>
  <si>
    <t>/</t>
    <phoneticPr fontId="34" type="noConversion"/>
  </si>
  <si>
    <t>OBC</t>
    <phoneticPr fontId="0" type="noConversion"/>
  </si>
  <si>
    <t>RollingCounter_OBC1</t>
    <phoneticPr fontId="8" type="noConversion"/>
  </si>
  <si>
    <t>OBC1 rolling counter</t>
    <phoneticPr fontId="0" type="noConversion"/>
  </si>
  <si>
    <t>CheckSum_OBC2</t>
    <phoneticPr fontId="8" type="noConversion"/>
  </si>
  <si>
    <t xml:space="preserve">Use the checksum strategy from document“GWMLAN00-18 Checksum Req Spec-V1.0” </t>
    <phoneticPr fontId="8" type="noConversion"/>
  </si>
  <si>
    <t>OBC2</t>
    <phoneticPr fontId="0" type="noConversion"/>
  </si>
  <si>
    <t>0x317</t>
    <phoneticPr fontId="0" type="noConversion"/>
  </si>
  <si>
    <r>
      <rPr>
        <sz val="10"/>
        <rFont val="宋体"/>
        <family val="3"/>
        <charset val="134"/>
      </rPr>
      <t>≤</t>
    </r>
    <r>
      <rPr>
        <sz val="10"/>
        <rFont val="Arial"/>
        <family val="2"/>
      </rPr>
      <t>200</t>
    </r>
    <phoneticPr fontId="6" type="noConversion"/>
  </si>
  <si>
    <t>OBC_ChrgrOutputVoltMax</t>
    <phoneticPr fontId="0" type="noConversion"/>
  </si>
  <si>
    <t>charger maximum output voltage</t>
    <phoneticPr fontId="0" type="noConversion"/>
  </si>
  <si>
    <t>OBC2</t>
    <phoneticPr fontId="0" type="noConversion"/>
  </si>
  <si>
    <t>0x317</t>
    <phoneticPr fontId="0" type="noConversion"/>
  </si>
  <si>
    <r>
      <rPr>
        <sz val="10"/>
        <rFont val="宋体"/>
        <family val="3"/>
        <charset val="134"/>
      </rPr>
      <t>≤</t>
    </r>
    <r>
      <rPr>
        <sz val="10"/>
        <rFont val="Arial"/>
        <family val="2"/>
      </rPr>
      <t>200</t>
    </r>
    <phoneticPr fontId="6" type="noConversion"/>
  </si>
  <si>
    <t>OBC_OutputOverVoltErr</t>
    <phoneticPr fontId="8" type="noConversion"/>
  </si>
  <si>
    <t xml:space="preserve">output over voltage </t>
    <phoneticPr fontId="8" type="noConversion"/>
  </si>
  <si>
    <t>OBC_OutputUnderVoltErr</t>
    <phoneticPr fontId="8" type="noConversion"/>
  </si>
  <si>
    <t xml:space="preserve">output under voltage </t>
    <phoneticPr fontId="8" type="noConversion"/>
  </si>
  <si>
    <t>OBC_ChrgrOutputCurrMax</t>
    <phoneticPr fontId="0" type="noConversion"/>
  </si>
  <si>
    <t>charger maximum output current</t>
    <phoneticPr fontId="0" type="noConversion"/>
  </si>
  <si>
    <t>OBC_InputOverCurrErr</t>
    <phoneticPr fontId="8" type="noConversion"/>
  </si>
  <si>
    <t>input over current</t>
    <phoneticPr fontId="8" type="noConversion"/>
  </si>
  <si>
    <t>OBC_OutputOverCurrErr</t>
    <phoneticPr fontId="8" type="noConversion"/>
  </si>
  <si>
    <t>output over current</t>
    <phoneticPr fontId="8" type="noConversion"/>
  </si>
  <si>
    <t>OBC_OutputShortCircErr</t>
    <phoneticPr fontId="8" type="noConversion"/>
  </si>
  <si>
    <t>output short circuit</t>
    <phoneticPr fontId="8" type="noConversion"/>
  </si>
  <si>
    <t>OBC_HwFault</t>
    <phoneticPr fontId="8" type="noConversion"/>
  </si>
  <si>
    <t>OBC_OverTempProtn</t>
    <phoneticPr fontId="8" type="noConversion"/>
  </si>
  <si>
    <t>Over temperature protection</t>
    <phoneticPr fontId="0" type="noConversion"/>
  </si>
  <si>
    <t>OBC_InputVoltFault</t>
    <phoneticPr fontId="8" type="noConversion"/>
  </si>
  <si>
    <t>OBC_ComOverTime</t>
    <phoneticPr fontId="8" type="noConversion"/>
  </si>
  <si>
    <t>OBC charge connect status</t>
    <phoneticPr fontId="0" type="noConversion"/>
  </si>
  <si>
    <t>0x0:Not connected
0x1:Connected
0x2:Error
0x3:Reserved</t>
    <phoneticPr fontId="0" type="noConversion"/>
  </si>
  <si>
    <t>OBC</t>
    <phoneticPr fontId="6" type="noConversion"/>
  </si>
  <si>
    <t>OBC_CoolingLiquidTemp</t>
    <phoneticPr fontId="6" type="noConversion"/>
  </si>
  <si>
    <t>0x317</t>
    <phoneticPr fontId="8" type="noConversion"/>
  </si>
  <si>
    <t>Last Value</t>
    <phoneticPr fontId="6" type="noConversion"/>
  </si>
  <si>
    <t>RollingCounter_OBC2</t>
    <phoneticPr fontId="8" type="noConversion"/>
  </si>
  <si>
    <t>OBC2 rolling counter</t>
    <phoneticPr fontId="0" type="noConversion"/>
  </si>
  <si>
    <t>OBC_CPLineSts</t>
    <phoneticPr fontId="0" type="noConversion"/>
  </si>
  <si>
    <t>The CP line status</t>
    <phoneticPr fontId="0" type="noConversion"/>
  </si>
  <si>
    <t>OBC3</t>
    <phoneticPr fontId="0" type="noConversion"/>
  </si>
  <si>
    <t>0x31F</t>
    <phoneticPr fontId="0" type="noConversion"/>
  </si>
  <si>
    <r>
      <t xml:space="preserve">0x0:Not connected
0x1:No Fault
0x2:Error
</t>
    </r>
    <r>
      <rPr>
        <sz val="10"/>
        <rFont val="Arial Unicode MS"/>
        <family val="2"/>
        <charset val="134"/>
      </rPr>
      <t>0x3:S2 lock-up state failure</t>
    </r>
    <phoneticPr fontId="0" type="noConversion"/>
  </si>
  <si>
    <t>OBC_ChrgrInputVolt</t>
    <phoneticPr fontId="0" type="noConversion"/>
  </si>
  <si>
    <t>charger Input voltage</t>
    <phoneticPr fontId="0" type="noConversion"/>
  </si>
  <si>
    <t>The CC line status,uesd for error detection.</t>
    <phoneticPr fontId="0" type="noConversion"/>
  </si>
  <si>
    <t>MCU</t>
    <phoneticPr fontId="0" type="noConversion"/>
  </si>
  <si>
    <t>MCU1</t>
    <phoneticPr fontId="8" type="noConversion"/>
  </si>
  <si>
    <t>0x284</t>
    <phoneticPr fontId="8" type="noConversion"/>
  </si>
  <si>
    <t xml:space="preserve">Offset angle </t>
    <phoneticPr fontId="8" type="noConversion"/>
  </si>
  <si>
    <t>°</t>
    <phoneticPr fontId="6" type="noConversion"/>
  </si>
  <si>
    <t>The power of motor</t>
    <phoneticPr fontId="0" type="noConversion"/>
  </si>
  <si>
    <r>
      <rPr>
        <sz val="10"/>
        <rFont val="宋体"/>
        <family val="3"/>
        <charset val="134"/>
      </rPr>
      <t>≤</t>
    </r>
    <r>
      <rPr>
        <sz val="10"/>
        <rFont val="Arial"/>
        <family val="2"/>
      </rPr>
      <t>200</t>
    </r>
    <r>
      <rPr>
        <sz val="11"/>
        <color theme="1"/>
        <rFont val="宋体"/>
        <family val="2"/>
        <charset val="134"/>
        <scheme val="minor"/>
      </rPr>
      <t/>
    </r>
  </si>
  <si>
    <t>KW</t>
    <phoneticPr fontId="0" type="noConversion"/>
  </si>
  <si>
    <r>
      <t>CF-CAN:To IP</t>
    </r>
    <r>
      <rPr>
        <sz val="10"/>
        <rFont val="宋体"/>
        <family val="3"/>
        <charset val="134"/>
      </rPr>
      <t>，</t>
    </r>
    <r>
      <rPr>
        <sz val="10"/>
        <rFont val="Arial"/>
        <family val="2"/>
      </rPr>
      <t>HUT</t>
    </r>
    <phoneticPr fontId="0" type="noConversion"/>
  </si>
  <si>
    <t>Derating because of over temperature e-machine(Motor)</t>
    <phoneticPr fontId="8" type="noConversion"/>
  </si>
  <si>
    <t>Derating because of over current (regenerative -&gt; min) of inverter, e-machine(Motor)</t>
    <phoneticPr fontId="8" type="noConversion"/>
  </si>
  <si>
    <t>Derating because of over current inverter/e-machine(Motor)</t>
    <phoneticPr fontId="8" type="noConversion"/>
  </si>
  <si>
    <t>Derating because of under voltage HV</t>
    <phoneticPr fontId="8" type="noConversion"/>
  </si>
  <si>
    <t>TM_Derating_OverVolt</t>
    <phoneticPr fontId="8" type="noConversion"/>
  </si>
  <si>
    <t>MCU1</t>
    <phoneticPr fontId="8" type="noConversion"/>
  </si>
  <si>
    <t>0x284</t>
    <phoneticPr fontId="8" type="noConversion"/>
  </si>
  <si>
    <t>MCU</t>
    <phoneticPr fontId="0" type="noConversion"/>
  </si>
  <si>
    <t>Calibrate the offset angle request for e-maschine/inverter (calibration mode)</t>
    <phoneticPr fontId="8" type="noConversion"/>
  </si>
  <si>
    <t>MCU1 rolling counter</t>
    <phoneticPr fontId="0" type="noConversion"/>
  </si>
  <si>
    <t>MCU2</t>
    <phoneticPr fontId="8" type="noConversion"/>
  </si>
  <si>
    <t>0x0FA</t>
    <phoneticPr fontId="8" type="noConversion"/>
  </si>
  <si>
    <t>Actual low voltage at DCDC</t>
    <phoneticPr fontId="8" type="noConversion"/>
  </si>
  <si>
    <t>Temperature of DCDC Power stage</t>
    <phoneticPr fontId="8" type="noConversion"/>
  </si>
  <si>
    <r>
      <rPr>
        <sz val="10"/>
        <rFont val="宋体"/>
        <family val="3"/>
        <charset val="134"/>
      </rPr>
      <t>℃</t>
    </r>
    <phoneticPr fontId="8" type="noConversion"/>
  </si>
  <si>
    <t>Actual (input) Current at high voltage side DCDC</t>
    <phoneticPr fontId="8" type="noConversion"/>
  </si>
  <si>
    <t>Actual (output) current at low voltage DCDC</t>
    <phoneticPr fontId="8" type="noConversion"/>
  </si>
  <si>
    <t>0x000</t>
    <phoneticPr fontId="0" type="noConversion"/>
  </si>
  <si>
    <t>Derating because of over temperature inverter</t>
    <phoneticPr fontId="8" type="noConversion"/>
  </si>
  <si>
    <t>x</t>
    <phoneticPr fontId="0" type="noConversion"/>
  </si>
  <si>
    <t>CF-CAN:To IP
SE-CAN:To TBK</t>
    <phoneticPr fontId="0" type="noConversion"/>
  </si>
  <si>
    <t>Derating because of too low voltage at HV</t>
    <phoneticPr fontId="8" type="noConversion"/>
  </si>
  <si>
    <t>RollingCounter_MCU2</t>
    <phoneticPr fontId="8" type="noConversion"/>
  </si>
  <si>
    <t>MCU2 rolling counter</t>
    <phoneticPr fontId="0" type="noConversion"/>
  </si>
  <si>
    <t>CheckSum_MCU3</t>
    <phoneticPr fontId="8" type="noConversion"/>
  </si>
  <si>
    <t>MCU3</t>
    <phoneticPr fontId="8" type="noConversion"/>
  </si>
  <si>
    <t>0x0FB</t>
    <phoneticPr fontId="8" type="noConversion"/>
  </si>
  <si>
    <t xml:space="preserve">actual rotation speed TM(Traction Motor) </t>
    <phoneticPr fontId="8" type="noConversion"/>
  </si>
  <si>
    <t>MCU3</t>
    <phoneticPr fontId="8" type="noConversion"/>
  </si>
  <si>
    <t>/</t>
    <phoneticPr fontId="0" type="noConversion"/>
  </si>
  <si>
    <t>X</t>
    <phoneticPr fontId="0" type="noConversion"/>
  </si>
  <si>
    <t>MCU</t>
    <phoneticPr fontId="0" type="noConversion"/>
  </si>
  <si>
    <t xml:space="preserve">Operation mode of TM(Traction Motor) </t>
    <phoneticPr fontId="8" type="noConversion"/>
  </si>
  <si>
    <t>MCU3</t>
    <phoneticPr fontId="8" type="noConversion"/>
  </si>
  <si>
    <t>0x0FB</t>
    <phoneticPr fontId="8" type="noConversion"/>
  </si>
  <si>
    <t>P</t>
    <phoneticPr fontId="0" type="noConversion"/>
  </si>
  <si>
    <t>/</t>
    <phoneticPr fontId="6" type="noConversion"/>
  </si>
  <si>
    <t>Motorola</t>
    <phoneticPr fontId="0" type="noConversion"/>
  </si>
  <si>
    <t>Unsigned</t>
    <phoneticPr fontId="0" type="noConversion"/>
  </si>
  <si>
    <t>0x1</t>
    <phoneticPr fontId="0" type="noConversion"/>
  </si>
  <si>
    <t>TM(Traction Motor)  Fail state</t>
    <phoneticPr fontId="0" type="noConversion"/>
  </si>
  <si>
    <t>0x0</t>
    <phoneticPr fontId="0" type="noConversion"/>
  </si>
  <si>
    <t>FailCode</t>
    <phoneticPr fontId="0" type="noConversion"/>
  </si>
  <si>
    <t>0x00</t>
    <phoneticPr fontId="0" type="noConversion"/>
  </si>
  <si>
    <t>TM_ActTrq</t>
    <phoneticPr fontId="8" type="noConversion"/>
  </si>
  <si>
    <t xml:space="preserve">actual torque TM(Traction Motor) </t>
    <phoneticPr fontId="8" type="noConversion"/>
  </si>
  <si>
    <t>0x000</t>
    <phoneticPr fontId="0" type="noConversion"/>
  </si>
  <si>
    <t>0x0:No request
0x1:Requset work low
0x2:Requset work high
0x3:Reserved</t>
    <phoneticPr fontId="0" type="noConversion"/>
  </si>
  <si>
    <t>RollingCounter_MCU3</t>
    <phoneticPr fontId="8" type="noConversion"/>
  </si>
  <si>
    <t>MCU3 rolling counter</t>
    <phoneticPr fontId="0" type="noConversion"/>
  </si>
  <si>
    <t>CheckSum_MCU4</t>
    <phoneticPr fontId="8" type="noConversion"/>
  </si>
  <si>
    <t xml:space="preserve">Use the checksum strategy from document“GWMLAN00-18 Checksum Req Spec-V1.0” </t>
    <phoneticPr fontId="8" type="noConversion"/>
  </si>
  <si>
    <t>MCU4</t>
    <phoneticPr fontId="8" type="noConversion"/>
  </si>
  <si>
    <t>0x0D2</t>
    <phoneticPr fontId="8" type="noConversion"/>
  </si>
  <si>
    <t>/</t>
    <phoneticPr fontId="8" type="noConversion"/>
  </si>
  <si>
    <t>TM_ActHvCurr</t>
    <phoneticPr fontId="8" type="noConversion"/>
  </si>
  <si>
    <t xml:space="preserve">actual HV current at TM(Traction Motor) </t>
    <phoneticPr fontId="0" type="noConversion"/>
  </si>
  <si>
    <t>TM_ActHvVolt</t>
    <phoneticPr fontId="8" type="noConversion"/>
  </si>
  <si>
    <t xml:space="preserve">actual HV voltage at TM(Traction Motor) </t>
    <phoneticPr fontId="0" type="noConversion"/>
  </si>
  <si>
    <t>maximum negative torque available (generator) for Torque requests</t>
    <phoneticPr fontId="8" type="noConversion"/>
  </si>
  <si>
    <t>TM_PosAvailTrqMax</t>
    <phoneticPr fontId="8" type="noConversion"/>
  </si>
  <si>
    <t>maximum positive Torque available (motor) for Torque requests</t>
    <phoneticPr fontId="8" type="noConversion"/>
  </si>
  <si>
    <t>RollingCounter_MCU4</t>
    <phoneticPr fontId="8" type="noConversion"/>
  </si>
  <si>
    <t>MCU4 rolling counter</t>
    <phoneticPr fontId="0" type="noConversion"/>
  </si>
  <si>
    <t>CheckSum_MCU5</t>
    <phoneticPr fontId="8" type="noConversion"/>
  </si>
  <si>
    <t>MCU5</t>
    <phoneticPr fontId="8" type="noConversion"/>
  </si>
  <si>
    <t>0x280</t>
    <phoneticPr fontId="8" type="noConversion"/>
  </si>
  <si>
    <t>TM_ActTemp</t>
    <phoneticPr fontId="8" type="noConversion"/>
  </si>
  <si>
    <t xml:space="preserve">Actual temperature of TM(Traction Motor) </t>
    <phoneticPr fontId="8" type="noConversion"/>
  </si>
  <si>
    <t>TM_InvActTemp</t>
    <phoneticPr fontId="8" type="noConversion"/>
  </si>
  <si>
    <t>Actual temperature of inverter</t>
    <phoneticPr fontId="8" type="noConversion"/>
  </si>
  <si>
    <t>°C</t>
    <phoneticPr fontId="8" type="noConversion"/>
  </si>
  <si>
    <t>TM_ClntInletActTemp</t>
    <phoneticPr fontId="8" type="noConversion"/>
  </si>
  <si>
    <t>Actual temperature of coolant inlet MCU</t>
    <phoneticPr fontId="8" type="noConversion"/>
  </si>
  <si>
    <t>MCU5</t>
    <phoneticPr fontId="8" type="noConversion"/>
  </si>
  <si>
    <t>0x280</t>
    <phoneticPr fontId="8" type="noConversion"/>
  </si>
  <si>
    <t>°C</t>
    <phoneticPr fontId="8" type="noConversion"/>
  </si>
  <si>
    <t>RollingCounter_MCU5</t>
    <phoneticPr fontId="8" type="noConversion"/>
  </si>
  <si>
    <t>MCU5 rolling counter</t>
    <phoneticPr fontId="0" type="noConversion"/>
  </si>
  <si>
    <t>MCU_SwVersion6</t>
    <phoneticPr fontId="0" type="noConversion"/>
  </si>
  <si>
    <t>SW Version</t>
    <phoneticPr fontId="8" type="noConversion"/>
  </si>
  <si>
    <t>MCU6</t>
    <phoneticPr fontId="8" type="noConversion"/>
  </si>
  <si>
    <t>0x3C3</t>
    <phoneticPr fontId="0" type="noConversion"/>
  </si>
  <si>
    <t xml:space="preserve">  </t>
    <phoneticPr fontId="0" type="noConversion"/>
  </si>
  <si>
    <t>CheckSum_MCU7</t>
    <phoneticPr fontId="8" type="noConversion"/>
  </si>
  <si>
    <t>MCU7</t>
    <phoneticPr fontId="8" type="noConversion"/>
  </si>
  <si>
    <t>0x0D0</t>
    <phoneticPr fontId="0" type="noConversion"/>
  </si>
  <si>
    <t>TM_ActPosTrq</t>
    <phoneticPr fontId="0" type="noConversion"/>
  </si>
  <si>
    <t xml:space="preserve">Actual Positive torque TM(Traction Motor) </t>
    <phoneticPr fontId="0" type="noConversion"/>
  </si>
  <si>
    <t>Nm</t>
    <phoneticPr fontId="0" type="noConversion"/>
  </si>
  <si>
    <t>TM_ActPosRotSpd</t>
    <phoneticPr fontId="0" type="noConversion"/>
  </si>
  <si>
    <t xml:space="preserve">Actual Positive rotation speed TM(Traction Motor) </t>
    <phoneticPr fontId="0" type="noConversion"/>
  </si>
  <si>
    <t>rpm</t>
    <phoneticPr fontId="0" type="noConversion"/>
  </si>
  <si>
    <t>RollingCounter_MCU7</t>
    <phoneticPr fontId="8" type="noConversion"/>
  </si>
  <si>
    <t>RollingCounter</t>
    <phoneticPr fontId="0" type="noConversion"/>
  </si>
  <si>
    <t>EPS</t>
    <phoneticPr fontId="0" type="noConversion"/>
  </si>
  <si>
    <t>EleStrFailFlag</t>
    <phoneticPr fontId="0" type="noConversion"/>
  </si>
  <si>
    <t>Electrical steering fail status</t>
    <phoneticPr fontId="0" type="noConversion"/>
  </si>
  <si>
    <t>EPS1</t>
    <phoneticPr fontId="0" type="noConversion"/>
  </si>
  <si>
    <t>0x288</t>
    <phoneticPr fontId="0" type="noConversion"/>
  </si>
  <si>
    <t>EPS</t>
    <phoneticPr fontId="0" type="noConversion"/>
  </si>
  <si>
    <t>EPS_current</t>
    <phoneticPr fontId="0" type="noConversion"/>
  </si>
  <si>
    <t>EPS motor current</t>
    <phoneticPr fontId="0" type="noConversion"/>
  </si>
  <si>
    <t>EPS1</t>
    <phoneticPr fontId="0" type="noConversion"/>
  </si>
  <si>
    <t>A</t>
    <phoneticPr fontId="6" type="noConversion"/>
  </si>
  <si>
    <t>SAS</t>
    <phoneticPr fontId="29" type="noConversion"/>
  </si>
  <si>
    <t>The current angle of the steering wheel.</t>
    <phoneticPr fontId="0" type="noConversion"/>
  </si>
  <si>
    <t>0x125</t>
    <phoneticPr fontId="0" type="noConversion"/>
  </si>
  <si>
    <t>Signed</t>
    <phoneticPr fontId="0" type="noConversion"/>
  </si>
  <si>
    <t>deg</t>
    <phoneticPr fontId="6" type="noConversion"/>
  </si>
  <si>
    <t>CF-CAN:To BCM,HUT,RVC
SE-CAN:To TBK</t>
    <phoneticPr fontId="0" type="noConversion"/>
  </si>
  <si>
    <t>X</t>
    <phoneticPr fontId="6" type="noConversion"/>
  </si>
  <si>
    <t>Steering wheel rotation speed</t>
    <phoneticPr fontId="0" type="noConversion"/>
  </si>
  <si>
    <t>deg/s</t>
    <phoneticPr fontId="6" type="noConversion"/>
  </si>
  <si>
    <t>SE-CAN:To TBK</t>
    <phoneticPr fontId="0" type="noConversion"/>
  </si>
  <si>
    <t>SASFailureSts</t>
    <phoneticPr fontId="0" type="noConversion"/>
  </si>
  <si>
    <t>The failure status of SAS</t>
    <phoneticPr fontId="0" type="noConversion"/>
  </si>
  <si>
    <t>0x1</t>
    <phoneticPr fontId="0" type="noConversion"/>
  </si>
  <si>
    <r>
      <t>CF-CAN:To BCM</t>
    </r>
    <r>
      <rPr>
        <sz val="10"/>
        <rFont val="宋体"/>
        <family val="3"/>
        <charset val="134"/>
      </rPr>
      <t>，</t>
    </r>
    <r>
      <rPr>
        <sz val="10"/>
        <rFont val="Arial"/>
        <family val="2"/>
      </rPr>
      <t>RVC
SE-CAN:To TBK</t>
    </r>
    <phoneticPr fontId="0" type="noConversion"/>
  </si>
  <si>
    <t>ESP</t>
    <phoneticPr fontId="0" type="noConversion"/>
  </si>
  <si>
    <t>SASCalibrationSts</t>
    <phoneticPr fontId="0" type="noConversion"/>
  </si>
  <si>
    <t>The calibration status of SAS</t>
    <phoneticPr fontId="0" type="noConversion"/>
  </si>
  <si>
    <t>SASTrimmingSts</t>
    <phoneticPr fontId="0" type="noConversion"/>
  </si>
  <si>
    <t>SAS triming status</t>
    <phoneticPr fontId="0" type="noConversion"/>
  </si>
  <si>
    <t>SASInternalStsFlg</t>
    <phoneticPr fontId="0" type="noConversion"/>
  </si>
  <si>
    <t>SAS internal flags</t>
    <phoneticPr fontId="0" type="noConversion"/>
  </si>
  <si>
    <t>RolCnt_SAS1</t>
    <phoneticPr fontId="0" type="noConversion"/>
  </si>
  <si>
    <t>Free running message counter, incremented by 1 each time a CAN message has been transmitted.</t>
    <phoneticPr fontId="0" type="noConversion"/>
  </si>
  <si>
    <t>CheckSum_SAS1</t>
    <phoneticPr fontId="0" type="noConversion"/>
  </si>
  <si>
    <t>E_Park</t>
    <phoneticPr fontId="0" type="noConversion"/>
  </si>
  <si>
    <t>CheckSum_E_Park1</t>
    <phoneticPr fontId="8" type="noConversion"/>
  </si>
  <si>
    <t>E_Park1</t>
    <phoneticPr fontId="0" type="noConversion"/>
  </si>
  <si>
    <t>0x28E</t>
    <phoneticPr fontId="0" type="noConversion"/>
  </si>
  <si>
    <r>
      <rPr>
        <sz val="10"/>
        <rFont val="宋体"/>
        <family val="3"/>
        <charset val="134"/>
      </rPr>
      <t>≤</t>
    </r>
    <r>
      <rPr>
        <sz val="10"/>
        <rFont val="Arial"/>
        <family val="2"/>
      </rPr>
      <t>500</t>
    </r>
    <phoneticPr fontId="0" type="noConversion"/>
  </si>
  <si>
    <t>500ms</t>
    <phoneticPr fontId="0" type="noConversion"/>
  </si>
  <si>
    <t>E_Park_Sts</t>
    <phoneticPr fontId="0" type="noConversion"/>
  </si>
  <si>
    <t>Status of the park pawl.</t>
    <phoneticPr fontId="0" type="noConversion"/>
  </si>
  <si>
    <t>Used for VCU to identify E_Park park status.</t>
    <phoneticPr fontId="0" type="noConversion"/>
  </si>
  <si>
    <t>last vaule</t>
    <phoneticPr fontId="0" type="noConversion"/>
  </si>
  <si>
    <t>0x0:Off
0x1:Parking
0x2:Parked 
0x3:Park Stalled
0x4:UnParking
0x5:UnParked
0x6:UnParked Stalled 
0x7:Unknown</t>
    <phoneticPr fontId="0" type="noConversion"/>
  </si>
  <si>
    <t>Active in case of E_Park system fault occurred, reuqest for light up the diagnostic lamp.</t>
    <phoneticPr fontId="0" type="noConversion"/>
  </si>
  <si>
    <t>Active in case of ePark system fault occurred, reuqest for light up the diagnostic lamp.</t>
    <phoneticPr fontId="0" type="noConversion"/>
  </si>
  <si>
    <t>E_Park_MotorPosn</t>
    <phoneticPr fontId="0" type="noConversion"/>
  </si>
  <si>
    <t>Indicating the shift motor position</t>
    <phoneticPr fontId="0" type="noConversion"/>
  </si>
  <si>
    <t>0x0:Not Initialized
0x1:Unknown
0x2:Park Endstop
0x3:Park
0x4:Between Park and UnPark
0x5:UnPark
0x6:UnPark Endstop
0x7:Reserved</t>
    <phoneticPr fontId="0" type="noConversion"/>
  </si>
  <si>
    <t>E_Park_ParkSnsr</t>
    <phoneticPr fontId="0" type="noConversion"/>
  </si>
  <si>
    <t>The status bit indicating the pawl will engage when the gear aligns with it.</t>
    <phoneticPr fontId="0" type="noConversion"/>
  </si>
  <si>
    <t>E_Park_DrvSnsr</t>
    <phoneticPr fontId="0" type="noConversion"/>
  </si>
  <si>
    <t xml:space="preserve">Active when the Parking pawl is fully disengaged and ready for drive. </t>
    <phoneticPr fontId="0" type="noConversion"/>
  </si>
  <si>
    <t>E_Park_PerformShiftAction</t>
    <phoneticPr fontId="0" type="noConversion"/>
  </si>
  <si>
    <t>A boolean value indicating if the shift motor is performing a shift action.</t>
    <phoneticPr fontId="0" type="noConversion"/>
  </si>
  <si>
    <t>E_Park_EncoderFault</t>
    <phoneticPr fontId="0" type="noConversion"/>
  </si>
  <si>
    <t>A boolean value indicating if the encoder is in a fault state.</t>
    <phoneticPr fontId="0" type="noConversion"/>
  </si>
  <si>
    <t>E_Park_ActuatorFault</t>
    <phoneticPr fontId="0" type="noConversion"/>
  </si>
  <si>
    <t>A boolean value indicating if the shift actuator is in a fault state.</t>
    <phoneticPr fontId="0" type="noConversion"/>
  </si>
  <si>
    <t>E_Park_StuckInUnPark</t>
    <phoneticPr fontId="0" type="noConversion"/>
  </si>
  <si>
    <t>A boolean value indicating if the shift motor is stuck in unpark position.</t>
    <phoneticPr fontId="0" type="noConversion"/>
  </si>
  <si>
    <t>E_Park_ParkInhibit</t>
    <phoneticPr fontId="0" type="noConversion"/>
  </si>
  <si>
    <t>A boolean value indicating if ePark system can response a Park request.</t>
    <phoneticPr fontId="0" type="noConversion"/>
  </si>
  <si>
    <t>E_Park_UnParkLmpSts</t>
    <phoneticPr fontId="0" type="noConversion"/>
  </si>
  <si>
    <t>Request for light up the Unpark lamp.</t>
    <phoneticPr fontId="0" type="noConversion"/>
  </si>
  <si>
    <t>E_Park_ParkLmpSts</t>
    <phoneticPr fontId="0" type="noConversion"/>
  </si>
  <si>
    <t>Request for light up the Park lamp.</t>
    <phoneticPr fontId="0" type="noConversion"/>
  </si>
  <si>
    <t>RollingCounter_E_Park1</t>
    <phoneticPr fontId="6" type="noConversion"/>
  </si>
  <si>
    <t>E_Park1 rolling counter</t>
    <phoneticPr fontId="0" type="noConversion"/>
  </si>
  <si>
    <t>CheckSum_ABS1</t>
    <phoneticPr fontId="8" type="noConversion"/>
  </si>
  <si>
    <t>Use the checksum strategy from document "GWMLAN00-18 Checksum Req Spec-V1.0"</t>
    <phoneticPr fontId="8" type="noConversion"/>
  </si>
  <si>
    <t>ESP_ABS1</t>
    <phoneticPr fontId="0" type="noConversion"/>
  </si>
  <si>
    <t>0x231</t>
    <phoneticPr fontId="0" type="noConversion"/>
  </si>
  <si>
    <r>
      <rPr>
        <sz val="10"/>
        <rFont val="宋体"/>
        <family val="3"/>
        <charset val="134"/>
      </rPr>
      <t>≤</t>
    </r>
    <r>
      <rPr>
        <sz val="10"/>
        <rFont val="Arial"/>
        <family val="2"/>
      </rPr>
      <t>20</t>
    </r>
    <phoneticPr fontId="8" type="noConversion"/>
  </si>
  <si>
    <t>FLWheelSpdValid</t>
    <phoneticPr fontId="6" type="noConversion"/>
  </si>
  <si>
    <t>Front left wheel speed valid</t>
    <phoneticPr fontId="8" type="noConversion"/>
  </si>
  <si>
    <t>Last value</t>
    <phoneticPr fontId="6" type="noConversion"/>
  </si>
  <si>
    <t>FLWheelSpd</t>
    <phoneticPr fontId="6" type="noConversion"/>
  </si>
  <si>
    <t>Front left wheel speed</t>
    <phoneticPr fontId="8" type="noConversion"/>
  </si>
  <si>
    <t>km/h</t>
    <phoneticPr fontId="6" type="noConversion"/>
  </si>
  <si>
    <t>FRWheelSpdValid</t>
    <phoneticPr fontId="6" type="noConversion"/>
  </si>
  <si>
    <t>Front right wheel speed valid</t>
    <phoneticPr fontId="8" type="noConversion"/>
  </si>
  <si>
    <t>FRWheelSpd</t>
    <phoneticPr fontId="6" type="noConversion"/>
  </si>
  <si>
    <t>Front right wheel speed</t>
    <phoneticPr fontId="8" type="noConversion"/>
  </si>
  <si>
    <t>RollingCounter_ABS1</t>
    <phoneticPr fontId="8" type="noConversion"/>
  </si>
  <si>
    <t xml:space="preserve">Rolling Counter </t>
    <phoneticPr fontId="8" type="noConversion"/>
  </si>
  <si>
    <t>Last value</t>
    <phoneticPr fontId="8" type="noConversion"/>
  </si>
  <si>
    <t>CheckSum_ABS2</t>
    <phoneticPr fontId="8" type="noConversion"/>
  </si>
  <si>
    <t>ESP_ABS2</t>
    <phoneticPr fontId="0" type="noConversion"/>
  </si>
  <si>
    <t>0x246</t>
    <phoneticPr fontId="0" type="noConversion"/>
  </si>
  <si>
    <t>RLWheelSpdValid</t>
    <phoneticPr fontId="6" type="noConversion"/>
  </si>
  <si>
    <t>Rear left wheel speed valid</t>
    <phoneticPr fontId="8" type="noConversion"/>
  </si>
  <si>
    <t>RLWheelSpd</t>
    <phoneticPr fontId="6" type="noConversion"/>
  </si>
  <si>
    <t>Rear left wheel speed</t>
    <phoneticPr fontId="8" type="noConversion"/>
  </si>
  <si>
    <t>RRWheelSpdValid</t>
    <phoneticPr fontId="6" type="noConversion"/>
  </si>
  <si>
    <t>Rear right wheel speed valid</t>
    <phoneticPr fontId="8" type="noConversion"/>
  </si>
  <si>
    <t>RRWheelSpd</t>
    <phoneticPr fontId="6" type="noConversion"/>
  </si>
  <si>
    <t>Rear right wheel speed</t>
    <phoneticPr fontId="8" type="noConversion"/>
  </si>
  <si>
    <t>RollingCounter_ABS2</t>
    <phoneticPr fontId="8" type="noConversion"/>
  </si>
  <si>
    <t>CheckSum_ABS3</t>
    <phoneticPr fontId="8" type="noConversion"/>
  </si>
  <si>
    <t>ESP_ABS3</t>
    <phoneticPr fontId="0" type="noConversion"/>
  </si>
  <si>
    <t>Motorola</t>
    <phoneticPr fontId="8" type="noConversion"/>
  </si>
  <si>
    <t>VehicleSpeedValid</t>
    <phoneticPr fontId="0" type="noConversion"/>
  </si>
  <si>
    <t>Vehicle Speed status</t>
    <phoneticPr fontId="0" type="noConversion"/>
  </si>
  <si>
    <t xml:space="preserve"> km/h</t>
    <phoneticPr fontId="6" type="noConversion"/>
  </si>
  <si>
    <t>0x0:Invalid
0x1:Valid</t>
    <phoneticPr fontId="0" type="noConversion"/>
  </si>
  <si>
    <r>
      <t xml:space="preserve">
CF-CAN:To IP</t>
    </r>
    <r>
      <rPr>
        <sz val="10"/>
        <rFont val="宋体"/>
        <family val="3"/>
        <charset val="134"/>
      </rPr>
      <t>，</t>
    </r>
    <r>
      <rPr>
        <sz val="10"/>
        <rFont val="Arial"/>
        <family val="2"/>
      </rPr>
      <t>AC</t>
    </r>
    <r>
      <rPr>
        <sz val="10"/>
        <rFont val="宋体"/>
        <family val="3"/>
        <charset val="134"/>
      </rPr>
      <t>，</t>
    </r>
    <r>
      <rPr>
        <sz val="10"/>
        <rFont val="Arial"/>
        <family val="2"/>
      </rPr>
      <t>BCM,HUT
SE-CAN:To TBK</t>
    </r>
    <phoneticPr fontId="0" type="noConversion"/>
  </si>
  <si>
    <t>Vehicle speed out</t>
    <phoneticPr fontId="0" type="noConversion"/>
  </si>
  <si>
    <t>kph</t>
    <phoneticPr fontId="6" type="noConversion"/>
  </si>
  <si>
    <t>VehicleODOInfoSts</t>
    <phoneticPr fontId="0" type="noConversion"/>
  </si>
  <si>
    <t>Vehicle odograph information Status</t>
    <phoneticPr fontId="0" type="noConversion"/>
  </si>
  <si>
    <t>0x0:Valid
0x1:Invalid</t>
    <phoneticPr fontId="0" type="noConversion"/>
  </si>
  <si>
    <t>VehicleODOInfo</t>
    <phoneticPr fontId="0" type="noConversion"/>
  </si>
  <si>
    <t>Vehicle odograph information</t>
    <phoneticPr fontId="0" type="noConversion"/>
  </si>
  <si>
    <t>m</t>
    <phoneticPr fontId="8" type="noConversion"/>
  </si>
  <si>
    <t xml:space="preserve"> </t>
    <phoneticPr fontId="0" type="noConversion"/>
  </si>
  <si>
    <t>HazActv</t>
    <phoneticPr fontId="8" type="noConversion"/>
  </si>
  <si>
    <t xml:space="preserve">Indicate the hazard brake will be actived </t>
    <phoneticPr fontId="8" type="noConversion"/>
  </si>
  <si>
    <t>0X0:Inactive
0X1:Active</t>
    <phoneticPr fontId="8" type="noConversion"/>
  </si>
  <si>
    <t>0x0:Not Active
0x1:Active</t>
    <phoneticPr fontId="0" type="noConversion"/>
  </si>
  <si>
    <t>CF-CAN:To BCM</t>
    <phoneticPr fontId="0" type="noConversion"/>
  </si>
  <si>
    <t>ABSFailSts</t>
    <phoneticPr fontId="0" type="noConversion"/>
  </si>
  <si>
    <t>ABS_Fault ESP system has detected a failure which does not allow a reliable ABS regulation and is therefore switched off</t>
    <phoneticPr fontId="0" type="noConversion"/>
  </si>
  <si>
    <t>0x0:No failure
0x1:Failure</t>
    <phoneticPr fontId="0" type="noConversion"/>
  </si>
  <si>
    <t>EBDFailSts</t>
    <phoneticPr fontId="0" type="noConversion"/>
  </si>
  <si>
    <t>EBD_Fault ESP system has detected a heavy fault, which does not even allow a reliable electronic brake distribution and is therefore completely shut down</t>
    <phoneticPr fontId="0" type="noConversion"/>
  </si>
  <si>
    <t>Rollingcounter_ABS3</t>
    <phoneticPr fontId="0" type="noConversion"/>
  </si>
  <si>
    <t>RollingCounter</t>
    <phoneticPr fontId="0" type="noConversion"/>
  </si>
  <si>
    <t>ESP</t>
    <phoneticPr fontId="8" type="noConversion"/>
  </si>
  <si>
    <t>CheckSum_ABS4</t>
    <phoneticPr fontId="8" type="noConversion"/>
  </si>
  <si>
    <t>ESP_ABS4</t>
    <phoneticPr fontId="6" type="noConversion"/>
  </si>
  <si>
    <t>CF-CAN:to TPMS</t>
    <phoneticPr fontId="42" type="noConversion"/>
  </si>
  <si>
    <t>ESP</t>
    <phoneticPr fontId="6" type="noConversion"/>
  </si>
  <si>
    <t>WssFLEdgesSum</t>
    <phoneticPr fontId="6" type="noConversion"/>
  </si>
  <si>
    <t xml:space="preserve">Sum of edge of Front Left Wheel speed sensor </t>
    <phoneticPr fontId="8" type="noConversion"/>
  </si>
  <si>
    <t>WssFREdgesSum</t>
    <phoneticPr fontId="6" type="noConversion"/>
  </si>
  <si>
    <t xml:space="preserve">Sum of edge of Front Right Wheel speed sensor </t>
    <phoneticPr fontId="8" type="noConversion"/>
  </si>
  <si>
    <t>WssRREdgesSum</t>
    <phoneticPr fontId="6" type="noConversion"/>
  </si>
  <si>
    <t xml:space="preserve">Sum of edge of rear Right Wheel speed sensor </t>
    <phoneticPr fontId="8" type="noConversion"/>
  </si>
  <si>
    <t>WssRLEdgesSum</t>
    <phoneticPr fontId="6" type="noConversion"/>
  </si>
  <si>
    <t xml:space="preserve">Sum of edge of rear Left Wheel speed sensor </t>
    <phoneticPr fontId="8" type="noConversion"/>
  </si>
  <si>
    <t xml:space="preserve">WssFLEdgesSumvalid </t>
    <phoneticPr fontId="6" type="noConversion"/>
  </si>
  <si>
    <t xml:space="preserve">Valid signal for Sum of edge of Front Left Wheel speed sensor </t>
    <phoneticPr fontId="8" type="noConversion"/>
  </si>
  <si>
    <t>CF-CAN:to TPMS</t>
    <phoneticPr fontId="42" type="noConversion"/>
  </si>
  <si>
    <t>ESP</t>
    <phoneticPr fontId="6" type="noConversion"/>
  </si>
  <si>
    <t xml:space="preserve">WssFREdgesSumvalid </t>
    <phoneticPr fontId="6" type="noConversion"/>
  </si>
  <si>
    <t xml:space="preserve">Valid signal for Sum of edge of Front Right Wheel speed sensor </t>
    <phoneticPr fontId="8" type="noConversion"/>
  </si>
  <si>
    <t>ESP_ABS4</t>
    <phoneticPr fontId="6" type="noConversion"/>
  </si>
  <si>
    <r>
      <rPr>
        <sz val="10"/>
        <rFont val="宋体"/>
        <family val="3"/>
        <charset val="134"/>
      </rPr>
      <t>≤</t>
    </r>
    <r>
      <rPr>
        <sz val="10"/>
        <rFont val="Arial"/>
        <family val="2"/>
      </rPr>
      <t>20</t>
    </r>
    <phoneticPr fontId="8" type="noConversion"/>
  </si>
  <si>
    <t>WssRLEdgesSumvalid</t>
    <phoneticPr fontId="6" type="noConversion"/>
  </si>
  <si>
    <t xml:space="preserve">Valid signal for Sum of edge of rear Left Wheel speed sensor </t>
    <phoneticPr fontId="8" type="noConversion"/>
  </si>
  <si>
    <t>WssRREdgesSumvalid</t>
    <phoneticPr fontId="6" type="noConversion"/>
  </si>
  <si>
    <t xml:space="preserve">Valid signal for Sum of edge of rear Right Wheel speed sensor </t>
    <phoneticPr fontId="8" type="noConversion"/>
  </si>
  <si>
    <t>RollingCounter_ABS4</t>
    <phoneticPr fontId="8" type="noConversion"/>
  </si>
  <si>
    <t xml:space="preserve">Rolling Counter </t>
    <phoneticPr fontId="8" type="noConversion"/>
  </si>
  <si>
    <t>Motorola</t>
    <phoneticPr fontId="6" type="noConversion"/>
  </si>
  <si>
    <t>Last value</t>
    <phoneticPr fontId="8" type="noConversion"/>
  </si>
  <si>
    <t>0x0-0xF:Vaild</t>
    <phoneticPr fontId="6" type="noConversion"/>
  </si>
  <si>
    <t>ESP</t>
    <phoneticPr fontId="0" type="noConversion"/>
  </si>
  <si>
    <t>CheckSum_EPB1</t>
    <phoneticPr fontId="8" type="noConversion"/>
  </si>
  <si>
    <t>ESP_EPB1</t>
    <phoneticPr fontId="0" type="noConversion"/>
  </si>
  <si>
    <t>EPB_SwtichPositionValid</t>
    <phoneticPr fontId="0" type="noConversion"/>
  </si>
  <si>
    <t>EPB switch position signal valid</t>
    <phoneticPr fontId="8" type="noConversion"/>
  </si>
  <si>
    <t>PressBrakePedalPointOut</t>
    <phoneticPr fontId="8" type="noConversion"/>
  </si>
  <si>
    <t>When driver want to release EPB with button, the system provides driver a reminder if pedal is not applied.</t>
    <phoneticPr fontId="8" type="noConversion"/>
  </si>
  <si>
    <t>N/A</t>
    <phoneticPr fontId="8" type="noConversion"/>
  </si>
  <si>
    <t>CF_CAN:To IP</t>
    <phoneticPr fontId="0" type="noConversion"/>
  </si>
  <si>
    <t>EPBErrorSts</t>
    <phoneticPr fontId="0" type="noConversion"/>
  </si>
  <si>
    <t xml:space="preserve">error indication of EPB system
</t>
    <phoneticPr fontId="8" type="noConversion"/>
  </si>
  <si>
    <t>Last value</t>
    <phoneticPr fontId="0" type="noConversion"/>
  </si>
  <si>
    <t>EPBSts</t>
    <phoneticPr fontId="0" type="noConversion"/>
  </si>
  <si>
    <t>EPB status</t>
    <phoneticPr fontId="8" type="noConversion"/>
  </si>
  <si>
    <t>EPB Switch position information</t>
    <phoneticPr fontId="8" type="noConversion"/>
  </si>
  <si>
    <t>CF_CAN:To IP</t>
    <phoneticPr fontId="8" type="noConversion"/>
  </si>
  <si>
    <t>CheckSum_ESP1</t>
    <phoneticPr fontId="0" type="noConversion"/>
  </si>
  <si>
    <t>ESP1</t>
    <phoneticPr fontId="0" type="noConversion"/>
  </si>
  <si>
    <t>Vehicle dynamic control function is active, and ESP sytem currently perform active brake intervention.</t>
    <phoneticPr fontId="0" type="noConversion"/>
  </si>
  <si>
    <t>VDC_Fault: VDC is switched off due to detected failure</t>
    <phoneticPr fontId="0" type="noConversion"/>
  </si>
  <si>
    <t>0x0:Not activated
0x1:Activated</t>
    <phoneticPr fontId="0" type="noConversion"/>
  </si>
  <si>
    <t>ESP_MasterCylinderBrakePressure valid</t>
    <phoneticPr fontId="8" type="noConversion"/>
  </si>
  <si>
    <t>0x1:Valid
0x2:Invalid</t>
    <phoneticPr fontId="0" type="noConversion"/>
  </si>
  <si>
    <t>EspFuncOffSts</t>
    <phoneticPr fontId="0" type="noConversion"/>
  </si>
  <si>
    <t>ESP function off status</t>
    <phoneticPr fontId="0" type="noConversion"/>
  </si>
  <si>
    <t>HHCSts</t>
    <phoneticPr fontId="6" type="noConversion"/>
  </si>
  <si>
    <t>HHC status</t>
    <phoneticPr fontId="8" type="noConversion"/>
  </si>
  <si>
    <t>ESPFailSts</t>
    <phoneticPr fontId="6" type="noConversion"/>
  </si>
  <si>
    <t>ESP fault</t>
    <phoneticPr fontId="8" type="noConversion"/>
  </si>
  <si>
    <t>0x1</t>
    <phoneticPr fontId="0" type="noConversion"/>
  </si>
  <si>
    <t>CF-CAN:To IP</t>
    <phoneticPr fontId="0" type="noConversion"/>
  </si>
  <si>
    <t>ESPActiveInfoLamp</t>
    <phoneticPr fontId="0" type="noConversion"/>
  </si>
  <si>
    <t>Info lamp - Indication that ESP system currently performs a brake/engine intervention</t>
    <phoneticPr fontId="0" type="noConversion"/>
  </si>
  <si>
    <t>EPBRedLmpSts</t>
    <phoneticPr fontId="8" type="noConversion"/>
  </si>
  <si>
    <t>indicate the EPB red lamp status to driver for dashboard</t>
    <phoneticPr fontId="8" type="noConversion"/>
  </si>
  <si>
    <t>0x0</t>
    <phoneticPr fontId="8" type="noConversion"/>
  </si>
  <si>
    <t>ESPBrakeLightCtrl</t>
    <phoneticPr fontId="8" type="noConversion"/>
  </si>
  <si>
    <t>Brake light lamp(on/off),come from ESP,HDC,CDP,EPB function</t>
    <phoneticPr fontId="8" type="noConversion"/>
  </si>
  <si>
    <t xml:space="preserve">
CF_CAN:To BCM</t>
    <phoneticPr fontId="8" type="noConversion"/>
  </si>
  <si>
    <t>ESP_MasterCylindBrakePress</t>
    <phoneticPr fontId="0" type="noConversion"/>
  </si>
  <si>
    <t>ESP_MasterCylinderBrakePressure</t>
    <phoneticPr fontId="8" type="noConversion"/>
  </si>
  <si>
    <t>-42.5</t>
    <phoneticPr fontId="8" type="noConversion"/>
  </si>
  <si>
    <t>bar</t>
    <phoneticPr fontId="6" type="noConversion"/>
  </si>
  <si>
    <t xml:space="preserve">
0-exist brk force
1-no brk force</t>
    <phoneticPr fontId="0" type="noConversion"/>
  </si>
  <si>
    <t>RolCnt_ESP1</t>
    <phoneticPr fontId="0" type="noConversion"/>
  </si>
  <si>
    <t>RollingCounter</t>
    <phoneticPr fontId="0" type="noConversion"/>
  </si>
  <si>
    <t>ESP2</t>
    <phoneticPr fontId="0" type="noConversion"/>
  </si>
  <si>
    <t>0X145</t>
    <phoneticPr fontId="8" type="noConversion"/>
  </si>
  <si>
    <t>Controlled Deceleration for Parking Brake</t>
    <phoneticPr fontId="8" type="noConversion"/>
  </si>
  <si>
    <t>CDPActive</t>
    <phoneticPr fontId="0" type="noConversion"/>
  </si>
  <si>
    <t>AVHerrorSts</t>
    <phoneticPr fontId="0" type="noConversion"/>
  </si>
  <si>
    <t>error status of AVH function</t>
    <phoneticPr fontId="8" type="noConversion"/>
  </si>
  <si>
    <t>AVHSts</t>
    <phoneticPr fontId="0" type="noConversion"/>
  </si>
  <si>
    <t>indicates the status of AVH(off,intervention,standby)</t>
    <phoneticPr fontId="8" type="noConversion"/>
  </si>
  <si>
    <t>CheckSum_ESP8</t>
    <phoneticPr fontId="0" type="noConversion"/>
  </si>
  <si>
    <t>ESP8</t>
    <phoneticPr fontId="0" type="noConversion"/>
  </si>
  <si>
    <t>0x0D8</t>
    <phoneticPr fontId="0" type="noConversion"/>
  </si>
  <si>
    <t>TgtRcprtnTrqReq</t>
    <phoneticPr fontId="8" type="noConversion"/>
  </si>
  <si>
    <t>TgtRcprtnTrqSts</t>
    <phoneticPr fontId="8" type="noConversion"/>
  </si>
  <si>
    <t>0x0:Not Initialized
0x1:Normal
0x2:Faulty
0x3:Reserved</t>
    <phoneticPr fontId="8" type="noConversion"/>
  </si>
  <si>
    <t>VSG</t>
    <phoneticPr fontId="0" type="noConversion"/>
  </si>
  <si>
    <t>VSG_MuteSts</t>
    <phoneticPr fontId="8" type="noConversion"/>
  </si>
  <si>
    <t>Whether the current pedestrian warning system is muted</t>
    <phoneticPr fontId="8" type="noConversion"/>
  </si>
  <si>
    <t>VSG1</t>
    <phoneticPr fontId="0" type="noConversion"/>
  </si>
  <si>
    <t>0x2E1</t>
    <phoneticPr fontId="8" type="noConversion"/>
  </si>
  <si>
    <t>unsigned</t>
    <phoneticPr fontId="0" type="noConversion"/>
  </si>
  <si>
    <t>1s</t>
    <phoneticPr fontId="0" type="noConversion"/>
  </si>
  <si>
    <t>0x0:Not mute
0x1:Mute</t>
    <phoneticPr fontId="8" type="noConversion"/>
  </si>
  <si>
    <t>VSG</t>
    <phoneticPr fontId="0" type="noConversion"/>
  </si>
  <si>
    <t>VSG_OverVoltSts</t>
    <phoneticPr fontId="0" type="noConversion"/>
  </si>
  <si>
    <r>
      <t>This signal emitted by the pedestrian warning system indicate that the VCC is over  voltage or not.</t>
    </r>
    <r>
      <rPr>
        <sz val="10"/>
        <color theme="1"/>
        <rFont val="宋体"/>
        <family val="3"/>
        <charset val="134"/>
      </rPr>
      <t/>
    </r>
    <phoneticPr fontId="8" type="noConversion"/>
  </si>
  <si>
    <t>0x0:Not over voltage
0x1:Over voltage</t>
    <phoneticPr fontId="0" type="noConversion"/>
  </si>
  <si>
    <t>Overvoltage (when it is detected that the system supply voltage &gt;16V + 0.2V for overvoltage).
CF-CAN:To IP</t>
    <phoneticPr fontId="0" type="noConversion"/>
  </si>
  <si>
    <t>VSG_UnderVoltSts</t>
    <phoneticPr fontId="0" type="noConversion"/>
  </si>
  <si>
    <t>This signal emitted by the pedestrian warning system indicate that the VCC is under voltage or not.</t>
    <phoneticPr fontId="8" type="noConversion"/>
  </si>
  <si>
    <t>0x0:Not under voltage
0x1:Under voltage</t>
    <phoneticPr fontId="0" type="noConversion"/>
  </si>
  <si>
    <t xml:space="preserve">
Under voltage (when it is detected that the system supply voltage &lt;9V + 0.2V for under voltage).
CF-CAN:To IP</t>
    <phoneticPr fontId="0" type="noConversion"/>
  </si>
  <si>
    <t>VSG_ShortCirctSts</t>
    <phoneticPr fontId="0" type="noConversion"/>
  </si>
  <si>
    <t>This signal emitted by the pedestrian warning system indicate that the current speaker is short circuit or not.</t>
    <phoneticPr fontId="8" type="noConversion"/>
  </si>
  <si>
    <t xml:space="preserve">0x0:Not short circuit 
0x1:Short circuit </t>
    <phoneticPr fontId="0" type="noConversion"/>
  </si>
  <si>
    <t>Speaker shorted terminals (when the working current of the system is greater than or equal to 0.1A to detect) normal.
CF-CAN:To IP</t>
    <phoneticPr fontId="0" type="noConversion"/>
  </si>
  <si>
    <t>ABM</t>
    <phoneticPr fontId="16" type="noConversion"/>
  </si>
  <si>
    <t>CheckSum_ABM1</t>
    <phoneticPr fontId="0" type="noConversion"/>
  </si>
  <si>
    <t xml:space="preserve">Use the checksum strategy from document
“GWMLAN00-18 Checksum Req Spec-V1.0” </t>
    <phoneticPr fontId="8" type="noConversion"/>
  </si>
  <si>
    <t>ABM1</t>
    <phoneticPr fontId="0" type="noConversion"/>
  </si>
  <si>
    <t>M</t>
    <phoneticPr fontId="8" type="noConversion"/>
  </si>
  <si>
    <t>M</t>
    <phoneticPr fontId="0" type="noConversion"/>
  </si>
  <si>
    <t>1.Periodic message period is 500ms, this is at no crash status.
2.Event message period is 20ms, it's happened when airbag deploy decision is sent. It's lasted for 5 times, then recover to periodic status.</t>
    <phoneticPr fontId="8" type="noConversion"/>
  </si>
  <si>
    <t>/</t>
    <phoneticPr fontId="16" type="noConversion"/>
  </si>
  <si>
    <t>0x00</t>
    <phoneticPr fontId="8" type="noConversion"/>
  </si>
  <si>
    <t>0x00:Nmin
0xFF:Nmax</t>
    <phoneticPr fontId="0" type="noConversion"/>
  </si>
  <si>
    <t>CF_CAN:To BCM</t>
    <phoneticPr fontId="0" type="noConversion"/>
  </si>
  <si>
    <t>PABSwitchCmd</t>
    <phoneticPr fontId="0" type="noConversion"/>
  </si>
  <si>
    <t>Indicates the PAB Switch lamp command</t>
    <phoneticPr fontId="8" type="noConversion"/>
  </si>
  <si>
    <t>0x1</t>
    <phoneticPr fontId="8" type="noConversion"/>
  </si>
  <si>
    <t>0x0:Lamp off
0x1:Lamp on</t>
    <phoneticPr fontId="0" type="noConversion"/>
  </si>
  <si>
    <t>SecLeftSBR</t>
    <phoneticPr fontId="8" type="noConversion"/>
  </si>
  <si>
    <t>Second row left Seat Belt Reminder</t>
    <phoneticPr fontId="8" type="noConversion"/>
  </si>
  <si>
    <t>0x0:No reminder
0x1:Reminder</t>
    <phoneticPr fontId="0" type="noConversion"/>
  </si>
  <si>
    <t>AirBagFailCmd</t>
    <phoneticPr fontId="0" type="noConversion"/>
  </si>
  <si>
    <t>Indicates the Airbag system lamp command</t>
    <phoneticPr fontId="8" type="noConversion"/>
  </si>
  <si>
    <t>SecMiddleSBR</t>
    <phoneticPr fontId="8" type="noConversion"/>
  </si>
  <si>
    <t>Second row middle Seat Belt Reminder</t>
    <phoneticPr fontId="8" type="noConversion"/>
  </si>
  <si>
    <t>DriverSBR</t>
    <phoneticPr fontId="0" type="noConversion"/>
  </si>
  <si>
    <t>Driver Seat Belt Reminder</t>
    <phoneticPr fontId="8" type="noConversion"/>
  </si>
  <si>
    <r>
      <t>In initialization</t>
    </r>
    <r>
      <rPr>
        <sz val="10"/>
        <rFont val="宋体"/>
        <family val="3"/>
        <charset val="134"/>
      </rPr>
      <t>，</t>
    </r>
    <r>
      <rPr>
        <sz val="10"/>
        <rFont val="Arial"/>
        <family val="2"/>
      </rPr>
      <t>the signal send 0x1</t>
    </r>
    <r>
      <rPr>
        <sz val="10"/>
        <rFont val="宋体"/>
        <family val="3"/>
        <charset val="134"/>
      </rPr>
      <t>（</t>
    </r>
    <r>
      <rPr>
        <sz val="10"/>
        <rFont val="Arial"/>
        <family val="2"/>
      </rPr>
      <t>2s</t>
    </r>
    <r>
      <rPr>
        <sz val="10"/>
        <rFont val="宋体"/>
        <family val="3"/>
        <charset val="134"/>
      </rPr>
      <t>）</t>
    </r>
    <r>
      <rPr>
        <sz val="10"/>
        <rFont val="Arial"/>
        <family val="2"/>
      </rPr>
      <t>CF_CAN:To IP
SE_CAN:To TBK</t>
    </r>
    <phoneticPr fontId="8" type="noConversion"/>
  </si>
  <si>
    <t>SecRightSBR</t>
    <phoneticPr fontId="8" type="noConversion"/>
  </si>
  <si>
    <t>Second row right Seat Belt Reminder</t>
    <phoneticPr fontId="8" type="noConversion"/>
  </si>
  <si>
    <t>PassSBR</t>
    <phoneticPr fontId="0" type="noConversion"/>
  </si>
  <si>
    <t>Passenger Seat Belt Reminder</t>
    <phoneticPr fontId="8" type="noConversion"/>
  </si>
  <si>
    <t>PassSBR_Visual</t>
    <phoneticPr fontId="8" type="noConversion"/>
  </si>
  <si>
    <t>ABM1</t>
    <phoneticPr fontId="8" type="noConversion"/>
  </si>
  <si>
    <t>500/20</t>
    <phoneticPr fontId="8" type="noConversion"/>
  </si>
  <si>
    <t>0x01</t>
    <phoneticPr fontId="8" type="noConversion"/>
  </si>
  <si>
    <r>
      <t>In initialization</t>
    </r>
    <r>
      <rPr>
        <sz val="10"/>
        <rFont val="宋体"/>
        <family val="3"/>
        <charset val="134"/>
      </rPr>
      <t>，</t>
    </r>
    <r>
      <rPr>
        <sz val="10"/>
        <rFont val="Arial"/>
        <family val="2"/>
      </rPr>
      <t>the signal send 0x1</t>
    </r>
    <r>
      <rPr>
        <sz val="10"/>
        <rFont val="宋体"/>
        <family val="3"/>
        <charset val="134"/>
      </rPr>
      <t>（</t>
    </r>
    <r>
      <rPr>
        <sz val="10"/>
        <rFont val="Arial"/>
        <family val="2"/>
      </rPr>
      <t>2s</t>
    </r>
    <r>
      <rPr>
        <sz val="10"/>
        <rFont val="宋体"/>
        <family val="3"/>
        <charset val="134"/>
      </rPr>
      <t>）</t>
    </r>
    <r>
      <rPr>
        <sz val="10"/>
        <rFont val="Arial"/>
        <family val="2"/>
      </rPr>
      <t>CF_CAN:To IP</t>
    </r>
    <phoneticPr fontId="8" type="noConversion"/>
  </si>
  <si>
    <t>DrvSBR_Visual</t>
    <phoneticPr fontId="8" type="noConversion"/>
  </si>
  <si>
    <t>Unsigned</t>
    <phoneticPr fontId="8" type="noConversion"/>
  </si>
  <si>
    <t>RollingCounter_ABM1</t>
    <phoneticPr fontId="0" type="noConversion"/>
  </si>
  <si>
    <t>ABM rolling counter</t>
    <phoneticPr fontId="8" type="noConversion"/>
  </si>
  <si>
    <t>0x0</t>
    <phoneticPr fontId="8" type="noConversion"/>
  </si>
  <si>
    <t>0x0:Nmin
0xF:Nmax</t>
    <phoneticPr fontId="0" type="noConversion"/>
  </si>
  <si>
    <t>CheckSum_ABM2</t>
    <phoneticPr fontId="0" type="noConversion"/>
  </si>
  <si>
    <t>ABM2</t>
    <phoneticPr fontId="0" type="noConversion"/>
  </si>
  <si>
    <t>0x245</t>
    <phoneticPr fontId="0" type="noConversion"/>
  </si>
  <si>
    <t>Longitude acceleration</t>
    <phoneticPr fontId="8" type="noConversion"/>
  </si>
  <si>
    <t>0x0000</t>
    <phoneticPr fontId="8" type="noConversion"/>
  </si>
  <si>
    <t>m/s^2</t>
    <phoneticPr fontId="6" type="noConversion"/>
  </si>
  <si>
    <t>LateralAcce</t>
    <phoneticPr fontId="0" type="noConversion"/>
  </si>
  <si>
    <t>Indicates Lateral Acceleration</t>
    <phoneticPr fontId="8" type="noConversion"/>
  </si>
  <si>
    <t>VehDynYawRate</t>
    <phoneticPr fontId="0" type="noConversion"/>
  </si>
  <si>
    <t>Vehicle yaw rate</t>
    <phoneticPr fontId="8" type="noConversion"/>
  </si>
  <si>
    <t>0.00024</t>
    <phoneticPr fontId="8" type="noConversion"/>
  </si>
  <si>
    <t>rad/s</t>
    <phoneticPr fontId="6" type="noConversion"/>
  </si>
  <si>
    <t>LongitudeAccValid</t>
    <phoneticPr fontId="0" type="noConversion"/>
  </si>
  <si>
    <t>Longitude acceleration valid</t>
    <phoneticPr fontId="8" type="noConversion"/>
  </si>
  <si>
    <t>0x0: Invalid
0x1: Valid</t>
    <phoneticPr fontId="0" type="noConversion"/>
  </si>
  <si>
    <t>LateralAcceValid</t>
    <phoneticPr fontId="0" type="noConversion"/>
  </si>
  <si>
    <t>Indicates Lateral Signal State</t>
    <phoneticPr fontId="8" type="noConversion"/>
  </si>
  <si>
    <t>ABM2</t>
    <phoneticPr fontId="0" type="noConversion"/>
  </si>
  <si>
    <t>0x245</t>
    <phoneticPr fontId="0" type="noConversion"/>
  </si>
  <si>
    <t>0x0</t>
    <phoneticPr fontId="8" type="noConversion"/>
  </si>
  <si>
    <t>Last value</t>
    <phoneticPr fontId="0" type="noConversion"/>
  </si>
  <si>
    <t>0x0: Invalid
0x1: Valid</t>
    <phoneticPr fontId="0" type="noConversion"/>
  </si>
  <si>
    <t>ABM</t>
    <phoneticPr fontId="16" type="noConversion"/>
  </si>
  <si>
    <t>VehDynYawRateValid</t>
    <phoneticPr fontId="0" type="noConversion"/>
  </si>
  <si>
    <t>Vehicle yaw rate valid</t>
    <phoneticPr fontId="8" type="noConversion"/>
  </si>
  <si>
    <t>RollingCounter_ABM2</t>
    <phoneticPr fontId="0" type="noConversion"/>
  </si>
  <si>
    <t>ABM rolling counter</t>
    <phoneticPr fontId="8" type="noConversion"/>
  </si>
  <si>
    <t>0x0:Nmin
0xF:Nmax</t>
    <phoneticPr fontId="0" type="noConversion"/>
  </si>
  <si>
    <t>SBWM</t>
    <phoneticPr fontId="0" type="noConversion"/>
  </si>
  <si>
    <t>Checksum_SBWM1</t>
    <phoneticPr fontId="0" type="noConversion"/>
  </si>
  <si>
    <t>SBWM1</t>
    <phoneticPr fontId="0" type="noConversion"/>
  </si>
  <si>
    <t>0x0C7</t>
    <phoneticPr fontId="0" type="noConversion"/>
  </si>
  <si>
    <t>p</t>
    <phoneticPr fontId="0" type="noConversion"/>
  </si>
  <si>
    <t>&lt;50MS</t>
    <phoneticPr fontId="0" type="noConversion"/>
  </si>
  <si>
    <t>unsigned</t>
    <phoneticPr fontId="0" type="noConversion"/>
  </si>
  <si>
    <t>150ms</t>
    <phoneticPr fontId="0" type="noConversion"/>
  </si>
  <si>
    <t>\</t>
    <phoneticPr fontId="0" type="noConversion"/>
  </si>
  <si>
    <t>DRV_RQ_SHFT</t>
    <phoneticPr fontId="8" type="noConversion"/>
  </si>
  <si>
    <t>0x8</t>
    <phoneticPr fontId="0" type="noConversion"/>
  </si>
  <si>
    <t>DrvRqShftInv</t>
    <phoneticPr fontId="8" type="noConversion"/>
  </si>
  <si>
    <t>Driver requested gear shift position inverse</t>
    <phoneticPr fontId="8" type="noConversion"/>
  </si>
  <si>
    <t>0x7</t>
    <phoneticPr fontId="0" type="noConversion"/>
  </si>
  <si>
    <t xml:space="preserve">This signal indication E-shift fault which represent E-shift can not reflect the real driver demand because of any reason. </t>
    <phoneticPr fontId="8" type="noConversion"/>
  </si>
  <si>
    <t>RollingCounter_SBWM1</t>
    <phoneticPr fontId="8" type="noConversion"/>
  </si>
  <si>
    <t>SBWM1 rolling counter</t>
    <phoneticPr fontId="8" type="noConversion"/>
  </si>
  <si>
    <t>CheckSum_AC1</t>
    <phoneticPr fontId="8" type="noConversion"/>
  </si>
  <si>
    <t>AC1</t>
    <phoneticPr fontId="0" type="noConversion"/>
  </si>
  <si>
    <t>0x29D</t>
    <phoneticPr fontId="8" type="noConversion"/>
  </si>
  <si>
    <t>GW</t>
    <phoneticPr fontId="16" type="noConversion"/>
  </si>
  <si>
    <t>PTC_PowerCnsmptn</t>
    <phoneticPr fontId="29" type="noConversion"/>
  </si>
  <si>
    <t>Power consumption of PTC</t>
    <phoneticPr fontId="29" type="noConversion"/>
  </si>
  <si>
    <t>0xFF</t>
    <phoneticPr fontId="29" type="noConversion"/>
  </si>
  <si>
    <t>W</t>
    <phoneticPr fontId="0" type="noConversion"/>
  </si>
  <si>
    <t>CMP_PowerCnsmptn</t>
    <phoneticPr fontId="29" type="noConversion"/>
  </si>
  <si>
    <t>Power consumption of compressor</t>
    <phoneticPr fontId="29" type="noConversion"/>
  </si>
  <si>
    <t>AC_FanReq</t>
    <phoneticPr fontId="29" type="noConversion"/>
  </si>
  <si>
    <t>AC Fan Request</t>
    <phoneticPr fontId="29" type="noConversion"/>
  </si>
  <si>
    <t>AC_ShutdownEnable</t>
    <phoneticPr fontId="29" type="noConversion"/>
  </si>
  <si>
    <t>AC Shutdown Enable</t>
    <phoneticPr fontId="29" type="noConversion"/>
  </si>
  <si>
    <t>CMP_ONReq</t>
    <phoneticPr fontId="29" type="noConversion"/>
  </si>
  <si>
    <t>Compressor ON Request</t>
    <phoneticPr fontId="29" type="noConversion"/>
  </si>
  <si>
    <t>Heat_ONReq</t>
    <phoneticPr fontId="29" type="noConversion"/>
  </si>
  <si>
    <t>Heating Request</t>
    <phoneticPr fontId="29" type="noConversion"/>
  </si>
  <si>
    <t>CmprSts</t>
    <phoneticPr fontId="0" type="noConversion"/>
  </si>
  <si>
    <t>Compressor Status</t>
    <phoneticPr fontId="0" type="noConversion"/>
  </si>
  <si>
    <r>
      <t>M</t>
    </r>
    <r>
      <rPr>
        <sz val="10"/>
        <rFont val="Arial"/>
        <family val="2"/>
      </rPr>
      <t>otorola</t>
    </r>
    <phoneticPr fontId="0" type="noConversion"/>
  </si>
  <si>
    <t>AC_PmpWorkingSts</t>
    <phoneticPr fontId="0" type="noConversion"/>
  </si>
  <si>
    <t>Pump Working Status</t>
    <phoneticPr fontId="0" type="noConversion"/>
  </si>
  <si>
    <t>0x0:No working
0x1:Working</t>
    <phoneticPr fontId="0" type="noConversion"/>
  </si>
  <si>
    <t>AC_BlwrGear</t>
    <phoneticPr fontId="0" type="noConversion"/>
  </si>
  <si>
    <t>Blower gear</t>
    <phoneticPr fontId="0" type="noConversion"/>
  </si>
  <si>
    <t>0x2</t>
    <phoneticPr fontId="0" type="noConversion"/>
  </si>
  <si>
    <t>RollingCounter_AC1</t>
    <phoneticPr fontId="6" type="noConversion"/>
  </si>
  <si>
    <t>AC2</t>
    <phoneticPr fontId="33" type="noConversion"/>
  </si>
  <si>
    <t>0x385</t>
    <phoneticPr fontId="0" type="noConversion"/>
  </si>
  <si>
    <t>0xFE</t>
    <phoneticPr fontId="0" type="noConversion"/>
  </si>
  <si>
    <t>0xFF</t>
    <phoneticPr fontId="0" type="noConversion"/>
  </si>
  <si>
    <t>VehTotDistance</t>
    <phoneticPr fontId="0" type="noConversion"/>
  </si>
  <si>
    <t>Travelled Vehicle total distance</t>
    <phoneticPr fontId="8" type="noConversion"/>
  </si>
  <si>
    <t>IP2</t>
    <phoneticPr fontId="0" type="noConversion"/>
  </si>
  <si>
    <r>
      <rPr>
        <sz val="10"/>
        <rFont val="Gungsuh"/>
        <family val="1"/>
        <charset val="129"/>
      </rPr>
      <t>≤</t>
    </r>
    <r>
      <rPr>
        <sz val="10"/>
        <rFont val="Arial"/>
        <family val="2"/>
      </rPr>
      <t xml:space="preserve">100 </t>
    </r>
    <phoneticPr fontId="8" type="noConversion"/>
  </si>
  <si>
    <t>km</t>
    <phoneticPr fontId="36" type="noConversion"/>
  </si>
  <si>
    <t>IP2</t>
    <phoneticPr fontId="0" type="noConversion"/>
  </si>
  <si>
    <r>
      <rPr>
        <sz val="10"/>
        <rFont val="Gungsuh"/>
        <family val="1"/>
        <charset val="129"/>
      </rPr>
      <t>≤</t>
    </r>
    <r>
      <rPr>
        <sz val="10"/>
        <rFont val="Arial"/>
        <family val="2"/>
      </rPr>
      <t xml:space="preserve">100 </t>
    </r>
    <phoneticPr fontId="8" type="noConversion"/>
  </si>
  <si>
    <t>Airbag warning lamp status</t>
    <phoneticPr fontId="8" type="noConversion"/>
  </si>
  <si>
    <t>HUT8</t>
    <phoneticPr fontId="0" type="noConversion"/>
  </si>
  <si>
    <t xml:space="preserve"> 0x2C6</t>
    <phoneticPr fontId="0" type="noConversion"/>
  </si>
  <si>
    <t>0x1</t>
    <phoneticPr fontId="16" type="noConversion"/>
  </si>
  <si>
    <t>last value</t>
    <phoneticPr fontId="0" type="noConversion"/>
  </si>
  <si>
    <t>0x0:Strong 
0x1:Normal 
0x2:Weak 
0x3:Reserved</t>
    <phoneticPr fontId="0" type="noConversion"/>
  </si>
  <si>
    <t>GW1</t>
    <phoneticPr fontId="0" type="noConversion"/>
  </si>
  <si>
    <t>0x2BC</t>
    <phoneticPr fontId="0" type="noConversion"/>
  </si>
  <si>
    <t>DriverDoorSts</t>
    <phoneticPr fontId="0" type="noConversion"/>
  </si>
  <si>
    <t>Driver door status</t>
    <phoneticPr fontId="0" type="noConversion"/>
  </si>
  <si>
    <t>0x319</t>
    <phoneticPr fontId="0" type="noConversion"/>
  </si>
  <si>
    <t>VehicleSoakTime</t>
    <phoneticPr fontId="0" type="noConversion"/>
  </si>
  <si>
    <t>Vehicle Soak time when engine stop until engine running</t>
    <phoneticPr fontId="0" type="noConversion"/>
  </si>
  <si>
    <t>0x345</t>
    <phoneticPr fontId="0" type="noConversion"/>
  </si>
  <si>
    <t>Min</t>
    <phoneticPr fontId="0" type="noConversion"/>
  </si>
  <si>
    <t>Checksum_TBK1</t>
    <phoneticPr fontId="0" type="noConversion"/>
  </si>
  <si>
    <t>0x0A5</t>
    <phoneticPr fontId="0" type="noConversion"/>
  </si>
  <si>
    <t>When the events occurred, BLE1 will be sent 5 times (50ms).</t>
    <phoneticPr fontId="0" type="noConversion"/>
  </si>
  <si>
    <t>&lt;=10</t>
    <phoneticPr fontId="0" type="noConversion"/>
  </si>
  <si>
    <t>unsigned</t>
    <phoneticPr fontId="0" type="noConversion"/>
  </si>
  <si>
    <t xml:space="preserve"> &lt;=700</t>
    <phoneticPr fontId="0" type="noConversion"/>
  </si>
  <si>
    <t>VehicleStartReq</t>
    <phoneticPr fontId="0" type="noConversion"/>
  </si>
  <si>
    <r>
      <t>BLE vehicle start request</t>
    </r>
    <r>
      <rPr>
        <sz val="10"/>
        <rFont val="宋体"/>
        <family val="3"/>
        <charset val="134"/>
      </rPr>
      <t>，</t>
    </r>
    <r>
      <rPr>
        <sz val="10"/>
        <rFont val="Arial"/>
        <family val="2"/>
      </rPr>
      <t>Including requests for emergency start</t>
    </r>
    <phoneticPr fontId="0" type="noConversion"/>
  </si>
  <si>
    <t>0x0:No Action
0x1:Start via BLE Passive
0x2:Start via BLE 
0x3:Start via NFC
0x4:Start via Telematics
0x5:Reserved
0x6:Reserved
0x7:Reserved</t>
    <phoneticPr fontId="0" type="noConversion"/>
  </si>
  <si>
    <t>Checksum_TBK2</t>
    <phoneticPr fontId="0" type="noConversion"/>
  </si>
  <si>
    <t>TBK2</t>
    <phoneticPr fontId="0" type="noConversion"/>
  </si>
  <si>
    <t>0x263</t>
    <phoneticPr fontId="0" type="noConversion"/>
  </si>
  <si>
    <t>&lt;=50</t>
    <phoneticPr fontId="0" type="noConversion"/>
  </si>
  <si>
    <t>SystemPowerMode</t>
    <phoneticPr fontId="0" type="noConversion"/>
  </si>
  <si>
    <t>System Power Mode</t>
    <phoneticPr fontId="0" type="noConversion"/>
  </si>
  <si>
    <t>0x0:OFF
0x1:ACC
0x2:ON
0x3:Crank</t>
    <phoneticPr fontId="0" type="noConversion"/>
  </si>
  <si>
    <t>Rollingcounter_TBK2</t>
    <phoneticPr fontId="0" type="noConversion"/>
  </si>
  <si>
    <t>Rollingcounter</t>
    <phoneticPr fontId="0" type="noConversion"/>
  </si>
  <si>
    <t>0x00</t>
    <phoneticPr fontId="8" type="noConversion"/>
  </si>
  <si>
    <t>Checksum_TBK5</t>
    <phoneticPr fontId="0" type="noConversion"/>
  </si>
  <si>
    <t>0x2EE</t>
    <phoneticPr fontId="0" type="noConversion"/>
  </si>
  <si>
    <t>Phone_ChrgnMode</t>
    <phoneticPr fontId="8" type="noConversion"/>
  </si>
  <si>
    <t>charging mode including Immediate Charging and Delay Charging set on APP</t>
    <phoneticPr fontId="8" type="noConversion"/>
  </si>
  <si>
    <t>charging request to start or end charing process set on APP</t>
    <phoneticPr fontId="8" type="noConversion"/>
  </si>
  <si>
    <r>
      <t>0x0: Init</t>
    </r>
    <r>
      <rPr>
        <sz val="10"/>
        <rFont val="宋体"/>
        <family val="3"/>
        <charset val="134"/>
      </rPr>
      <t>，灰显</t>
    </r>
    <phoneticPr fontId="8" type="noConversion"/>
  </si>
  <si>
    <t>Rollingcounter_TBK5</t>
    <phoneticPr fontId="0" type="noConversion"/>
  </si>
  <si>
    <t>0x0:No request
0x1:Request</t>
    <phoneticPr fontId="0" type="noConversion"/>
  </si>
  <si>
    <t>0x0:No failure
0x1:Failure
0x2:Not available
0x3:Reserved</t>
    <phoneticPr fontId="0" type="noConversion"/>
  </si>
  <si>
    <t>VCU_WordDisp</t>
    <phoneticPr fontId="0" type="noConversion"/>
  </si>
  <si>
    <t>VCU_clsACincremainmile</t>
    <phoneticPr fontId="0" type="noConversion"/>
  </si>
  <si>
    <t>0x265</t>
    <phoneticPr fontId="0" type="noConversion"/>
  </si>
  <si>
    <t>0x351</t>
    <phoneticPr fontId="0" type="noConversion"/>
  </si>
  <si>
    <t>J</t>
    <phoneticPr fontId="16" type="noConversion"/>
  </si>
  <si>
    <t>EPS</t>
    <phoneticPr fontId="0" type="noConversion"/>
  </si>
  <si>
    <t>0x289</t>
    <phoneticPr fontId="0" type="noConversion"/>
  </si>
  <si>
    <t>P</t>
    <phoneticPr fontId="6" type="noConversion"/>
  </si>
  <si>
    <r>
      <rPr>
        <sz val="10"/>
        <rFont val="宋体"/>
        <family val="3"/>
        <charset val="134"/>
      </rPr>
      <t>用于发送</t>
    </r>
    <r>
      <rPr>
        <sz val="10"/>
        <rFont val="Arial"/>
        <family val="2"/>
      </rPr>
      <t>EPS</t>
    </r>
    <r>
      <rPr>
        <sz val="10"/>
        <rFont val="宋体"/>
        <family val="3"/>
        <charset val="134"/>
      </rPr>
      <t>自身故障码</t>
    </r>
    <phoneticPr fontId="8" type="noConversion"/>
  </si>
  <si>
    <t>/</t>
    <phoneticPr fontId="8" type="noConversion"/>
  </si>
  <si>
    <t>量产后取消发送</t>
    <phoneticPr fontId="8" type="noConversion"/>
  </si>
  <si>
    <t>VCU_ACLineDisconnect</t>
    <phoneticPr fontId="0" type="noConversion"/>
  </si>
  <si>
    <t>OBC_ConnectSts</t>
    <phoneticPr fontId="0" type="noConversion"/>
  </si>
  <si>
    <t>OBC_ClntTemp</t>
    <phoneticPr fontId="8" type="noConversion"/>
  </si>
  <si>
    <t>/</t>
    <phoneticPr fontId="0" type="noConversion"/>
  </si>
  <si>
    <t xml:space="preserve">BMS_SysFaultLvl </t>
    <phoneticPr fontId="0" type="noConversion"/>
  </si>
  <si>
    <t>BMS_Dccharger outlet temperature2</t>
    <phoneticPr fontId="8" type="noConversion"/>
  </si>
  <si>
    <t>BMS_Dccharger outlet temperature1</t>
    <phoneticPr fontId="8" type="noConversion"/>
  </si>
  <si>
    <t>BMS_MinTempPosnNumber</t>
    <phoneticPr fontId="8" type="noConversion"/>
  </si>
  <si>
    <t>BMS_MaxTempPosnNumber</t>
    <phoneticPr fontId="8" type="noConversion"/>
  </si>
  <si>
    <t>Max temperature position number of sensor</t>
    <phoneticPr fontId="0" type="noConversion"/>
  </si>
  <si>
    <t>Min temperature position number of sensor</t>
    <phoneticPr fontId="0" type="noConversion"/>
  </si>
  <si>
    <t>0x0:Compressor OFF
0x1:Compressor ON
0x2:Power Limit
0x3:Pre_heating
0x4:reserved
0x5:reserved
0x6:Compressor_INIT
0x7:SNA or Failure of EAC</t>
    <phoneticPr fontId="0" type="noConversion"/>
  </si>
  <si>
    <t>/</t>
    <phoneticPr fontId="0" type="noConversion"/>
  </si>
  <si>
    <t>ESP</t>
    <phoneticPr fontId="8" type="noConversion"/>
  </si>
  <si>
    <t>Use the checksum strategy from document "GWMLAN00-18 Checksum Req Spec-V1.0"</t>
    <phoneticPr fontId="8" type="noConversion"/>
  </si>
  <si>
    <t>/</t>
    <phoneticPr fontId="0" type="noConversion"/>
  </si>
  <si>
    <t>P</t>
    <phoneticPr fontId="0" type="noConversion"/>
  </si>
  <si>
    <t>P</t>
    <phoneticPr fontId="8" type="noConversion"/>
  </si>
  <si>
    <r>
      <rPr>
        <sz val="10"/>
        <rFont val="宋体"/>
        <family val="3"/>
        <charset val="134"/>
      </rPr>
      <t>≤</t>
    </r>
    <r>
      <rPr>
        <sz val="10"/>
        <rFont val="Arial"/>
        <family val="2"/>
      </rPr>
      <t>20</t>
    </r>
    <phoneticPr fontId="8" type="noConversion"/>
  </si>
  <si>
    <t>/</t>
    <phoneticPr fontId="8" type="noConversion"/>
  </si>
  <si>
    <t>Motorola</t>
    <phoneticPr fontId="0" type="noConversion"/>
  </si>
  <si>
    <t>ESP</t>
    <phoneticPr fontId="0" type="noConversion"/>
  </si>
  <si>
    <t>Motorola</t>
    <phoneticPr fontId="8" type="noConversion"/>
  </si>
  <si>
    <t xml:space="preserve">Rolling Counter </t>
    <phoneticPr fontId="8" type="noConversion"/>
  </si>
  <si>
    <t>Last value</t>
    <phoneticPr fontId="8" type="noConversion"/>
  </si>
  <si>
    <t>BTC active</t>
    <phoneticPr fontId="8" type="noConversion"/>
  </si>
  <si>
    <t>0X149</t>
  </si>
  <si>
    <t>PTC active</t>
    <phoneticPr fontId="0" type="noConversion"/>
  </si>
  <si>
    <t>0X169</t>
  </si>
  <si>
    <t>X</t>
    <phoneticPr fontId="0" type="noConversion"/>
  </si>
  <si>
    <t>0 :No failure
1 :Failure</t>
    <phoneticPr fontId="0" type="noConversion"/>
  </si>
  <si>
    <t>Status of Target Recuperation torque of Generator</t>
    <phoneticPr fontId="8" type="noConversion"/>
  </si>
  <si>
    <t>Target Recuperation Torque Request by HASHev(Hydraulic Apply System for Hybrid Electrical Vehicle) to Generator</t>
    <phoneticPr fontId="8" type="noConversion"/>
  </si>
  <si>
    <t>CheckSum_ESP4</t>
    <phoneticPr fontId="8" type="noConversion"/>
  </si>
  <si>
    <t>ESP4</t>
    <phoneticPr fontId="8" type="noConversion"/>
  </si>
  <si>
    <t>EngTrqIncReq</t>
    <phoneticPr fontId="0" type="noConversion"/>
  </si>
  <si>
    <t>This signal requires for the actual flywheel torque</t>
    <phoneticPr fontId="8" type="noConversion"/>
  </si>
  <si>
    <t>EngTrqIncReqActive</t>
    <phoneticPr fontId="0" type="noConversion"/>
  </si>
  <si>
    <t>Engine torque increase request active</t>
    <phoneticPr fontId="8" type="noConversion"/>
  </si>
  <si>
    <t>0 = Not active
1 = Active</t>
    <phoneticPr fontId="8" type="noConversion"/>
  </si>
  <si>
    <t>EngTrqRedReqActive</t>
    <phoneticPr fontId="0" type="noConversion"/>
  </si>
  <si>
    <t>Engine torque reduction request active</t>
    <phoneticPr fontId="8" type="noConversion"/>
  </si>
  <si>
    <t>RollingCounter_ESP4</t>
    <phoneticPr fontId="8" type="noConversion"/>
  </si>
  <si>
    <r>
      <t xml:space="preserve">
CF-CAN:To IP</t>
    </r>
    <r>
      <rPr>
        <sz val="10"/>
        <rFont val="宋体"/>
        <family val="3"/>
        <charset val="134"/>
      </rPr>
      <t>，</t>
    </r>
    <r>
      <rPr>
        <sz val="10"/>
        <rFont val="Arial"/>
        <family val="2"/>
      </rPr>
      <t>AC</t>
    </r>
    <r>
      <rPr>
        <sz val="10"/>
        <rFont val="宋体"/>
        <family val="3"/>
        <charset val="134"/>
      </rPr>
      <t>，</t>
    </r>
    <r>
      <rPr>
        <sz val="10"/>
        <rFont val="Arial"/>
        <family val="2"/>
      </rPr>
      <t>BCM,HUT.TPMS
SE-CAN:To TBK</t>
    </r>
    <phoneticPr fontId="0" type="noConversion"/>
  </si>
  <si>
    <t>CheckSum_ESP2</t>
    <phoneticPr fontId="8" type="noConversion"/>
  </si>
  <si>
    <t>ESP2</t>
    <phoneticPr fontId="0" type="noConversion"/>
  </si>
  <si>
    <t>RollingCounter_ESP2</t>
    <phoneticPr fontId="8" type="noConversion"/>
  </si>
  <si>
    <t>周期（ms）</t>
    <phoneticPr fontId="8" type="noConversion"/>
  </si>
  <si>
    <t>负载率（%）</t>
    <phoneticPr fontId="8" type="noConversion"/>
  </si>
  <si>
    <t>总负载率（%）</t>
    <phoneticPr fontId="8" type="noConversion"/>
  </si>
  <si>
    <t>X</t>
    <phoneticPr fontId="0" type="noConversion"/>
  </si>
  <si>
    <t>X</t>
    <phoneticPr fontId="0" type="noConversion"/>
  </si>
  <si>
    <t>X</t>
    <phoneticPr fontId="0" type="noConversion"/>
  </si>
  <si>
    <t>PT-CAN负载率</t>
    <phoneticPr fontId="8" type="noConversion"/>
  </si>
  <si>
    <t>/</t>
    <phoneticPr fontId="6" type="noConversion"/>
  </si>
  <si>
    <t>/</t>
    <phoneticPr fontId="0" type="noConversion"/>
  </si>
  <si>
    <t>VCU_AtmPresRawValid</t>
    <phoneticPr fontId="0" type="noConversion"/>
  </si>
  <si>
    <t>Atmosphere Pressure Raw Valid</t>
    <phoneticPr fontId="0" type="noConversion"/>
  </si>
  <si>
    <t>VCU5</t>
    <phoneticPr fontId="8" type="noConversion"/>
  </si>
  <si>
    <t>0x31B</t>
    <phoneticPr fontId="0" type="noConversion"/>
  </si>
  <si>
    <t>P</t>
    <phoneticPr fontId="6" type="noConversion"/>
  </si>
  <si>
    <t>P</t>
    <phoneticPr fontId="8" type="noConversion"/>
  </si>
  <si>
    <t>/</t>
    <phoneticPr fontId="0" type="noConversion"/>
  </si>
  <si>
    <t>Motorola</t>
    <phoneticPr fontId="0" type="noConversion"/>
  </si>
  <si>
    <t>Unsigned</t>
    <phoneticPr fontId="0" type="noConversion"/>
  </si>
  <si>
    <t>0x0:Invalid
0x1:Valid</t>
    <phoneticPr fontId="0" type="noConversion"/>
  </si>
  <si>
    <t>X</t>
    <phoneticPr fontId="0" type="noConversion"/>
  </si>
  <si>
    <t>VCU_AtmPresRaw</t>
    <phoneticPr fontId="0" type="noConversion"/>
  </si>
  <si>
    <t>Atmosphere Pressure Raw</t>
    <phoneticPr fontId="8" type="noConversion"/>
  </si>
  <si>
    <t>VCU5</t>
    <phoneticPr fontId="8" type="noConversion"/>
  </si>
  <si>
    <t>/</t>
    <phoneticPr fontId="6" type="noConversion"/>
  </si>
  <si>
    <t>/</t>
    <phoneticPr fontId="8" type="noConversion"/>
  </si>
  <si>
    <t>kPa</t>
  </si>
  <si>
    <r>
      <t>CF-CAN</t>
    </r>
    <r>
      <rPr>
        <sz val="10"/>
        <rFont val="宋体"/>
        <family val="3"/>
        <charset val="134"/>
      </rPr>
      <t>：</t>
    </r>
    <r>
      <rPr>
        <sz val="10"/>
        <rFont val="Arial"/>
        <family val="2"/>
      </rPr>
      <t>To TPMS</t>
    </r>
    <phoneticPr fontId="0" type="noConversion"/>
  </si>
  <si>
    <t>CF-CAN:To TPMS</t>
    <phoneticPr fontId="0" type="noConversion"/>
  </si>
  <si>
    <t>LongitudeAcc</t>
    <phoneticPr fontId="0" type="noConversion"/>
  </si>
  <si>
    <t>/</t>
    <phoneticPr fontId="0" type="noConversion"/>
  </si>
  <si>
    <t>0x0-0xFF:Valid</t>
    <phoneticPr fontId="0" type="noConversion"/>
  </si>
  <si>
    <t>VCU_VacPmpPress</t>
    <phoneticPr fontId="29" type="noConversion"/>
  </si>
  <si>
    <t>Vacuum pump pressure</t>
    <phoneticPr fontId="8" type="noConversion"/>
  </si>
  <si>
    <t>VCU6</t>
    <phoneticPr fontId="8" type="noConversion"/>
  </si>
  <si>
    <t>0x0D4</t>
    <phoneticPr fontId="0" type="noConversion"/>
  </si>
  <si>
    <t>P</t>
    <phoneticPr fontId="6" type="noConversion"/>
  </si>
  <si>
    <t>Motorola</t>
    <phoneticPr fontId="6" type="noConversion"/>
  </si>
  <si>
    <t>Unsigned</t>
    <phoneticPr fontId="6" type="noConversion"/>
  </si>
  <si>
    <t>0x00</t>
    <phoneticPr fontId="6" type="noConversion"/>
  </si>
  <si>
    <t>kPa</t>
    <phoneticPr fontId="8" type="noConversion"/>
  </si>
  <si>
    <t>X</t>
    <phoneticPr fontId="0" type="noConversion"/>
  </si>
  <si>
    <t>SE-CAN:To TBK
CF-CAN:To HUT</t>
    <phoneticPr fontId="0" type="noConversion"/>
  </si>
  <si>
    <t>VCUAuth_TBK</t>
  </si>
  <si>
    <t>VCU anti-theft related signals, PEPS send to VCU</t>
    <phoneticPr fontId="0" type="noConversion"/>
  </si>
  <si>
    <t>TBK3</t>
  </si>
  <si>
    <t>0x087</t>
    <phoneticPr fontId="0" type="noConversion"/>
  </si>
  <si>
    <t xml:space="preserve">When the events occurred, TBK3 will be sent only once. </t>
  </si>
  <si>
    <t>X</t>
    <phoneticPr fontId="0" type="noConversion"/>
  </si>
  <si>
    <t>/</t>
    <phoneticPr fontId="0" type="noConversion"/>
  </si>
  <si>
    <r>
      <rPr>
        <b/>
        <sz val="10"/>
        <rFont val="Arial"/>
        <family val="2"/>
      </rPr>
      <t>Reserved</t>
    </r>
    <r>
      <rPr>
        <sz val="10"/>
        <rFont val="Arial"/>
        <family val="2"/>
      </rPr>
      <t xml:space="preserve">
In initialization</t>
    </r>
    <r>
      <rPr>
        <sz val="10"/>
        <rFont val="宋体"/>
        <family val="3"/>
        <charset val="134"/>
      </rPr>
      <t>，</t>
    </r>
    <r>
      <rPr>
        <sz val="10"/>
        <rFont val="Arial"/>
        <family val="2"/>
      </rPr>
      <t>the signal send 0x1</t>
    </r>
    <r>
      <rPr>
        <sz val="10"/>
        <rFont val="宋体"/>
        <family val="3"/>
        <charset val="134"/>
      </rPr>
      <t>（</t>
    </r>
    <r>
      <rPr>
        <sz val="10"/>
        <rFont val="Arial"/>
        <family val="2"/>
      </rPr>
      <t>4s</t>
    </r>
    <r>
      <rPr>
        <sz val="10"/>
        <rFont val="宋体"/>
        <family val="3"/>
        <charset val="134"/>
      </rPr>
      <t>），</t>
    </r>
    <r>
      <rPr>
        <sz val="10"/>
        <rFont val="Arial"/>
        <family val="2"/>
      </rPr>
      <t>then send 0x0</t>
    </r>
    <r>
      <rPr>
        <sz val="10"/>
        <rFont val="宋体"/>
        <family val="3"/>
        <charset val="134"/>
      </rPr>
      <t>（</t>
    </r>
    <r>
      <rPr>
        <sz val="10"/>
        <rFont val="Arial"/>
        <family val="2"/>
      </rPr>
      <t>2s</t>
    </r>
    <r>
      <rPr>
        <sz val="10"/>
        <rFont val="宋体"/>
        <family val="3"/>
        <charset val="134"/>
      </rPr>
      <t>）</t>
    </r>
    <phoneticPr fontId="0" type="noConversion"/>
  </si>
  <si>
    <r>
      <rPr>
        <b/>
        <sz val="10"/>
        <rFont val="Arial"/>
        <family val="2"/>
      </rPr>
      <t>Reserved</t>
    </r>
    <r>
      <rPr>
        <sz val="10"/>
        <rFont val="Arial"/>
        <family val="2"/>
      </rPr>
      <t xml:space="preserve">
In initialization</t>
    </r>
    <r>
      <rPr>
        <sz val="10"/>
        <rFont val="宋体"/>
        <family val="3"/>
        <charset val="134"/>
      </rPr>
      <t>，</t>
    </r>
    <r>
      <rPr>
        <sz val="10"/>
        <rFont val="Arial"/>
        <family val="2"/>
      </rPr>
      <t>the signal send 0x1</t>
    </r>
    <r>
      <rPr>
        <sz val="10"/>
        <rFont val="宋体"/>
        <family val="3"/>
        <charset val="134"/>
      </rPr>
      <t>（</t>
    </r>
    <r>
      <rPr>
        <sz val="10"/>
        <rFont val="Arial"/>
        <family val="2"/>
      </rPr>
      <t>2s</t>
    </r>
    <r>
      <rPr>
        <sz val="10"/>
        <rFont val="宋体"/>
        <family val="3"/>
        <charset val="134"/>
      </rPr>
      <t>）</t>
    </r>
    <r>
      <rPr>
        <sz val="10"/>
        <rFont val="Arial"/>
        <family val="2"/>
      </rPr>
      <t/>
    </r>
    <phoneticPr fontId="8" type="noConversion"/>
  </si>
  <si>
    <r>
      <t>In initialization</t>
    </r>
    <r>
      <rPr>
        <sz val="10"/>
        <rFont val="宋体"/>
        <family val="3"/>
        <charset val="134"/>
      </rPr>
      <t>，</t>
    </r>
    <r>
      <rPr>
        <sz val="10"/>
        <rFont val="Arial"/>
        <family val="2"/>
      </rPr>
      <t>the signal send 0x1</t>
    </r>
    <r>
      <rPr>
        <sz val="10"/>
        <rFont val="宋体"/>
        <family val="3"/>
        <charset val="134"/>
      </rPr>
      <t>（</t>
    </r>
    <r>
      <rPr>
        <sz val="10"/>
        <rFont val="Arial"/>
        <family val="2"/>
      </rPr>
      <t>6s</t>
    </r>
    <r>
      <rPr>
        <sz val="10"/>
        <rFont val="宋体"/>
        <family val="3"/>
        <charset val="134"/>
      </rPr>
      <t>），</t>
    </r>
    <r>
      <rPr>
        <sz val="10"/>
        <rFont val="Arial"/>
        <family val="2"/>
      </rPr>
      <t>then send 0x0</t>
    </r>
    <r>
      <rPr>
        <sz val="10"/>
        <rFont val="宋体"/>
        <family val="3"/>
        <charset val="134"/>
      </rPr>
      <t>（</t>
    </r>
    <r>
      <rPr>
        <sz val="10"/>
        <rFont val="Arial"/>
        <family val="2"/>
      </rPr>
      <t>1s</t>
    </r>
    <r>
      <rPr>
        <sz val="10"/>
        <rFont val="宋体"/>
        <family val="3"/>
        <charset val="134"/>
      </rPr>
      <t xml:space="preserve">）
</t>
    </r>
    <r>
      <rPr>
        <sz val="10"/>
        <rFont val="Arial"/>
        <family val="2"/>
      </rPr>
      <t>SE_CAN:To TBK
CF_CAN:To IP</t>
    </r>
    <phoneticPr fontId="0" type="noConversion"/>
  </si>
  <si>
    <r>
      <rPr>
        <b/>
        <sz val="10"/>
        <rFont val="Arial"/>
        <family val="2"/>
      </rPr>
      <t>Reserved</t>
    </r>
    <r>
      <rPr>
        <sz val="10"/>
        <rFont val="Arial"/>
        <family val="2"/>
      </rPr>
      <t xml:space="preserve">
In initialization</t>
    </r>
    <r>
      <rPr>
        <sz val="10"/>
        <rFont val="宋体"/>
        <family val="3"/>
        <charset val="134"/>
      </rPr>
      <t>，</t>
    </r>
    <r>
      <rPr>
        <sz val="10"/>
        <rFont val="Arial"/>
        <family val="2"/>
      </rPr>
      <t>the signal send 0x1</t>
    </r>
    <r>
      <rPr>
        <sz val="10"/>
        <rFont val="宋体"/>
        <family val="3"/>
        <charset val="134"/>
      </rPr>
      <t>（</t>
    </r>
    <r>
      <rPr>
        <sz val="10"/>
        <rFont val="Arial"/>
        <family val="2"/>
      </rPr>
      <t>2s</t>
    </r>
    <r>
      <rPr>
        <sz val="10"/>
        <rFont val="宋体"/>
        <family val="3"/>
        <charset val="134"/>
      </rPr>
      <t>）</t>
    </r>
    <phoneticPr fontId="8" type="noConversion"/>
  </si>
  <si>
    <t>ACFrntDefrost</t>
    <phoneticPr fontId="0" type="noConversion"/>
  </si>
  <si>
    <t>Front Defrost Icon DisplayCommand</t>
    <phoneticPr fontId="0" type="noConversion"/>
  </si>
  <si>
    <t>AC2</t>
    <phoneticPr fontId="0" type="noConversion"/>
  </si>
  <si>
    <t>TBD</t>
  </si>
  <si>
    <t>this signal is transferred to CCSM by BCM</t>
  </si>
  <si>
    <t>X</t>
    <phoneticPr fontId="0" type="noConversion"/>
  </si>
  <si>
    <t>CheckSum_MCU1</t>
    <phoneticPr fontId="8" type="noConversion"/>
  </si>
  <si>
    <t>TM_OffsetAngle</t>
    <phoneticPr fontId="8" type="noConversion"/>
  </si>
  <si>
    <t>TM_MotorPower</t>
    <phoneticPr fontId="0" type="noConversion"/>
  </si>
  <si>
    <t>RollingCounter_MCU1</t>
    <phoneticPr fontId="8" type="noConversion"/>
  </si>
  <si>
    <t>DCDC_HvActCurr</t>
    <phoneticPr fontId="8" type="noConversion"/>
  </si>
  <si>
    <t>DCDC_LvActCurr</t>
    <phoneticPr fontId="8" type="noConversion"/>
  </si>
  <si>
    <t>DCDC_FailSts</t>
    <phoneticPr fontId="8" type="noConversion"/>
  </si>
  <si>
    <t>DCDC_OperMod</t>
    <phoneticPr fontId="8" type="noConversion"/>
  </si>
  <si>
    <t>X</t>
    <phoneticPr fontId="0" type="noConversion"/>
  </si>
  <si>
    <t>/</t>
    <phoneticPr fontId="42" type="noConversion"/>
  </si>
  <si>
    <t>DrvSeatBeltWarnLmpFailrSts</t>
    <phoneticPr fontId="0" type="noConversion"/>
  </si>
  <si>
    <t>Driver Seat Belt  warning lamp failure status</t>
    <phoneticPr fontId="8" type="noConversion"/>
  </si>
  <si>
    <t>PT-CAN:To ABM</t>
    <phoneticPr fontId="0" type="noConversion"/>
  </si>
  <si>
    <t>X</t>
    <phoneticPr fontId="0" type="noConversion"/>
  </si>
  <si>
    <t>PT-CAN:To ABM
SE-CAN:To TBK</t>
    <phoneticPr fontId="0" type="noConversion"/>
  </si>
  <si>
    <t>ABMWarnLmpFailrSts</t>
    <phoneticPr fontId="0" type="noConversion"/>
  </si>
  <si>
    <t>X</t>
    <phoneticPr fontId="0" type="noConversion"/>
  </si>
  <si>
    <t>TM_Derating_MotorOverTemp</t>
    <phoneticPr fontId="8" type="noConversion"/>
  </si>
  <si>
    <t>TM_Derating_OverCurr_Neg</t>
    <phoneticPr fontId="8" type="noConversion"/>
  </si>
  <si>
    <t>TM_Derating_OverCurr_Pos</t>
    <phoneticPr fontId="8" type="noConversion"/>
  </si>
  <si>
    <t>TM_Derating_UnderVolt</t>
    <phoneticPr fontId="8" type="noConversion"/>
  </si>
  <si>
    <t>TM_CalOffsetAngleReq</t>
    <phoneticPr fontId="8" type="noConversion"/>
  </si>
  <si>
    <t>CheckSum_MCU2</t>
    <phoneticPr fontId="8" type="noConversion"/>
  </si>
  <si>
    <t>DCDC_ActLowVolt</t>
    <phoneticPr fontId="8" type="noConversion"/>
  </si>
  <si>
    <t>DCDC_Temp</t>
    <phoneticPr fontId="8" type="noConversion"/>
  </si>
  <si>
    <t>DCDC_Derating_InvOverTemp</t>
    <phoneticPr fontId="8" type="noConversion"/>
  </si>
  <si>
    <t>DCDC_Derating_HvLowVolt</t>
    <phoneticPr fontId="8" type="noConversion"/>
  </si>
  <si>
    <t>MCU_CoolPumpOpenReq</t>
    <phoneticPr fontId="8" type="noConversion"/>
  </si>
  <si>
    <t>MCU_SwVersion5</t>
    <phoneticPr fontId="0" type="noConversion"/>
  </si>
  <si>
    <t>MCU_SwVersion4</t>
    <phoneticPr fontId="0" type="noConversion"/>
  </si>
  <si>
    <t>MCU_SwVersion3</t>
    <phoneticPr fontId="0" type="noConversion"/>
  </si>
  <si>
    <t>MCU_SwVersion2</t>
    <phoneticPr fontId="0" type="noConversion"/>
  </si>
  <si>
    <t>MCU_SwVersion1</t>
    <phoneticPr fontId="0" type="noConversion"/>
  </si>
  <si>
    <t>MCU_SwVersion0</t>
    <phoneticPr fontId="0" type="noConversion"/>
  </si>
  <si>
    <t>V1.0</t>
    <phoneticPr fontId="8" type="noConversion"/>
  </si>
  <si>
    <t>First Version</t>
    <phoneticPr fontId="8" type="noConversion"/>
  </si>
  <si>
    <t>/</t>
    <phoneticPr fontId="8" type="noConversion"/>
  </si>
  <si>
    <t>Yuan Yunpeng</t>
    <phoneticPr fontId="8" type="noConversion"/>
  </si>
  <si>
    <t>All ECUs</t>
    <phoneticPr fontId="8" type="noConversion"/>
  </si>
  <si>
    <t>Pangliang</t>
    <phoneticPr fontId="8" type="noConversion"/>
  </si>
  <si>
    <t>X</t>
    <phoneticPr fontId="0" type="noConversion"/>
  </si>
  <si>
    <r>
      <t>0x0:SleepState
0x1:Standby</t>
    </r>
    <r>
      <rPr>
        <sz val="10"/>
        <rFont val="宋体"/>
        <family val="3"/>
        <charset val="134"/>
      </rPr>
      <t xml:space="preserve">
</t>
    </r>
    <r>
      <rPr>
        <sz val="10"/>
        <rFont val="Arial"/>
        <family val="2"/>
      </rPr>
      <t>0x2:key on but charging gun invalid</t>
    </r>
    <r>
      <rPr>
        <sz val="10"/>
        <rFont val="宋体"/>
        <family val="3"/>
        <charset val="134"/>
      </rPr>
      <t xml:space="preserve">
</t>
    </r>
    <r>
      <rPr>
        <sz val="10"/>
        <rFont val="Arial"/>
        <family val="2"/>
      </rPr>
      <t>0x3:During Ready</t>
    </r>
    <r>
      <rPr>
        <sz val="10"/>
        <rFont val="宋体"/>
        <family val="3"/>
        <charset val="134"/>
      </rPr>
      <t xml:space="preserve">
</t>
    </r>
    <r>
      <rPr>
        <sz val="10"/>
        <rFont val="Arial"/>
        <family val="2"/>
      </rPr>
      <t>0x4:PowerUp4Ready</t>
    </r>
    <r>
      <rPr>
        <sz val="10"/>
        <rFont val="宋体"/>
        <family val="3"/>
        <charset val="134"/>
      </rPr>
      <t xml:space="preserve">
</t>
    </r>
    <r>
      <rPr>
        <sz val="10"/>
        <rFont val="Arial"/>
        <family val="2"/>
      </rPr>
      <t>0x5:DC Charging gun connected but no charging
0x6:AC Charging gun connected but no charging</t>
    </r>
    <r>
      <rPr>
        <sz val="10"/>
        <rFont val="宋体"/>
        <family val="3"/>
        <charset val="134"/>
      </rPr>
      <t xml:space="preserve">
</t>
    </r>
    <r>
      <rPr>
        <sz val="10"/>
        <rFont val="Arial"/>
        <family val="2"/>
      </rPr>
      <t>0x7:PowrUp4AC_Charging</t>
    </r>
    <r>
      <rPr>
        <sz val="10"/>
        <rFont val="宋体"/>
        <family val="3"/>
        <charset val="134"/>
      </rPr>
      <t xml:space="preserve">
</t>
    </r>
    <r>
      <rPr>
        <sz val="10"/>
        <rFont val="Arial"/>
        <family val="2"/>
      </rPr>
      <t>0x8:PowrUp4DC_Charging</t>
    </r>
    <r>
      <rPr>
        <sz val="10"/>
        <rFont val="宋体"/>
        <family val="3"/>
        <charset val="134"/>
      </rPr>
      <t xml:space="preserve">
</t>
    </r>
    <r>
      <rPr>
        <sz val="10"/>
        <rFont val="Arial"/>
        <family val="2"/>
      </rPr>
      <t>0x9:During Charing Powerdown
0xA:During HV Powerdown
0xB:During LV Powerdown
0xC:Powerdown finish
0xD:Prepare Sleep
0xE:OtherECU_OK4Charging
0xF:VehPower_OK4Charging</t>
    </r>
    <phoneticPr fontId="29" type="noConversion"/>
  </si>
  <si>
    <t>0x0:Not connected
0x1:Connected
0x2:half connection
0x3:Error</t>
    <phoneticPr fontId="8" type="noConversion"/>
  </si>
  <si>
    <t>OBC_CCLineConnectSts</t>
    <phoneticPr fontId="0" type="noConversion"/>
  </si>
  <si>
    <t>OBC3</t>
    <phoneticPr fontId="0" type="noConversion"/>
  </si>
  <si>
    <t>Yuan Yunpeng</t>
    <phoneticPr fontId="8" type="noConversion"/>
  </si>
  <si>
    <t>MCU fan open request</t>
    <phoneticPr fontId="0" type="noConversion"/>
  </si>
  <si>
    <t>MCU_FanOpenReq</t>
    <phoneticPr fontId="0" type="noConversion"/>
  </si>
  <si>
    <t xml:space="preserve">Use the checksum strategy from document“GWMLAN00-18 Checksum Req Spec-V1.0” </t>
  </si>
  <si>
    <t>0x0</t>
    <phoneticPr fontId="0" type="noConversion"/>
  </si>
  <si>
    <t>SAS</t>
    <phoneticPr fontId="8" type="noConversion"/>
  </si>
  <si>
    <t>Temp=Byte0 XOR Byte1 XORByte2 XOR Byte3
CheckSum_SAS1=high nibble(temp) XOR lowe nibble(temp) XOR RolCnt_SAS1</t>
    <phoneticPr fontId="8" type="noConversion"/>
  </si>
  <si>
    <t>X</t>
    <phoneticPr fontId="0" type="noConversion"/>
  </si>
  <si>
    <t>VCU_CrashOutputSts</t>
    <phoneticPr fontId="6" type="noConversion"/>
  </si>
  <si>
    <t>VCU_RdyLEDSts</t>
    <phoneticPr fontId="8" type="noConversion"/>
  </si>
  <si>
    <t>VCU_PowerLow</t>
    <phoneticPr fontId="6" type="noConversion"/>
  </si>
  <si>
    <t>X</t>
    <phoneticPr fontId="0" type="noConversion"/>
  </si>
  <si>
    <t>X</t>
    <phoneticPr fontId="0" type="noConversion"/>
  </si>
  <si>
    <t>BMS_NegRlySts</t>
    <phoneticPr fontId="8" type="noConversion"/>
  </si>
  <si>
    <t>BMS_PreRlySts</t>
    <phoneticPr fontId="8" type="noConversion"/>
  </si>
  <si>
    <t>BMS_HeatRlySts</t>
    <phoneticPr fontId="8" type="noConversion"/>
  </si>
  <si>
    <t>BMS_OpenPosRlyReq</t>
    <phoneticPr fontId="8" type="noConversion"/>
  </si>
  <si>
    <t>BMS_CrashOutputSts</t>
    <phoneticPr fontId="6" type="noConversion"/>
  </si>
  <si>
    <t>MCU</t>
    <phoneticPr fontId="6" type="noConversion"/>
  </si>
  <si>
    <t>/</t>
    <phoneticPr fontId="0" type="noConversion"/>
  </si>
  <si>
    <t>CheckSum_MCU8</t>
    <phoneticPr fontId="8" type="noConversion"/>
  </si>
  <si>
    <t xml:space="preserve">Use the checksum strategy from document“GWMLAN00-18 Checksum Req Spec-V1.0” </t>
    <phoneticPr fontId="8" type="noConversion"/>
  </si>
  <si>
    <t>MCU8</t>
    <phoneticPr fontId="8" type="noConversion"/>
  </si>
  <si>
    <t>0x2E3</t>
    <phoneticPr fontId="0" type="noConversion"/>
  </si>
  <si>
    <t>P</t>
    <phoneticPr fontId="6" type="noConversion"/>
  </si>
  <si>
    <t>/</t>
    <phoneticPr fontId="6" type="noConversion"/>
  </si>
  <si>
    <t>Motorola</t>
    <phoneticPr fontId="0" type="noConversion"/>
  </si>
  <si>
    <t>Unsigned</t>
    <phoneticPr fontId="0" type="noConversion"/>
  </si>
  <si>
    <t>0x0</t>
    <phoneticPr fontId="0" type="noConversion"/>
  </si>
  <si>
    <t>Last value</t>
    <phoneticPr fontId="0" type="noConversion"/>
  </si>
  <si>
    <t>Actual amount of E-motor for  remote monitor</t>
    <phoneticPr fontId="42" type="noConversion"/>
  </si>
  <si>
    <t>0x0-0x3:valid value</t>
    <phoneticPr fontId="0" type="noConversion"/>
  </si>
  <si>
    <t>TM_OperMode_RM</t>
    <phoneticPr fontId="42" type="noConversion"/>
  </si>
  <si>
    <t>Actual working mode of E-motor for  remote monitor</t>
    <phoneticPr fontId="42" type="noConversion"/>
  </si>
  <si>
    <t>MCU8</t>
    <phoneticPr fontId="42" type="noConversion"/>
  </si>
  <si>
    <t>Actual temperature of inverter for  remote monitor</t>
    <phoneticPr fontId="8" type="noConversion"/>
  </si>
  <si>
    <t>P</t>
    <phoneticPr fontId="0" type="noConversion"/>
  </si>
  <si>
    <t>0x00</t>
    <phoneticPr fontId="0" type="noConversion"/>
  </si>
  <si>
    <t>°C</t>
    <phoneticPr fontId="8" type="noConversion"/>
  </si>
  <si>
    <t>TM_ActRotSpd_RM</t>
    <phoneticPr fontId="8" type="noConversion"/>
  </si>
  <si>
    <t>actual rotation speed TM(Traction Motor) for  remote monitor</t>
    <phoneticPr fontId="8" type="noConversion"/>
  </si>
  <si>
    <t>0x0000</t>
    <phoneticPr fontId="0" type="noConversion"/>
  </si>
  <si>
    <t>TM_ActTrq_RM</t>
    <phoneticPr fontId="8" type="noConversion"/>
  </si>
  <si>
    <t xml:space="preserve">actual torque TM(Traction Motor)for  remote monitor </t>
    <phoneticPr fontId="8" type="noConversion"/>
  </si>
  <si>
    <t>MCU8</t>
  </si>
  <si>
    <t>0x000</t>
    <phoneticPr fontId="0" type="noConversion"/>
  </si>
  <si>
    <t>TM_ActHvCurr_RM</t>
    <phoneticPr fontId="8" type="noConversion"/>
  </si>
  <si>
    <t>actual HV current at TM(Traction Motor) for  remote monitor</t>
    <phoneticPr fontId="6" type="noConversion"/>
  </si>
  <si>
    <t>MCU9</t>
    <phoneticPr fontId="0" type="noConversion"/>
  </si>
  <si>
    <t>0x2E5</t>
    <phoneticPr fontId="0" type="noConversion"/>
  </si>
  <si>
    <t>TM_ActHvVolt_RM</t>
    <phoneticPr fontId="8" type="noConversion"/>
  </si>
  <si>
    <t>actual HV voltage at TM(Traction Motor) for  remote monitor</t>
    <phoneticPr fontId="6" type="noConversion"/>
  </si>
  <si>
    <t>Actual temperature of TM(Traction Motor) for  remote monitor</t>
    <phoneticPr fontId="8" type="noConversion"/>
  </si>
  <si>
    <t>TM_InvTempwarning_RM</t>
    <phoneticPr fontId="42" type="noConversion"/>
  </si>
  <si>
    <t>inverter temperapure warning for  remote monitor</t>
    <phoneticPr fontId="42" type="noConversion"/>
  </si>
  <si>
    <t>0x0:No warning
0x1:warning</t>
    <phoneticPr fontId="0" type="noConversion"/>
  </si>
  <si>
    <t>TM_Tempwarning_RM</t>
    <phoneticPr fontId="8" type="noConversion"/>
  </si>
  <si>
    <t>TM temperapure warning for  remote monitor</t>
    <phoneticPr fontId="42" type="noConversion"/>
  </si>
  <si>
    <t>DCDC_Tempwarning_RM</t>
    <phoneticPr fontId="42" type="noConversion"/>
  </si>
  <si>
    <t>DCDC temperapure warning for  remote monitor</t>
    <phoneticPr fontId="42" type="noConversion"/>
  </si>
  <si>
    <t>DCDC_FailStswarning_RM</t>
    <phoneticPr fontId="42" type="noConversion"/>
  </si>
  <si>
    <t>DCDC state warning for  remote monitor</t>
    <phoneticPr fontId="42" type="noConversion"/>
  </si>
  <si>
    <t>RollingCounter_MCU8</t>
    <phoneticPr fontId="8" type="noConversion"/>
  </si>
  <si>
    <t>RollingCounter</t>
    <phoneticPr fontId="6" type="noConversion"/>
  </si>
  <si>
    <t>/</t>
    <phoneticPr fontId="8" type="noConversion"/>
  </si>
  <si>
    <t>X</t>
    <phoneticPr fontId="0" type="noConversion"/>
  </si>
  <si>
    <t>SE-CAN:To TBK</t>
    <phoneticPr fontId="0" type="noConversion"/>
  </si>
  <si>
    <t>TM_Amount_RM</t>
    <phoneticPr fontId="42" type="noConversion"/>
  </si>
  <si>
    <t>CheckSum_MCU9</t>
    <phoneticPr fontId="8" type="noConversion"/>
  </si>
  <si>
    <t>RollingCounter_MCU9</t>
    <phoneticPr fontId="8" type="noConversion"/>
  </si>
  <si>
    <t>/</t>
    <phoneticPr fontId="8" type="noConversion"/>
  </si>
  <si>
    <t>CF-CAN:To IP</t>
    <phoneticPr fontId="0" type="noConversion"/>
  </si>
  <si>
    <t>/</t>
    <phoneticPr fontId="0" type="noConversion"/>
  </si>
  <si>
    <t>maximum negative  available torque at actual speed of duration: 5 seconds</t>
    <phoneticPr fontId="42" type="noConversion"/>
  </si>
  <si>
    <t>0x000</t>
    <phoneticPr fontId="6" type="noConversion"/>
  </si>
  <si>
    <t>maximum positive  available torque at actual speed of duration: 5 seconds</t>
    <phoneticPr fontId="42" type="noConversion"/>
  </si>
  <si>
    <t>maximum negative  available torque at actual speed of duration: 10 seconds</t>
    <phoneticPr fontId="42" type="noConversion"/>
  </si>
  <si>
    <t>maximum positive  available torque at actual speed of duration: 10 seconds</t>
    <phoneticPr fontId="42" type="noConversion"/>
  </si>
  <si>
    <t>TM_NegAvailTrqMax_10s</t>
    <phoneticPr fontId="42" type="noConversion"/>
  </si>
  <si>
    <t>TM_PosAvailTrqMax_10s</t>
    <phoneticPr fontId="8" type="noConversion"/>
  </si>
  <si>
    <t>SOE of battery pack</t>
    <phoneticPr fontId="0" type="noConversion"/>
  </si>
  <si>
    <t>BMS_SOE</t>
    <phoneticPr fontId="8" type="noConversion"/>
  </si>
  <si>
    <t>BMS</t>
    <phoneticPr fontId="0" type="noConversion"/>
  </si>
  <si>
    <t>/</t>
    <phoneticPr fontId="0" type="noConversion"/>
  </si>
  <si>
    <t>Discharge Permit bit</t>
    <phoneticPr fontId="0" type="noConversion"/>
  </si>
  <si>
    <t>BMS1</t>
    <phoneticPr fontId="0" type="noConversion"/>
  </si>
  <si>
    <t>0x0F1</t>
    <phoneticPr fontId="8" type="noConversion"/>
  </si>
  <si>
    <t>P</t>
    <phoneticPr fontId="0" type="noConversion"/>
  </si>
  <si>
    <t>/</t>
    <phoneticPr fontId="6" type="noConversion"/>
  </si>
  <si>
    <r>
      <rPr>
        <sz val="10"/>
        <color theme="1"/>
        <rFont val="宋体"/>
        <family val="3"/>
        <charset val="134"/>
      </rPr>
      <t>≤</t>
    </r>
    <r>
      <rPr>
        <sz val="10"/>
        <color theme="1"/>
        <rFont val="Arial"/>
        <family val="2"/>
      </rPr>
      <t xml:space="preserve">100 </t>
    </r>
    <phoneticPr fontId="8" type="noConversion"/>
  </si>
  <si>
    <t>Motorola</t>
    <phoneticPr fontId="0" type="noConversion"/>
  </si>
  <si>
    <t>Unsigned</t>
    <phoneticPr fontId="0" type="noConversion"/>
  </si>
  <si>
    <t>0x0</t>
    <phoneticPr fontId="0" type="noConversion"/>
  </si>
  <si>
    <t>Feedback Charge Permit bit</t>
    <phoneticPr fontId="0" type="noConversion"/>
  </si>
  <si>
    <t>BMS_DchrgPermit</t>
    <phoneticPr fontId="8" type="noConversion"/>
  </si>
  <si>
    <t>BMS_FBChrgPermit</t>
    <phoneticPr fontId="8" type="noConversion"/>
  </si>
  <si>
    <t>V1.1</t>
    <phoneticPr fontId="8" type="noConversion"/>
  </si>
  <si>
    <t>/</t>
    <phoneticPr fontId="0" type="noConversion"/>
  </si>
  <si>
    <t>ESP</t>
    <phoneticPr fontId="0" type="noConversion"/>
  </si>
  <si>
    <t xml:space="preserve">HBBStatus </t>
    <phoneticPr fontId="0" type="noConversion"/>
  </si>
  <si>
    <t xml:space="preserve">This signal indicates if HBB is active or not 
</t>
    <phoneticPr fontId="0" type="noConversion"/>
  </si>
  <si>
    <t xml:space="preserve">This signal indicates the status of HBB 
</t>
    <phoneticPr fontId="0" type="noConversion"/>
  </si>
  <si>
    <t>ESP2</t>
  </si>
  <si>
    <r>
      <t>≤</t>
    </r>
    <r>
      <rPr>
        <sz val="10"/>
        <rFont val="Arial"/>
        <family val="2"/>
      </rPr>
      <t>20</t>
    </r>
  </si>
  <si>
    <t>0x0:Not active
0x1:Active</t>
    <phoneticPr fontId="0" type="noConversion"/>
  </si>
  <si>
    <t xml:space="preserve">0x0:HBB Normal
0x1:HBB_FailedBoost
0x2:HBB_FailedBoostBackup
0x3:HBB Disabled 
</t>
    <phoneticPr fontId="0" type="noConversion"/>
  </si>
  <si>
    <t>0X000</t>
    <phoneticPr fontId="0" type="noConversion"/>
  </si>
  <si>
    <t xml:space="preserve">Target increased engine torque (drag torque control) </t>
    <phoneticPr fontId="8" type="noConversion"/>
  </si>
  <si>
    <t>0x0-0xFFF:Valid</t>
    <phoneticPr fontId="0" type="noConversion"/>
  </si>
  <si>
    <t xml:space="preserve">Target reduced engine torque  </t>
    <phoneticPr fontId="8" type="noConversion"/>
  </si>
  <si>
    <t>0XFFF</t>
    <phoneticPr fontId="0" type="noConversion"/>
  </si>
  <si>
    <t>Nm</t>
    <phoneticPr fontId="8" type="noConversion"/>
  </si>
  <si>
    <t xml:space="preserve">HBBIntervention 
</t>
    <phoneticPr fontId="0" type="noConversion"/>
  </si>
  <si>
    <t>EngTrqRedReq</t>
    <phoneticPr fontId="0" type="noConversion"/>
  </si>
  <si>
    <t>OBC,MCU,BMS,VCU,ESP</t>
    <phoneticPr fontId="8" type="noConversion"/>
  </si>
  <si>
    <t>Pangliang</t>
    <phoneticPr fontId="8" type="noConversion"/>
  </si>
  <si>
    <t>X</t>
    <phoneticPr fontId="0" type="noConversion"/>
  </si>
  <si>
    <t>CheckSum_BMS2</t>
    <phoneticPr fontId="8" type="noConversion"/>
  </si>
  <si>
    <t>RollingCounter_BMS2</t>
    <phoneticPr fontId="8" type="noConversion"/>
  </si>
  <si>
    <r>
      <rPr>
        <b/>
        <sz val="8"/>
        <rFont val="Arial"/>
        <family val="2"/>
      </rPr>
      <t>OBC</t>
    </r>
    <r>
      <rPr>
        <b/>
        <sz val="8"/>
        <rFont val="宋体"/>
        <family val="3"/>
        <charset val="134"/>
      </rPr>
      <t>：</t>
    </r>
    <r>
      <rPr>
        <sz val="8"/>
        <rFont val="宋体"/>
        <family val="3"/>
        <charset val="134"/>
      </rPr>
      <t xml:space="preserve">
</t>
    </r>
    <r>
      <rPr>
        <sz val="8"/>
        <rFont val="Arial"/>
        <family val="2"/>
      </rPr>
      <t xml:space="preserve">1.Change the coding of the signal "OBC_CCLineConnectSts" in message OBC3(0x31F).
</t>
    </r>
    <r>
      <rPr>
        <b/>
        <sz val="8"/>
        <rFont val="Arial"/>
        <family val="2"/>
      </rPr>
      <t>MCU</t>
    </r>
    <r>
      <rPr>
        <b/>
        <sz val="8"/>
        <rFont val="宋体"/>
        <family val="3"/>
        <charset val="134"/>
      </rPr>
      <t xml:space="preserve">：
</t>
    </r>
    <r>
      <rPr>
        <sz val="8"/>
        <rFont val="Arial"/>
        <family val="2"/>
      </rPr>
      <t xml:space="preserve">1.Add message MCU8(0x2E3) and MCU9(0x2E5). </t>
    </r>
    <r>
      <rPr>
        <sz val="8"/>
        <rFont val="宋体"/>
        <family val="3"/>
        <charset val="134"/>
      </rPr>
      <t xml:space="preserve">
</t>
    </r>
    <r>
      <rPr>
        <sz val="8"/>
        <rFont val="Arial"/>
        <family val="2"/>
      </rPr>
      <t xml:space="preserve">2.Change  the signal name from "MCU_FanReq" to "MCU_FanOpenReq" in message MCU3(0x0FB).
3.Reveive the signals "VCU_CrashOutputSts" </t>
    </r>
    <r>
      <rPr>
        <sz val="8"/>
        <rFont val="宋体"/>
        <family val="3"/>
        <charset val="134"/>
      </rPr>
      <t>、</t>
    </r>
    <r>
      <rPr>
        <sz val="8"/>
        <rFont val="Arial"/>
        <family val="2"/>
      </rPr>
      <t>"VCU_BMSEmgyToShutDown"</t>
    </r>
    <r>
      <rPr>
        <sz val="8"/>
        <rFont val="宋体"/>
        <family val="3"/>
        <charset val="134"/>
      </rPr>
      <t>、</t>
    </r>
    <r>
      <rPr>
        <sz val="8"/>
        <rFont val="Arial"/>
        <family val="2"/>
      </rPr>
      <t>"VCU_ChrgEnable"</t>
    </r>
    <r>
      <rPr>
        <sz val="8"/>
        <rFont val="宋体"/>
        <family val="3"/>
        <charset val="134"/>
      </rPr>
      <t>、</t>
    </r>
    <r>
      <rPr>
        <sz val="8"/>
        <rFont val="Arial"/>
        <family val="2"/>
      </rPr>
      <t>"VCU_BMSIsolationDetdReq" and "VCU_HvPowerCtrl"in message VCU1(0x0CF).
4.Receive the signals "VCU_RdyLEDSts"</t>
    </r>
    <r>
      <rPr>
        <sz val="8"/>
        <rFont val="宋体"/>
        <family val="3"/>
        <charset val="134"/>
      </rPr>
      <t>、</t>
    </r>
    <r>
      <rPr>
        <sz val="8"/>
        <rFont val="Arial"/>
        <family val="2"/>
      </rPr>
      <t>"VCU_VehLockSts"</t>
    </r>
    <r>
      <rPr>
        <sz val="8"/>
        <rFont val="宋体"/>
        <family val="3"/>
        <charset val="134"/>
      </rPr>
      <t>、</t>
    </r>
    <r>
      <rPr>
        <sz val="8"/>
        <rFont val="Arial"/>
        <family val="2"/>
      </rPr>
      <t>"VCU_PowerLow"</t>
    </r>
    <r>
      <rPr>
        <sz val="8"/>
        <rFont val="宋体"/>
        <family val="3"/>
        <charset val="134"/>
      </rPr>
      <t>、</t>
    </r>
    <r>
      <rPr>
        <sz val="8"/>
        <rFont val="Arial"/>
        <family val="2"/>
      </rPr>
      <t>"VCU_EnergyRecoverySts"</t>
    </r>
    <r>
      <rPr>
        <sz val="8"/>
        <rFont val="宋体"/>
        <family val="3"/>
        <charset val="134"/>
      </rPr>
      <t>、</t>
    </r>
    <r>
      <rPr>
        <sz val="8"/>
        <rFont val="Arial"/>
        <family val="2"/>
      </rPr>
      <t>"VCU_EPSEnable"</t>
    </r>
    <r>
      <rPr>
        <sz val="8"/>
        <rFont val="宋体"/>
        <family val="3"/>
        <charset val="134"/>
      </rPr>
      <t>、</t>
    </r>
    <r>
      <rPr>
        <sz val="8"/>
        <rFont val="Arial"/>
        <family val="2"/>
      </rPr>
      <t>"VCU_RemainDistance"</t>
    </r>
    <r>
      <rPr>
        <sz val="8"/>
        <rFont val="宋体"/>
        <family val="3"/>
        <charset val="134"/>
      </rPr>
      <t>、</t>
    </r>
    <r>
      <rPr>
        <sz val="8"/>
        <rFont val="Arial"/>
        <family val="2"/>
      </rPr>
      <t>"VCU_ParkReq”</t>
    </r>
    <r>
      <rPr>
        <sz val="8"/>
        <rFont val="宋体"/>
        <family val="3"/>
        <charset val="134"/>
      </rPr>
      <t>、</t>
    </r>
    <r>
      <rPr>
        <sz val="8"/>
        <rFont val="Arial"/>
        <family val="2"/>
      </rPr>
      <t>"VCU_SysFault"</t>
    </r>
    <r>
      <rPr>
        <sz val="8"/>
        <rFont val="宋体"/>
        <family val="3"/>
        <charset val="134"/>
      </rPr>
      <t>、</t>
    </r>
    <r>
      <rPr>
        <sz val="8"/>
        <rFont val="Arial"/>
        <family val="2"/>
      </rPr>
      <t>"VCU_LowVoltShutdown"</t>
    </r>
    <r>
      <rPr>
        <sz val="8"/>
        <rFont val="宋体"/>
        <family val="3"/>
        <charset val="134"/>
      </rPr>
      <t>、</t>
    </r>
    <r>
      <rPr>
        <sz val="8"/>
        <rFont val="Arial"/>
        <family val="2"/>
      </rPr>
      <t xml:space="preserve">"VCU_BMSheatalw" and "VCU_HvpackRlysts" in message VCU3(0x294).
5.Reveive the signal "BMS_SOC" </t>
    </r>
    <r>
      <rPr>
        <sz val="8"/>
        <rFont val="宋体"/>
        <family val="3"/>
        <charset val="134"/>
      </rPr>
      <t>、</t>
    </r>
    <r>
      <rPr>
        <sz val="8"/>
        <rFont val="Arial"/>
        <family val="2"/>
      </rPr>
      <t>"BMS_DCChrgPosRlySts"</t>
    </r>
    <r>
      <rPr>
        <sz val="8"/>
        <rFont val="宋体"/>
        <family val="3"/>
        <charset val="134"/>
      </rPr>
      <t>、</t>
    </r>
    <r>
      <rPr>
        <sz val="8"/>
        <rFont val="Arial"/>
        <family val="2"/>
      </rPr>
      <t xml:space="preserve">"BMS_Sts" and "BMS_DCChrgNegRlySts" </t>
    </r>
    <r>
      <rPr>
        <sz val="8"/>
        <rFont val="宋体"/>
        <family val="3"/>
        <charset val="134"/>
      </rPr>
      <t>、</t>
    </r>
    <r>
      <rPr>
        <sz val="8"/>
        <rFont val="Arial"/>
        <family val="2"/>
      </rPr>
      <t>"BMS_PosRlySts"  "BMS_NegRlySts"  "BMS_PreRlySts" "BMS_HeatRlySts" "BMS_OpenPosRlyReq" "BMS_CrashOutputSts" in message BMS1(0x0F1).
6.Reveive the signal "VDCActive" and "VDCFailSts"in message ESP1(0x149).
7.Add a signal "Rollingcounter_MCU8" in message MCU8(0x2E3).
8.Add a signal "Checksum_MCU9" in message MCU9(0x2E5).
9.Add a signal "TM_NegAvailTrqMax_5s" in message MCU2(0x0FA).
10.Add a signal "TM_PosAvailTrqMax_5s" in message MCU4(0x0D2).
11.Add signals "TM_NegAvailTrqMax_10s" and "TM_PosAvailTrqMax_10s" in message MCU7(0x0D0).
12.Receive the signal "BMS_ContnsDchrgCurrMax"</t>
    </r>
    <r>
      <rPr>
        <sz val="8"/>
        <rFont val="宋体"/>
        <family val="3"/>
        <charset val="134"/>
      </rPr>
      <t>、</t>
    </r>
    <r>
      <rPr>
        <sz val="8"/>
        <rFont val="Arial"/>
        <family val="2"/>
      </rPr>
      <t xml:space="preserve">"BMS_ContnsFBCurrMax" "BMS_PlsDchrgCurrMax" "BMS_PlsFBCurrMax" "CheckSum_BMS2" and "RollingCounter_BMS2"in message BMS2(0x0F2).
</t>
    </r>
    <r>
      <rPr>
        <b/>
        <sz val="8"/>
        <rFont val="Arial"/>
        <family val="2"/>
      </rPr>
      <t/>
    </r>
    <phoneticPr fontId="8" type="noConversion"/>
  </si>
  <si>
    <t>Driver Temperature Icon Display Command</t>
  </si>
  <si>
    <t>0x21</t>
  </si>
  <si>
    <t>ACDrvSetTemp</t>
    <phoneticPr fontId="0" type="noConversion"/>
  </si>
  <si>
    <t>OBC_ChrgrOutputCurr</t>
    <phoneticPr fontId="0" type="noConversion"/>
  </si>
  <si>
    <t>OBC_ChrgrOutputVolt</t>
    <phoneticPr fontId="0" type="noConversion"/>
  </si>
  <si>
    <r>
      <t>ESP</t>
    </r>
    <r>
      <rPr>
        <sz val="8"/>
        <rFont val="宋体"/>
        <family val="3"/>
        <charset val="134"/>
      </rPr>
      <t xml:space="preserve">：
</t>
    </r>
    <r>
      <rPr>
        <sz val="8"/>
        <rFont val="Arial"/>
        <family val="2"/>
      </rPr>
      <t>1.Add  a Private_Message,and SAS received.
2.Add signals "HBBIntervention " and "HBBStatus" in message ESP2(0x145).
3.Change the "msb"</t>
    </r>
    <r>
      <rPr>
        <sz val="8"/>
        <rFont val="宋体"/>
        <family val="3"/>
        <charset val="134"/>
      </rPr>
      <t>、</t>
    </r>
    <r>
      <rPr>
        <sz val="8"/>
        <rFont val="Arial"/>
        <family val="2"/>
      </rPr>
      <t>"lsb" of the signal "EngTrqRedReq" in message ESP4(0x169).
4.Delete the signal "EngTrqRedFastReq" and "EngTrqRedSlowReq" in message ESP4(0x169).
5.Add a signal "EngTrqRedReq"  in message ESP4(0x169).
GW:
1.Don't receive the signal  "TM_Derating_MotorOverTemp" in message MCU1(0x284).
2.Don't receive  the signal "DCDC_Derating_InvOverTemp" and "DCDC_OperMod"in message MCU2(0x0FA).
3.Don't receive the signal  "TM_OperMod" "TM_FailCode" and "TM_ActTrq" in message MCU3(0x0FB).
4.Don't receive the signal "TM_ActHvCurr" "TM_ActHvVolt" in message MCU4(0x0D2).
5.Don't receive the signal "TM_ActTemp" and "TM_InvActTemp" in message MCU5(0x280).
6.Don't receive the signal "TM_ActRotSpd" in message MCU3(0x0FB).
7.Add a signal "ACDrvSetTemp" in message AC2(0x385).
8.Delete the signal "TBKReqACLvl" in message TBK1(0x0A5).
.VCU
1.Receive the signal "TM_NegAvailTrqMax_5s" in message MCU2(0x0FA).
2.Change the "Msb" and "Lsb" of the signal "TM_ActHvVolt" in message MCU4(0x0D2).
3.Receive the  signal "TM_PosAvailTrqMax_5s" in message MCU4(0x0D2).
4.Receive  signals "TM_NegAvailTrqMax_10s" and "TM_PosAvailTrqMax_10s" in message MCU7(0x0D0).
5.Receive the signals "EngTrqRedReq"  in message ESP4(0x169).
6.Receive the signal "OBC_ChrgrOutputCurr" and "OBC_ChrgrOutputVolt" in message OBC1(0x316).
BMS:
1.Add a signal "BMS_SOE" in message BMS5(0x29A).
2.Move the signals"BMS_HWVersion" and "BMS_SWVersion" from BMS10(0x29E) to BMS31(0x3C6).
3.Add signals “BMS_DchrgPermit” and "BMS_FBChrgPermit" in message BMS1(0x0F1).</t>
    </r>
    <phoneticPr fontId="8" type="noConversion"/>
  </si>
  <si>
    <r>
      <t>SE-CAN</t>
    </r>
    <r>
      <rPr>
        <sz val="10"/>
        <rFont val="宋体"/>
        <family val="3"/>
        <charset val="134"/>
      </rPr>
      <t>：</t>
    </r>
    <r>
      <rPr>
        <sz val="10"/>
        <rFont val="Arial"/>
        <family val="2"/>
      </rPr>
      <t>To TBK
CF-CAN:To HUT</t>
    </r>
    <r>
      <rPr>
        <sz val="10"/>
        <rFont val="宋体"/>
        <family val="3"/>
        <charset val="134"/>
      </rPr>
      <t>，</t>
    </r>
    <r>
      <rPr>
        <sz val="10"/>
        <rFont val="Arial"/>
        <family val="2"/>
      </rPr>
      <t>IP</t>
    </r>
    <phoneticPr fontId="0" type="noConversion"/>
  </si>
  <si>
    <r>
      <t xml:space="preserve">
SBWM only receive" coding=0x1:P
CF-CAN:HUT</t>
    </r>
    <r>
      <rPr>
        <sz val="10"/>
        <rFont val="宋体"/>
        <family val="3"/>
        <charset val="134"/>
      </rPr>
      <t>，</t>
    </r>
    <r>
      <rPr>
        <sz val="10"/>
        <rFont val="Arial"/>
        <family val="2"/>
      </rPr>
      <t>RVC
SE-CAN:To TBK</t>
    </r>
    <phoneticPr fontId="0" type="noConversion"/>
  </si>
  <si>
    <t>0x0</t>
    <phoneticPr fontId="0" type="noConversion"/>
  </si>
  <si>
    <t>/</t>
    <phoneticPr fontId="0" type="noConversion"/>
  </si>
  <si>
    <t>VCU_MCUModReq</t>
    <phoneticPr fontId="8" type="noConversion"/>
  </si>
  <si>
    <t>0x0FB</t>
    <phoneticPr fontId="8" type="noConversion"/>
  </si>
  <si>
    <t>E_ShiftFault</t>
    <phoneticPr fontId="8" type="noConversion"/>
  </si>
  <si>
    <t>0x00-0xFF:Valid</t>
  </si>
  <si>
    <t>0x0000-0x6D60:Valid
0xFFFF:Invalid</t>
  </si>
  <si>
    <t>0x0-0xF:Valid</t>
  </si>
  <si>
    <t>0x00-0xFE:Valid
0xFF:SNA</t>
  </si>
  <si>
    <t>0x00-0x30:Valid
0x31-0xFE:Reserved
0xFF:Invalid</t>
  </si>
  <si>
    <t>0x0:Inactive
0x1:Buck
0x2-0x3:Reserved</t>
  </si>
  <si>
    <t>0x0000-0xFFFF:Valid values</t>
  </si>
  <si>
    <t>0x000-0x7D0:Valid values
0x7D1-0x7FF:reserved</t>
  </si>
  <si>
    <t>0x000-0x3DE:Valid values
0x3DF-0x3FF:Reserved</t>
  </si>
  <si>
    <t xml:space="preserve">
0x00-0xFE:Valid value
0xFF:Invalid value</t>
  </si>
  <si>
    <t>0x00-0x710:Valid
0x711-0x7FF:Invalid</t>
  </si>
  <si>
    <t>0x000-0xBB8:Valid
0xBB9-0xFFF:Invalid</t>
  </si>
  <si>
    <t>0x000-0x3E8:Valid
0x3E9-0x3FF:Reserved</t>
  </si>
  <si>
    <t>0x0:Discharge permit
0x1:Discharge forbid
0x2-0x3:Reserved</t>
  </si>
  <si>
    <t>0x0:Charge permit
0x1:Charge forbid
0x2-0x3:Reserved</t>
  </si>
  <si>
    <t>0x0000-0x1388:Valid
0x1389-0x1FFF:Reserved</t>
  </si>
  <si>
    <t>0x0000-0x1F40:Valid
0x1F41-0xFFFF:Reserved</t>
  </si>
  <si>
    <t>0x0000-0x1388:Valid
0x1389-0xFFFF:Reserved</t>
  </si>
  <si>
    <t>0x0:Normal
0x1:Rank1
0x2:Rank2
0x3:Rank3
0x4:Rank4
0x5-0x7:Reserved</t>
  </si>
  <si>
    <t>0x0000-0x03E8:Valid values
0x03E9-0xFFFF:Reserved</t>
  </si>
  <si>
    <t>0x000-0x3E8:Valid
0x3E9-0x3FE:Reserved
0x3FF:Invalid</t>
  </si>
  <si>
    <t>0x0000-0xC350:Valid value
0xC351-0xFFFE:Reserved
0xFFFF:Invalid</t>
  </si>
  <si>
    <t>0x0000-0x3E80:Valid
0x3E81-0x3FFF:Reserved</t>
  </si>
  <si>
    <t>0x00-0xA5:Valid
0xA6-0xFF:Reserved</t>
  </si>
  <si>
    <t>0x00-0xA5:Valid value
0xA6-0xFF:Reserved</t>
  </si>
  <si>
    <t>0x00-0xA6:Valid value
0xA7-0xFF:Reserved</t>
  </si>
  <si>
    <t>0x000000-0xF423F:Valid value
0xF4240-0xFFFFF:Reserved</t>
  </si>
  <si>
    <t>0x00-0x270F:Valid value
0x2710-0x3FFF:Reserved</t>
  </si>
  <si>
    <t>0x0000-0x2710:Valid
0x2711-3FFF:Reserved</t>
  </si>
  <si>
    <t>0x0:Reserved
0x1:Init
0x2:Standby
0x3:Reserved
0x4:Charging Normal
0x5-0x7:Reserved
0x8:Fault
0x9:Reduced Power
0xA:Reserved
0xB:Sleep (Shutdown)
0xC:OFF
0xD-0xE:Reserved
0xF:Reserved</t>
  </si>
  <si>
    <t xml:space="preserve">0x000-0xFFF:Valid Values
</t>
  </si>
  <si>
    <t>0x000-0xFFF:valid</t>
  </si>
  <si>
    <t>0x00-0x30:Valid
0xFF:Invalid</t>
  </si>
  <si>
    <t>0x00-0xFE:Valid
0xFF:Invalid</t>
  </si>
  <si>
    <t>0x00-0x50:Valid
0x51-0xFF:Reserved</t>
  </si>
  <si>
    <t>0x000-0x550:Valid
0x551-0x7FF:Reserved</t>
  </si>
  <si>
    <t>0x000-0x12C:Valid
0x12D-0x1FE:Reserved
0x1FF:Invalid</t>
  </si>
  <si>
    <t>0x000-0x4B0:Valid
0x4B1-0x7FE:Reserved
0x7FF:Invalid</t>
  </si>
  <si>
    <t>0x000-0x7D0:Valid
0xFFF:Invalid</t>
  </si>
  <si>
    <t>0x000-0x3E8:Valid
0x3FF:Invalid</t>
  </si>
  <si>
    <t>0x000-0x12C:Valid
0x1FF:Invalid</t>
  </si>
  <si>
    <t>0x000-0x258:Valid
0x259-0x3FE:Reserved
0x3FF:Invalid</t>
  </si>
  <si>
    <t>0x000-0x36B0:Valid
0x36B1-0x3FFE:Reserved
0x3FFF:Invalid</t>
  </si>
  <si>
    <t>0x0-0xFF:Valid</t>
  </si>
  <si>
    <t>0x00-0xFE:Valid
0xFF:Reserved</t>
  </si>
  <si>
    <t>0x0000-1E77:Valid values
0x1E78-0x7FFE:Reserved
0x7FFF:Invalid
0x8000-0xE187:Reserved
0xE188-0xFFFF:Valid values</t>
  </si>
  <si>
    <t>0x00-0xFE:Valid values
0xFF:Invalid</t>
  </si>
  <si>
    <t>0x00-0x1F:Valid values</t>
  </si>
  <si>
    <t>0X0000-0X14D5:Valid
0X14D6-0X1FFF:Reserved</t>
  </si>
  <si>
    <t>0x0000-0x1900:Valid values
0x1901-0x1FFF:Reserved</t>
  </si>
  <si>
    <t>0x000-0x3E7:Valid values
0x3E8-0x3FF:Reserved</t>
  </si>
  <si>
    <t>0X0:No display
0X1:Gradient too high
0X2:Park brake force not enough
0X3:Park brake system overheated
0X4:Remind driver to apply safety belt
0X5:Park brake maintenance mode
0X6:Roller bench mode
0X7-0XF:Reserved</t>
  </si>
  <si>
    <t>0x0000-0xAC22:Valid Value
0xAC23-0xFFFF:Reserved</t>
  </si>
  <si>
    <t>0x0000-0x4421:Valid Value
0x4422-0xFFFF:Reserved</t>
  </si>
  <si>
    <t>0x00-0xFF:Valid values</t>
  </si>
  <si>
    <t>0x0 : Shifter position zero (Z) / POS_ZERO
0x1 : Shifter position one  / POS_ONE--(R)
0x2 : Shifter position two  / POS_TWO--(N)
0x3 : Shifter position three / POS_THREE--(D)
0x4 : Reserved
0x5 : Reserved
0x6 : Reserved
0x7 : Reserved
0x8 : Shifter not initialized / INIT
0x9-0xE:Reserved
0xF : Signal not available / SNA (Double fault shifter sensor)</t>
  </si>
  <si>
    <t>0x0 : Signal not available / SNA (Double fault shifter sensor)
0x1 -0x6 : Reserved
0x7 : Shifter not initialized / INIT
0x8 : Reserved
0x9 : Reserved
0xA : Reserved
0xB : Reserved
0xC : Shifter position three  / POS_THREE--(D)
0xD : Shifter position two  / POS_TWO--(N)
0xE : Shifter position one  / POS_ONE--(R)
0xF : Shifter position zero (Z) / POS_ZERO</t>
  </si>
  <si>
    <t>0x0-0xF:Valid values</t>
  </si>
  <si>
    <t>0x0:Reserved
0x1:1 gear
0x2:2 gear
0x3:3 gear
0x4:4 gear
0x5:5 gear
0x6:6 gear
0x7:7 gear
0x8:8 gear
0x9:9 gear
0xA:10 gear
0xB-0xF:Reserved</t>
  </si>
  <si>
    <t>0x00 - 0xFD: Valid value
0xFE: Init
0xFF: Failure</t>
  </si>
  <si>
    <t>0x00-0xFE:Valid
0xFF:Not available</t>
  </si>
  <si>
    <t>NoBrakeForce</t>
    <phoneticPr fontId="0" type="noConversion"/>
  </si>
  <si>
    <t>No brake pressure applied; generally it regards wheel cylinder presure.</t>
    <phoneticPr fontId="8" type="noConversion"/>
  </si>
  <si>
    <t>0x000-0x190:Valid values
0x191-0x3FE:Reserved
0x3FF:nvaid</t>
    <phoneticPr fontId="0" type="noConversion"/>
  </si>
  <si>
    <t>0x0:Normal
0x1:Error</t>
  </si>
  <si>
    <t>0x0:Normal
0x1:Overtemperature</t>
  </si>
  <si>
    <t>0x0:discharging
0x1:charging
0x2:shutdown
0x3:ready
0x4-0x7:Reserved</t>
  </si>
  <si>
    <t>0x0-0xFF:Vaild</t>
  </si>
  <si>
    <t>0x0:Lamp off
0x1:Lamp on
0x2:Reserved
0x3:Lamp  blink</t>
  </si>
  <si>
    <t>0:Lamp off
1:Lamp on
2:Lamp flash
3:Reserved</t>
    <phoneticPr fontId="8" type="noConversion"/>
  </si>
  <si>
    <t>E_Park</t>
    <phoneticPr fontId="8" type="noConversion"/>
  </si>
  <si>
    <t>X</t>
    <phoneticPr fontId="0" type="noConversion"/>
  </si>
  <si>
    <t>V1.2</t>
    <phoneticPr fontId="8" type="noConversion"/>
  </si>
  <si>
    <t>TM_NegAvailTrqMax_5s</t>
    <phoneticPr fontId="42" type="noConversion"/>
  </si>
  <si>
    <t>TM_PosAvailTrqMax_5s</t>
    <phoneticPr fontId="8" type="noConversion"/>
  </si>
  <si>
    <t>BMS</t>
    <phoneticPr fontId="8" type="noConversion"/>
  </si>
  <si>
    <t>/</t>
    <phoneticPr fontId="0" type="noConversion"/>
  </si>
  <si>
    <t>BMS_SignleCellVolt1</t>
    <phoneticPr fontId="8" type="noConversion"/>
  </si>
  <si>
    <t>signle cell vlotage of power battery1</t>
    <phoneticPr fontId="8" type="noConversion"/>
  </si>
  <si>
    <t>BMS18</t>
    <phoneticPr fontId="0" type="noConversion"/>
  </si>
  <si>
    <t>0x3D2</t>
    <phoneticPr fontId="0" type="noConversion"/>
  </si>
  <si>
    <t>P</t>
    <phoneticPr fontId="0" type="noConversion"/>
  </si>
  <si>
    <t>/</t>
    <phoneticPr fontId="16" type="noConversion"/>
  </si>
  <si>
    <t>Motorola</t>
    <phoneticPr fontId="8" type="noConversion"/>
  </si>
  <si>
    <t>Unsigned</t>
    <phoneticPr fontId="8" type="noConversion"/>
  </si>
  <si>
    <t>0x0</t>
    <phoneticPr fontId="0" type="noConversion"/>
  </si>
  <si>
    <t>5</t>
    <phoneticPr fontId="16" type="noConversion"/>
  </si>
  <si>
    <t>V</t>
    <phoneticPr fontId="8" type="noConversion"/>
  </si>
  <si>
    <t>0x00-0x1388:Valid value
0x1389-0x1FF:Reserved</t>
    <phoneticPr fontId="0" type="noConversion"/>
  </si>
  <si>
    <t xml:space="preserve"> </t>
    <phoneticPr fontId="0" type="noConversion"/>
  </si>
  <si>
    <t>signle cell vlotage of power battery2</t>
    <phoneticPr fontId="8" type="noConversion"/>
  </si>
  <si>
    <t>signle cell vlotage of power battery3</t>
    <phoneticPr fontId="8" type="noConversion"/>
  </si>
  <si>
    <t>/</t>
    <phoneticPr fontId="0" type="noConversion"/>
  </si>
  <si>
    <t>BMS18</t>
    <phoneticPr fontId="0" type="noConversion"/>
  </si>
  <si>
    <t>0x3D2</t>
    <phoneticPr fontId="0" type="noConversion"/>
  </si>
  <si>
    <t>P</t>
    <phoneticPr fontId="0" type="noConversion"/>
  </si>
  <si>
    <t>/</t>
    <phoneticPr fontId="16" type="noConversion"/>
  </si>
  <si>
    <t>Motorola</t>
    <phoneticPr fontId="8" type="noConversion"/>
  </si>
  <si>
    <t>Unsigned</t>
    <phoneticPr fontId="8" type="noConversion"/>
  </si>
  <si>
    <t>0x0</t>
    <phoneticPr fontId="0" type="noConversion"/>
  </si>
  <si>
    <t>V</t>
    <phoneticPr fontId="8" type="noConversion"/>
  </si>
  <si>
    <t>0x00-0x1388:Valid value
0x1389-0x1FF:Reserved</t>
    <phoneticPr fontId="0" type="noConversion"/>
  </si>
  <si>
    <t xml:space="preserve"> </t>
    <phoneticPr fontId="0" type="noConversion"/>
  </si>
  <si>
    <t>BMS</t>
    <phoneticPr fontId="8" type="noConversion"/>
  </si>
  <si>
    <t>signle cell vlotage of power battery4</t>
    <phoneticPr fontId="8" type="noConversion"/>
  </si>
  <si>
    <t>BMS19</t>
    <phoneticPr fontId="0" type="noConversion"/>
  </si>
  <si>
    <t>0x3D3</t>
    <phoneticPr fontId="0" type="noConversion"/>
  </si>
  <si>
    <t>BMS_SignleCellVolt9</t>
    <phoneticPr fontId="16" type="noConversion"/>
  </si>
  <si>
    <t>BMS20</t>
    <phoneticPr fontId="0" type="noConversion"/>
  </si>
  <si>
    <t>BMS21</t>
    <phoneticPr fontId="0" type="noConversion"/>
  </si>
  <si>
    <t>P</t>
    <phoneticPr fontId="0" type="noConversion"/>
  </si>
  <si>
    <t>/</t>
    <phoneticPr fontId="0" type="noConversion"/>
  </si>
  <si>
    <t>/</t>
    <phoneticPr fontId="16" type="noConversion"/>
  </si>
  <si>
    <t>Motorola</t>
    <phoneticPr fontId="8" type="noConversion"/>
  </si>
  <si>
    <t>Unsigned</t>
    <phoneticPr fontId="8" type="noConversion"/>
  </si>
  <si>
    <t>V</t>
    <phoneticPr fontId="8" type="noConversion"/>
  </si>
  <si>
    <t>0x00-0x1388:Valid value
0x1389-0x1FF:Reserved</t>
    <phoneticPr fontId="0" type="noConversion"/>
  </si>
  <si>
    <t xml:space="preserve"> </t>
    <phoneticPr fontId="0" type="noConversion"/>
  </si>
  <si>
    <t>BMS</t>
    <phoneticPr fontId="8" type="noConversion"/>
  </si>
  <si>
    <t>BMS_SignleCellVolt17</t>
    <phoneticPr fontId="16" type="noConversion"/>
  </si>
  <si>
    <t>BMS22</t>
    <phoneticPr fontId="0" type="noConversion"/>
  </si>
  <si>
    <t>0x3D6</t>
    <phoneticPr fontId="0" type="noConversion"/>
  </si>
  <si>
    <t>0x3D6</t>
    <phoneticPr fontId="0" type="noConversion"/>
  </si>
  <si>
    <t>0x00-0x1388:Valid value
0x1389-0x1FF:Reserved</t>
    <phoneticPr fontId="0" type="noConversion"/>
  </si>
  <si>
    <t>BMS23</t>
    <phoneticPr fontId="0" type="noConversion"/>
  </si>
  <si>
    <t>0x3D7</t>
    <phoneticPr fontId="0" type="noConversion"/>
  </si>
  <si>
    <t>BMS24</t>
    <phoneticPr fontId="0" type="noConversion"/>
  </si>
  <si>
    <t>0x3D8</t>
    <phoneticPr fontId="0" type="noConversion"/>
  </si>
  <si>
    <t>BMS25</t>
    <phoneticPr fontId="0" type="noConversion"/>
  </si>
  <si>
    <t>0x3D9</t>
    <phoneticPr fontId="0" type="noConversion"/>
  </si>
  <si>
    <t>BMS26</t>
    <phoneticPr fontId="0" type="noConversion"/>
  </si>
  <si>
    <t>0x3DA</t>
    <phoneticPr fontId="0" type="noConversion"/>
  </si>
  <si>
    <t>BMS27</t>
    <phoneticPr fontId="0" type="noConversion"/>
  </si>
  <si>
    <t>0x3DB</t>
    <phoneticPr fontId="0" type="noConversion"/>
  </si>
  <si>
    <t>0x3DE</t>
    <phoneticPr fontId="16" type="noConversion"/>
  </si>
  <si>
    <t xml:space="preserve">0x3E2 </t>
    <phoneticPr fontId="0" type="noConversion"/>
  </si>
  <si>
    <t>BMS36</t>
    <phoneticPr fontId="16" type="noConversion"/>
  </si>
  <si>
    <t>0x3E4</t>
    <phoneticPr fontId="0" type="noConversion"/>
  </si>
  <si>
    <t>BMS37</t>
    <phoneticPr fontId="0" type="noConversion"/>
  </si>
  <si>
    <t>0x3E6</t>
    <phoneticPr fontId="0" type="noConversion"/>
  </si>
  <si>
    <t>BMS38</t>
    <phoneticPr fontId="16" type="noConversion"/>
  </si>
  <si>
    <t xml:space="preserve">0x3E7 </t>
    <phoneticPr fontId="0" type="noConversion"/>
  </si>
  <si>
    <t>BMS39</t>
    <phoneticPr fontId="16" type="noConversion"/>
  </si>
  <si>
    <t xml:space="preserve">0x3E8 </t>
    <phoneticPr fontId="0" type="noConversion"/>
  </si>
  <si>
    <t>BMS40</t>
    <phoneticPr fontId="16" type="noConversion"/>
  </si>
  <si>
    <t>BMS41</t>
    <phoneticPr fontId="16" type="noConversion"/>
  </si>
  <si>
    <t>BMS42</t>
    <phoneticPr fontId="16" type="noConversion"/>
  </si>
  <si>
    <t>0x3F1</t>
    <phoneticPr fontId="0" type="noConversion"/>
  </si>
  <si>
    <t>BMS43</t>
    <phoneticPr fontId="16" type="noConversion"/>
  </si>
  <si>
    <t>0x3F2</t>
    <phoneticPr fontId="0" type="noConversion"/>
  </si>
  <si>
    <t>BMS44</t>
    <phoneticPr fontId="16" type="noConversion"/>
  </si>
  <si>
    <t>0x3F3</t>
    <phoneticPr fontId="16" type="noConversion"/>
  </si>
  <si>
    <t>BMS45</t>
    <phoneticPr fontId="16" type="noConversion"/>
  </si>
  <si>
    <t>0x3F4</t>
    <phoneticPr fontId="16" type="noConversion"/>
  </si>
  <si>
    <t>BMS46</t>
    <phoneticPr fontId="16" type="noConversion"/>
  </si>
  <si>
    <t>0x3F5</t>
    <phoneticPr fontId="16" type="noConversion"/>
  </si>
  <si>
    <t>BMS47</t>
    <phoneticPr fontId="16" type="noConversion"/>
  </si>
  <si>
    <t>0x3F6</t>
    <phoneticPr fontId="16" type="noConversion"/>
  </si>
  <si>
    <t>CheckSum_BMS7</t>
    <phoneticPr fontId="8" type="noConversion"/>
  </si>
  <si>
    <t>BMS7</t>
    <phoneticPr fontId="0" type="noConversion"/>
  </si>
  <si>
    <t>0x0C4</t>
    <phoneticPr fontId="0" type="noConversion"/>
  </si>
  <si>
    <t>RollingCounter_BMS7</t>
    <phoneticPr fontId="0" type="noConversion"/>
  </si>
  <si>
    <t>Rollingcounter</t>
    <phoneticPr fontId="0" type="noConversion"/>
  </si>
  <si>
    <t>BMS7</t>
    <phoneticPr fontId="0" type="noConversion"/>
  </si>
  <si>
    <t>0x0C4</t>
    <phoneticPr fontId="0" type="noConversion"/>
  </si>
  <si>
    <t>/</t>
    <phoneticPr fontId="6" type="noConversion"/>
  </si>
  <si>
    <t>Motorola</t>
    <phoneticPr fontId="0" type="noConversion"/>
  </si>
  <si>
    <t>Unsigned</t>
    <phoneticPr fontId="0" type="noConversion"/>
  </si>
  <si>
    <t>200ms</t>
    <phoneticPr fontId="0" type="noConversion"/>
  </si>
  <si>
    <t>0x0</t>
    <phoneticPr fontId="0" type="noConversion"/>
  </si>
  <si>
    <t>X</t>
    <phoneticPr fontId="0" type="noConversion"/>
  </si>
  <si>
    <t>0x0:Immediate Charging 
0x1:Delay Charging
0x2:invalid 
0x3:No Action</t>
    <phoneticPr fontId="0" type="noConversion"/>
  </si>
  <si>
    <t>0x0: Init 
0x1: End Charging  
0x2: Start Charging
0x3: No Action</t>
    <phoneticPr fontId="0" type="noConversion"/>
  </si>
  <si>
    <t>0x3</t>
    <phoneticPr fontId="16" type="noConversion"/>
  </si>
  <si>
    <t xml:space="preserve">
CF-CAN:To IP
SE-CAN:To TBK</t>
    <phoneticPr fontId="0" type="noConversion"/>
  </si>
  <si>
    <t>X</t>
    <phoneticPr fontId="0" type="noConversion"/>
  </si>
  <si>
    <t>Phone_ChrgnReq</t>
    <phoneticPr fontId="8" type="noConversion"/>
  </si>
  <si>
    <t>Yuan Yunpeng</t>
    <phoneticPr fontId="8" type="noConversion"/>
  </si>
  <si>
    <t>BMS,VCU,GW,TBK</t>
    <phoneticPr fontId="8" type="noConversion"/>
  </si>
  <si>
    <t xml:space="preserve">Pangliang </t>
    <phoneticPr fontId="8" type="noConversion"/>
  </si>
  <si>
    <t>X</t>
    <phoneticPr fontId="0" type="noConversion"/>
  </si>
  <si>
    <t>BGSQ-CH141E-BCM-001
BGSQ-CH141E-MCU-001
BGSQ-CH141E-MCU-002
BGSQ-CH141E-TBK-001
BGSQ-CH141E-AC-001</t>
    <phoneticPr fontId="8" type="noConversion"/>
  </si>
  <si>
    <t>CF-CAN:To AC</t>
    <phoneticPr fontId="0" type="noConversion"/>
  </si>
  <si>
    <t>V1.3</t>
    <phoneticPr fontId="8" type="noConversion"/>
  </si>
  <si>
    <r>
      <t>MCU:
1.Change the coding of the signal "TM_OperMod" in message MCU3(0x0FB).
2.Receive the signal "CrashOutputSts" in message ABM1(0x351).
3.Remove the signal "TM_NegAvailTrqMax_5s" from MCU2(0x0FA) to MCU1(0x284).
4.Remove the signal "TM_PosAvailTrqMax_5s" from MCU4(0x0D2)  to MCU1(0x284).
BMS:
1.Add a messag BMS7(0x0C4)</t>
    </r>
    <r>
      <rPr>
        <sz val="8"/>
        <rFont val="宋体"/>
        <family val="3"/>
        <charset val="134"/>
      </rPr>
      <t>。</t>
    </r>
    <r>
      <rPr>
        <sz val="8"/>
        <rFont val="Arial"/>
        <family val="2"/>
      </rPr>
      <t xml:space="preserve">
2..Remove the signal "BMS_BattCurr" from BMS10(0x29E) to BMS7(0x0C4).
3.Add signals "Checksum_BMS7" and "Rollincounter" in message BMS7(0x0C4).
4.Delete the message BMS10(0x29E).
5.Change the factor and length of the signal “BMS_SignleCellVolt1-102</t>
    </r>
    <r>
      <rPr>
        <sz val="8"/>
        <rFont val="宋体"/>
        <family val="3"/>
        <charset val="134"/>
      </rPr>
      <t>，</t>
    </r>
    <r>
      <rPr>
        <sz val="8"/>
        <rFont val="Arial"/>
        <family val="2"/>
      </rPr>
      <t>Andreset the related frames.
6.Receive the signals "TBK_RemSdlMod" and "Phone_ChrgnReq" in message TBK5(0x2EE).
7.Delete messaeg BMS10.
8.Add messaeg BMS7.
GW</t>
    </r>
    <r>
      <rPr>
        <sz val="8"/>
        <rFont val="宋体"/>
        <family val="3"/>
        <charset val="134"/>
      </rPr>
      <t xml:space="preserve">：
</t>
    </r>
    <r>
      <rPr>
        <sz val="8"/>
        <rFont val="Arial"/>
        <family val="2"/>
      </rPr>
      <t>1.Delete the signal "Tbox_BattSOCLim" in message TBK5(0x2EE).
2.Change the signal name from "TBox_RemSdlMod" to "TBK_RemSdlMod" in message TBK5(0X2EE).
3.Change the coding of the signal "TBK_RemSdlMod" in message TBK5(0x2EE).
4.Change the coding of the signal "Phone_ChrgnMode“ in messge TBK5(0x2EE).
5.Change the coding of the signal "Phone_ChrgnReq“ in messge TBK5(0x2EE).
6.Change the Alternative value of signal "Phone_ChrgnReq" to 0x03.
7.Receive the signal "VCU_ACShutdownReq" in message VCU2(0x194).
8.Receive the signal "BMS_PosRlySts" in message BMS1(0x0xF1)</t>
    </r>
    <phoneticPr fontId="8" type="noConversion"/>
  </si>
  <si>
    <t>0x0:Sleep
0x1:Initialization
0x2:Standby
0x3:AC Charging
0x4:DC Charging
0x5:Reserved
0x6:Shutdown 
0x7:Emergency to Shut Down
0x8:Ready
0x9:FaultMode
0xA-0xF:Reserved</t>
    <phoneticPr fontId="0" type="noConversion"/>
  </si>
  <si>
    <t>TBKTS_Hour</t>
    <phoneticPr fontId="0" type="noConversion"/>
  </si>
  <si>
    <t>time setting value</t>
  </si>
  <si>
    <t>TBK6</t>
    <phoneticPr fontId="0" type="noConversion"/>
  </si>
  <si>
    <t>0x1E1</t>
    <phoneticPr fontId="0" type="noConversion"/>
  </si>
  <si>
    <t>When the events occurred,, event message  will be sent for five times, message cycle time is 50ms.</t>
    <phoneticPr fontId="0" type="noConversion"/>
  </si>
  <si>
    <t>&lt; 120</t>
  </si>
  <si>
    <t>unsigned</t>
    <phoneticPr fontId="0" type="noConversion"/>
  </si>
  <si>
    <t>0x1F</t>
    <phoneticPr fontId="16" type="noConversion"/>
  </si>
  <si>
    <r>
      <rPr>
        <sz val="10"/>
        <rFont val="宋体"/>
        <family val="3"/>
        <charset val="134"/>
      </rPr>
      <t>事件触发周期为</t>
    </r>
    <r>
      <rPr>
        <sz val="10"/>
        <rFont val="Arial"/>
        <family val="2"/>
      </rPr>
      <t>1s</t>
    </r>
    <r>
      <rPr>
        <sz val="10"/>
        <rFont val="宋体"/>
        <family val="3"/>
        <charset val="134"/>
      </rPr>
      <t xml:space="preserve">，用户不能进行时间设置。
</t>
    </r>
    <r>
      <rPr>
        <sz val="10"/>
        <rFont val="Arial"/>
        <family val="2"/>
      </rPr>
      <t>CF-CAN:To HUT,IP
PT-CAN:To BMS</t>
    </r>
    <phoneticPr fontId="0" type="noConversion"/>
  </si>
  <si>
    <t>TBKTS_Minutes</t>
    <phoneticPr fontId="0" type="noConversion"/>
  </si>
  <si>
    <t>0x3F</t>
    <phoneticPr fontId="16" type="noConversion"/>
  </si>
  <si>
    <t>TBKTS_Second</t>
    <phoneticPr fontId="0" type="noConversion"/>
  </si>
  <si>
    <t>TBKTS_Year_Left</t>
    <phoneticPr fontId="0" type="noConversion"/>
  </si>
  <si>
    <t>0xF</t>
    <phoneticPr fontId="16" type="noConversion"/>
  </si>
  <si>
    <t>TBKTS_Year_Right</t>
    <phoneticPr fontId="0" type="noConversion"/>
  </si>
  <si>
    <t>TBKTS_Month</t>
    <phoneticPr fontId="0" type="noConversion"/>
  </si>
  <si>
    <t>TBKTS_Day</t>
    <phoneticPr fontId="0" type="noConversion"/>
  </si>
  <si>
    <t>0x00</t>
    <phoneticPr fontId="16" type="noConversion"/>
  </si>
  <si>
    <t>X</t>
    <phoneticPr fontId="0" type="noConversion"/>
  </si>
  <si>
    <t>Pangliang</t>
    <phoneticPr fontId="8" type="noConversion"/>
  </si>
  <si>
    <t>BMS,GW,VCU</t>
    <phoneticPr fontId="8" type="noConversion"/>
  </si>
  <si>
    <t>TM_NegAvailTrqMax</t>
    <phoneticPr fontId="8" type="noConversion"/>
  </si>
  <si>
    <t>TM_SysErr</t>
    <phoneticPr fontId="0" type="noConversion"/>
  </si>
  <si>
    <t>TM(Traction Motor) System  Error</t>
    <phoneticPr fontId="0" type="noConversion"/>
  </si>
  <si>
    <t>0x0</t>
    <phoneticPr fontId="0" type="noConversion"/>
  </si>
  <si>
    <t>0x0:No error
0x1:Error</t>
    <phoneticPr fontId="0" type="noConversion"/>
  </si>
  <si>
    <t>0x0:E_shift Normal
0x1:E_shift fault
0x2-0x3:reserved</t>
    <phoneticPr fontId="8" type="noConversion"/>
  </si>
  <si>
    <t>Yuan Yunpeng</t>
    <phoneticPr fontId="8" type="noConversion"/>
  </si>
  <si>
    <t>X</t>
    <phoneticPr fontId="0" type="noConversion"/>
  </si>
  <si>
    <t>0x00-0x81:Valid value
0x82-0xFF:Invalid</t>
    <phoneticPr fontId="0" type="noConversion"/>
  </si>
  <si>
    <t>kwh</t>
    <phoneticPr fontId="0" type="noConversion"/>
  </si>
  <si>
    <t>0x000-0x1F4:Valid
0x1F5-0x3FF:Reserved</t>
    <phoneticPr fontId="0" type="noConversion"/>
  </si>
  <si>
    <t>0x00-0x27:Valid value</t>
    <phoneticPr fontId="0" type="noConversion"/>
  </si>
  <si>
    <t>TM_OperMod</t>
    <phoneticPr fontId="8" type="noConversion"/>
  </si>
  <si>
    <t>TM_FailSts</t>
    <phoneticPr fontId="8" type="noConversion"/>
  </si>
  <si>
    <t>0x0:Reserved
0x1:Init
0x2:PreCharge
0x3:Standby
0x4:TrqCtl
0x5-0x6:Reserved
0x7:Discharge
0x8:Afterrun
0x9:Powe Reduction
0xA:Calibrate offset angle
0xB:Failure
0xC-0xE:Reserved
0xF:Invalid</t>
    <phoneticPr fontId="0" type="noConversion"/>
  </si>
  <si>
    <t>X</t>
    <phoneticPr fontId="0" type="noConversion"/>
  </si>
  <si>
    <t>X</t>
    <phoneticPr fontId="0" type="noConversion"/>
  </si>
  <si>
    <t>X</t>
    <phoneticPr fontId="0" type="noConversion"/>
  </si>
  <si>
    <t>X</t>
    <phoneticPr fontId="0" type="noConversion"/>
  </si>
  <si>
    <t>X</t>
    <phoneticPr fontId="0" type="noConversion"/>
  </si>
  <si>
    <t>Default Initialised value</t>
    <phoneticPr fontId="8" type="noConversion"/>
  </si>
  <si>
    <t>NetworkState_MCU</t>
    <phoneticPr fontId="0" type="noConversion"/>
  </si>
  <si>
    <t>0x2</t>
    <phoneticPr fontId="0" type="noConversion"/>
  </si>
  <si>
    <t>Network State</t>
    <phoneticPr fontId="0" type="noConversion"/>
  </si>
  <si>
    <t>NetworkState_VCU</t>
    <phoneticPr fontId="0" type="noConversion"/>
  </si>
  <si>
    <t>NetworkState_BMS</t>
    <phoneticPr fontId="0" type="noConversion"/>
  </si>
  <si>
    <t>OBC</t>
    <phoneticPr fontId="0" type="noConversion"/>
  </si>
  <si>
    <t>NetworkState_OBC</t>
    <phoneticPr fontId="0" type="noConversion"/>
  </si>
  <si>
    <t>TBK_RefrInfo</t>
    <phoneticPr fontId="0" type="noConversion"/>
  </si>
  <si>
    <r>
      <t xml:space="preserve">TBK wake up the network </t>
    </r>
    <r>
      <rPr>
        <sz val="10"/>
        <rFont val="宋体"/>
        <family val="3"/>
        <charset val="134"/>
      </rPr>
      <t>，</t>
    </r>
    <r>
      <rPr>
        <sz val="10"/>
        <rFont val="Arial"/>
        <family val="2"/>
      </rPr>
      <t>refresh information from  vehicle</t>
    </r>
  </si>
  <si>
    <t>/</t>
    <phoneticPr fontId="0" type="noConversion"/>
  </si>
  <si>
    <t>0x0A5</t>
    <phoneticPr fontId="0" type="noConversion"/>
  </si>
  <si>
    <t>E</t>
    <phoneticPr fontId="0" type="noConversion"/>
  </si>
  <si>
    <t>When the events occurred, TBK1 will be sent 5 times (50ms).</t>
  </si>
  <si>
    <t>&lt;=10</t>
    <phoneticPr fontId="0" type="noConversion"/>
  </si>
  <si>
    <t>Motorola</t>
    <phoneticPr fontId="0" type="noConversion"/>
  </si>
  <si>
    <t>unsigned</t>
    <phoneticPr fontId="0" type="noConversion"/>
  </si>
  <si>
    <t xml:space="preserve"> &lt;=700</t>
    <phoneticPr fontId="0" type="noConversion"/>
  </si>
  <si>
    <t>0x0</t>
    <phoneticPr fontId="0" type="noConversion"/>
  </si>
  <si>
    <t>0x1</t>
    <phoneticPr fontId="0" type="noConversion"/>
  </si>
  <si>
    <t>0x0:Refresh Information  
0x1: No Action</t>
    <phoneticPr fontId="0" type="noConversion"/>
  </si>
  <si>
    <t>TBK_DlyChargReq</t>
    <phoneticPr fontId="0" type="noConversion"/>
  </si>
  <si>
    <t>TBK Remote Schedule mode,VCU receive this signal in order to achieve the function of charging.</t>
  </si>
  <si>
    <t>0x2EE</t>
    <phoneticPr fontId="0" type="noConversion"/>
  </si>
  <si>
    <t>0x0: Charging
0x1: No Action</t>
    <phoneticPr fontId="0" type="noConversion"/>
  </si>
  <si>
    <t>0x0:Abnormal operation
0x1:Reserved
0x2:Normal operation
0x3:Reserved
0x4:Sleep indication
0x5-0x7:Reserved
0x8:Sleep acknowledge
0x9-0xF:Reserved</t>
  </si>
  <si>
    <t>0x00-0x17:valid hour
0x18-0x1F:Invalid</t>
  </si>
  <si>
    <t>0x00-0x3B:valid min
0x3C-0x3F:Invalid</t>
  </si>
  <si>
    <t>0x00-0x3B:valid sencond
0x3C-0x3F:Invalid</t>
  </si>
  <si>
    <t>0x0-0x9:Valid
0xA-0xF:Invalid</t>
  </si>
  <si>
    <t>0x0-0x9:Valid year
0xA-0xF:Invalid</t>
  </si>
  <si>
    <t>0x00:Invalid
0x01-0x0C:valid Month
0x0D-0x0F:Reserved</t>
  </si>
  <si>
    <t>0x00:Invalid
0x01-0x1F:valid day</t>
  </si>
  <si>
    <t>0x000-0x258:Valid
0x259-0x7FE:Reserved
0x7FF:Invalid</t>
    <phoneticPr fontId="0" type="noConversion"/>
  </si>
  <si>
    <t>0x0-0x1:Reserved
0x2:PreCharge
0x3:Standby
0x4:TrqCtl
0x5:Reserved
0x6:IsolationDetection
0x7:Discharge
0x8:AfterRun
0x9-0xE:Reserved
0xF:Invalid</t>
    <phoneticPr fontId="0" type="noConversion"/>
  </si>
  <si>
    <t>X</t>
    <phoneticPr fontId="0" type="noConversion"/>
  </si>
  <si>
    <t>BTCActive</t>
    <phoneticPr fontId="0" type="noConversion"/>
  </si>
  <si>
    <t>PTCActive</t>
    <phoneticPr fontId="0" type="noConversion"/>
  </si>
  <si>
    <t>X</t>
    <phoneticPr fontId="0" type="noConversion"/>
  </si>
  <si>
    <t>VDCFailSts</t>
    <phoneticPr fontId="0" type="noConversion"/>
  </si>
  <si>
    <t>VDCActive</t>
    <phoneticPr fontId="0" type="noConversion"/>
  </si>
  <si>
    <t>0x0:No error
0x1:Limited Operation failure 
0x2:Quite Enable
0x3:Fail Silent disable
0x4:Emergency shutdown
0x5-0x7:Reserved</t>
    <phoneticPr fontId="0" type="noConversion"/>
  </si>
  <si>
    <t>SE-CAN:To TBK
CF-CAN:To BCM</t>
    <phoneticPr fontId="6" type="noConversion"/>
  </si>
  <si>
    <t>X</t>
    <phoneticPr fontId="0" type="noConversion"/>
  </si>
  <si>
    <t>Front Blower Speed Icon Display Command</t>
  </si>
  <si>
    <t>0xF</t>
  </si>
  <si>
    <t>/</t>
    <phoneticPr fontId="0" type="noConversion"/>
  </si>
  <si>
    <r>
      <t>Ambient display strategy:
1. In the Power mode = OFF</t>
    </r>
    <r>
      <rPr>
        <sz val="10"/>
        <rFont val="宋体"/>
        <family val="3"/>
        <charset val="134"/>
      </rPr>
      <t>，</t>
    </r>
    <r>
      <rPr>
        <sz val="10"/>
        <rFont val="Arial"/>
        <family val="2"/>
      </rPr>
      <t xml:space="preserve"> ACC, or Crank: Ambient Temperature = ini.
2. In the Power mode = Run: Ambient Temperature =Valid value</t>
    </r>
    <phoneticPr fontId="8" type="noConversion"/>
  </si>
  <si>
    <t>ACFrtBlwSpd</t>
    <phoneticPr fontId="0" type="noConversion"/>
  </si>
  <si>
    <t>X</t>
    <phoneticPr fontId="0" type="noConversion"/>
  </si>
  <si>
    <t>ACAmbtTemp</t>
    <phoneticPr fontId="0" type="noConversion"/>
  </si>
  <si>
    <t>VCU</t>
    <phoneticPr fontId="0" type="noConversion"/>
  </si>
  <si>
    <t>RollingCounter_EPB1</t>
    <phoneticPr fontId="0" type="noConversion"/>
  </si>
  <si>
    <t>/</t>
    <phoneticPr fontId="0" type="noConversion"/>
  </si>
  <si>
    <t>RolCnt_ESP8</t>
    <phoneticPr fontId="0" type="noConversion"/>
  </si>
  <si>
    <t xml:space="preserve">Use the checksum strategy from document“GWMLAN00-18 Checksum Req Spec-V1.0” </t>
    <phoneticPr fontId="8" type="noConversion"/>
  </si>
  <si>
    <t>P</t>
    <phoneticPr fontId="6" type="noConversion"/>
  </si>
  <si>
    <t>/</t>
    <phoneticPr fontId="6" type="noConversion"/>
  </si>
  <si>
    <t>Motorola</t>
    <phoneticPr fontId="0" type="noConversion"/>
  </si>
  <si>
    <t>Unsigned</t>
    <phoneticPr fontId="0" type="noConversion"/>
  </si>
  <si>
    <t>0x00</t>
    <phoneticPr fontId="0" type="noConversion"/>
  </si>
  <si>
    <t>/</t>
    <phoneticPr fontId="8" type="noConversion"/>
  </si>
  <si>
    <t>0x0</t>
    <phoneticPr fontId="0" type="noConversion"/>
  </si>
  <si>
    <t>OBC</t>
    <phoneticPr fontId="0" type="noConversion"/>
  </si>
  <si>
    <t>CheckSum_OBC3</t>
    <phoneticPr fontId="8" type="noConversion"/>
  </si>
  <si>
    <t>OBC3</t>
    <phoneticPr fontId="0" type="noConversion"/>
  </si>
  <si>
    <t>0x31F</t>
    <phoneticPr fontId="0" type="noConversion"/>
  </si>
  <si>
    <t>RollingCounter_OBC3</t>
    <phoneticPr fontId="6" type="noConversion"/>
  </si>
  <si>
    <t>OBC3 Rolling Counter</t>
    <phoneticPr fontId="0" type="noConversion"/>
  </si>
  <si>
    <t>VCU_SWVersion</t>
    <phoneticPr fontId="0" type="noConversion"/>
  </si>
  <si>
    <t>VCU Software Version</t>
    <phoneticPr fontId="0" type="noConversion"/>
  </si>
  <si>
    <t>VCU10</t>
    <phoneticPr fontId="0" type="noConversion"/>
  </si>
  <si>
    <t>0x3E0</t>
    <phoneticPr fontId="16" type="noConversion"/>
  </si>
  <si>
    <t>Motorola</t>
    <phoneticPr fontId="6" type="noConversion"/>
  </si>
  <si>
    <t>Unsigned</t>
    <phoneticPr fontId="6" type="noConversion"/>
  </si>
  <si>
    <t>0x0000000000000000</t>
    <phoneticPr fontId="6" type="noConversion"/>
  </si>
  <si>
    <t>VCU_VehBrkLightActv</t>
    <phoneticPr fontId="0" type="noConversion"/>
  </si>
  <si>
    <t>Active When Vehicle Is Brake Light</t>
    <phoneticPr fontId="6" type="noConversion"/>
  </si>
  <si>
    <t>VCU7</t>
    <phoneticPr fontId="0" type="noConversion"/>
  </si>
  <si>
    <t>0x28B</t>
    <phoneticPr fontId="0" type="noConversion"/>
  </si>
  <si>
    <t>CF-CAN:To BCM</t>
    <phoneticPr fontId="6" type="noConversion"/>
  </si>
  <si>
    <t>Actual Acceleration Pedal Position</t>
    <phoneticPr fontId="0" type="noConversion"/>
  </si>
  <si>
    <t>ActAccPedalPos</t>
  </si>
  <si>
    <t>VCU</t>
    <phoneticPr fontId="8" type="noConversion"/>
  </si>
  <si>
    <t>VCU_VirtualPedal</t>
    <phoneticPr fontId="8" type="noConversion"/>
  </si>
  <si>
    <t xml:space="preserve">Virtual Acceleration Pedal </t>
    <phoneticPr fontId="0" type="noConversion"/>
  </si>
  <si>
    <t>VCU1</t>
    <phoneticPr fontId="8" type="noConversion"/>
  </si>
  <si>
    <t>0x0CF</t>
    <phoneticPr fontId="8" type="noConversion"/>
  </si>
  <si>
    <t>Motorola</t>
    <phoneticPr fontId="8" type="noConversion"/>
  </si>
  <si>
    <t>Calibration Value</t>
    <phoneticPr fontId="0" type="noConversion"/>
  </si>
  <si>
    <t>%</t>
    <phoneticPr fontId="8" type="noConversion"/>
  </si>
  <si>
    <t>0x00~0xFF:Valid</t>
  </si>
  <si>
    <t>ESP</t>
    <phoneticPr fontId="0" type="noConversion"/>
  </si>
  <si>
    <t>ABS Active</t>
    <phoneticPr fontId="0" type="noConversion"/>
  </si>
  <si>
    <t>0x265</t>
    <phoneticPr fontId="0" type="noConversion"/>
  </si>
  <si>
    <t>P</t>
    <phoneticPr fontId="0" type="noConversion"/>
  </si>
  <si>
    <t>0X0:Inactive
0X1:Active</t>
    <phoneticPr fontId="8" type="noConversion"/>
  </si>
  <si>
    <t xml:space="preserve">
GW:
1.Don't receive the signal "TM_FailSts" in the message MCU3(0x0FB).
2.Receive the signal  "TM_SysErr" in message  MCU3(0x0FB).
3..Change the "Default Initialised value"  of the signal "NetworkState_GW" in the message GW1(0x2BC).
4.Don't recieve the signal “BMS_BattSOCLimResp” in message BMS8(0X1E3).
5.Delete the signal "ImdtlyChrgSwErrSts"and "ImdtlyChrgSwSts" in message BCM3(0X345)
6.Delete the signal "TBK_RemSdlMod" in the message TBK5(0x2EE).
7.Add a singal "TBK_RefrInfo" in the message TBK1(0x0A5).
8.Add a signal "TBK_DlyChargReq" in the  message TBK5(0x2EE). 
9.Add a signal "ACFrtBlwSpd" in the message AC2(0x385).
10.Receive the signal “VCU_VehBrkLightActv” in message VCU7(0x28B).
11.Don't receive signal "HUT_EgyRecSts" in the message VCU3(0x294).</t>
    <phoneticPr fontId="8" type="noConversion"/>
  </si>
  <si>
    <t>BGSQ-CH141E-BCM-002
BGSQ-CH141E-BMS-002
BGSQ-CH141E-BMS-003
BGSQ-CH141E-BMS-004
BGSQ-CH141E-BMS-005
BGSQ-CH141E-MCU-003
BGSQ-CH141E-MCU-004
BGSQ-CH141E-TBK-002
BGSQ-CH141E-VCU-001</t>
    <phoneticPr fontId="8" type="noConversion"/>
  </si>
  <si>
    <t>0x000-0x06E:Valid
0x06F-0x7FF:Reserved</t>
    <phoneticPr fontId="0" type="noConversion"/>
  </si>
  <si>
    <r>
      <t xml:space="preserve">
</t>
    </r>
    <r>
      <rPr>
        <b/>
        <sz val="8"/>
        <rFont val="Arial"/>
        <family val="2"/>
      </rPr>
      <t>BMS</t>
    </r>
    <r>
      <rPr>
        <b/>
        <sz val="8"/>
        <rFont val="宋体"/>
        <family val="3"/>
        <charset val="134"/>
      </rPr>
      <t>：</t>
    </r>
    <r>
      <rPr>
        <sz val="8"/>
        <rFont val="Arial"/>
        <family val="2"/>
      </rPr>
      <t xml:space="preserve">
1.Change the coding of the signal “BMS_Sts” in the message BMS1(0x0F1)</t>
    </r>
    <r>
      <rPr>
        <sz val="8"/>
        <rFont val="宋体"/>
        <family val="3"/>
        <charset val="134"/>
      </rPr>
      <t xml:space="preserve">。
</t>
    </r>
    <r>
      <rPr>
        <sz val="8"/>
        <rFont val="Arial"/>
        <family val="2"/>
      </rPr>
      <t>2.Delete the signal “BMS_DCChrgActvtErr” in message BMS4(0x286).
3.Delete the signal “BMS_FanRlySts” in message BMS5(0x29A).
4.Delete the signal “BMS_VCUIsolateDetdfinish”, “BMS_VCUDClineIsolateDetdErr”, “BMS_VCUPackIsolateDetdErr”in message BMS12(0x2E2).
5.Don’t receive the signal “VCU_BMSIsolationDetdReq”  in message VCU1(0x0CF).
6.Don’t receive the signal “VCU_LowVoltShutdown”  in message VCU3 (0x294).
7.Don’t receive the signal “TM_ActHvVolt”  in message MCU3 (0x0FB).
8.Add the coding of signal “BMS_SysFaultLvl” in message BMS1(0x0F1)</t>
    </r>
    <r>
      <rPr>
        <sz val="8"/>
        <rFont val="宋体"/>
        <family val="3"/>
        <charset val="134"/>
      </rPr>
      <t xml:space="preserve">。
</t>
    </r>
    <r>
      <rPr>
        <sz val="8"/>
        <rFont val="Arial"/>
        <family val="2"/>
      </rPr>
      <t>9.Receive the signals “TBKTS_Hour”, “TBKTS_Minutes”, “TBKTS_Second”, “TBKTS_Year_Left” , “TBKTS_Year_Right”, “TBKTS_Month”, “TBKTS_Day” in message  TBK6(0x1E1).
10.Change the offset/P-Minimum/P-Maximum/Coding of signal “BMS_MaxCellVoltPosnNumber”/ “BMS_MinCellVoltPosnNumber” in BMS3(0x28F)</t>
    </r>
    <r>
      <rPr>
        <sz val="8"/>
        <rFont val="宋体"/>
        <family val="3"/>
        <charset val="134"/>
      </rPr>
      <t xml:space="preserve">
</t>
    </r>
    <r>
      <rPr>
        <sz val="8"/>
        <rFont val="Arial"/>
        <family val="2"/>
      </rPr>
      <t xml:space="preserve">11.Change P-Maximum/Unit/Coding of signal “BMS_SOE” in BMS5(0x29A).
12.Change the LSB/Size/offset/P-Minimum/P-Maximum and Coding of signal “BMS_MinTempPosnNumber”/ “BMS_MaxTempPosnNumber” in BMS13(0x2E4).
13.Change the "Default Initialised value"  of the signal "NetworkState_BMS" in the message BMS3(0x28F).
14.Change the "period" of the RMC-related messages.
15.Delete the signal “BMS_BattSOCLimResp” in message BMS8(0X1E3).
16.Don't receive the  "ImdtlyChrgSwErrSts"and "ImdtlyChrgSwSts" in message BCM3(0X345)
17.Don't receive the signal "TBK_RemSdlMod" in the message TBK5(0x2EE).
18.Add signals “CheckSum_BMS13”, “RollingCounter_ BMS13” in message BMS13(0x2E4).
</t>
    </r>
    <r>
      <rPr>
        <b/>
        <sz val="8"/>
        <rFont val="Arial"/>
        <family val="2"/>
      </rPr>
      <t>MCU</t>
    </r>
    <r>
      <rPr>
        <b/>
        <sz val="8"/>
        <rFont val="宋体"/>
        <family val="3"/>
        <charset val="134"/>
      </rPr>
      <t>：</t>
    </r>
    <r>
      <rPr>
        <sz val="8"/>
        <rFont val="宋体"/>
        <family val="3"/>
        <charset val="134"/>
      </rPr>
      <t xml:space="preserve">
</t>
    </r>
    <r>
      <rPr>
        <sz val="8"/>
        <rFont val="Arial"/>
        <family val="2"/>
      </rPr>
      <t xml:space="preserve">1.Change the MSB and "coding" of the signal "TM_FailSts" in the message MCU3(0x0FB).
2.Add a signal "TM_SysErr" in message  MCU3(0x0FB).
3.Change the coding of the signal "TM_OperMod" in message MCU3(0x0FB).
4.Change the "Default Initialised value"  of the signal "NetworkState_MCU" in the message MCU5(0x280).
</t>
    </r>
    <r>
      <rPr>
        <b/>
        <sz val="8"/>
        <rFont val="Arial"/>
        <family val="2"/>
      </rPr>
      <t>OBC:</t>
    </r>
    <r>
      <rPr>
        <sz val="8"/>
        <rFont val="Arial"/>
        <family val="2"/>
      </rPr>
      <t xml:space="preserve">
1.Change the "Default Initialised value"  of the signal "NetworkState_OBC" in the message OBC2(0x317).
2.Add signals “CheckSum_ OBC3”, “RollingCounter_ OBC3” in message OBC3 (0x31F).
</t>
    </r>
    <r>
      <rPr>
        <b/>
        <sz val="8"/>
        <rFont val="Arial"/>
        <family val="2"/>
      </rPr>
      <t>ABM:</t>
    </r>
    <r>
      <rPr>
        <sz val="8"/>
        <rFont val="Arial"/>
        <family val="2"/>
      </rPr>
      <t xml:space="preserve">
1.Receive the signal "BTCActive" </t>
    </r>
    <r>
      <rPr>
        <sz val="8"/>
        <rFont val="宋体"/>
        <family val="3"/>
        <charset val="134"/>
      </rPr>
      <t>、</t>
    </r>
    <r>
      <rPr>
        <sz val="8"/>
        <rFont val="Arial"/>
        <family val="2"/>
      </rPr>
      <t xml:space="preserve">"PTCActive" and "VDCActive" in the message ESP1(0x149).
</t>
    </r>
    <r>
      <rPr>
        <b/>
        <sz val="8"/>
        <rFont val="Arial"/>
        <family val="2"/>
      </rPr>
      <t>ESP:</t>
    </r>
    <r>
      <rPr>
        <sz val="8"/>
        <rFont val="Arial"/>
        <family val="2"/>
      </rPr>
      <t xml:space="preserve">
1.Receive the signal “VCU_VirtualPedal” in message VCU1(0x0CF).
2.Add signal “ABSActive” in message ESP_ABS3(0x265).</t>
    </r>
    <phoneticPr fontId="8" type="noConversion"/>
  </si>
  <si>
    <t>VCU:
1.Change the "Default Initialised value"  of the signal "NetworkState_VCU" in the message VCU3(0x294).
2.Don't receive the signal "TBK_RemSdlMod" in the message TBK5(0x2EE).
3.Receive the singal "TBK_RefrInfo" in the message TBK1(0x0A5).
4.Receive the  signal "TBK_DlyChargReq" in the  message TBK5(0x2EE). 
5.Receive the signal "VehTotDistance" in the message IP2(0x27F).
6.Receive the signal "BMS_ReqChrgVolt" in the message BMS6(0x2FF).
7.Receive the signal ""ACFrtBlwSpd" and "ACAmbtTemp" in the message AC2(0x385).
8.Receive the signals"CheckSum_ABS3" and "RollingCounter_ABS3" in the message ESP_ABS3(0x265).
9.Receive the signals "CheckSum_OBC2" and "RollingCounter_OBC2" in the mssage OBC2(0x317).
10.Receive the signals "CheckSum_MCU7" and "RollingCounter" in the message MCU7(0x0D0).
11.Receive the signals"CheckSum_EPB1" and "RollingCounter_EPB1" in the message ESP_EPB1(0x16B).
12.Receive the signals "CheckSum_ESP2" and "RollingCounter_ESP2" in the message ESP2(0x145).
13.Receive the signals "CheckSum_ESP8" and "RolCnt_ESP8" in the message ESP8(0x0D8).
14.Receive the signals “CheckSum_BMS13”, “RollingCounter_ BMS13” in message BMS13(0x2E4).
15.Receive signals “CheckSum_ OBC3”, “RollingCounter_ OBC3” from message OBC3 (0x31F).
16.Add signal “VCU_SWVersion” in message VCU10(0x3E0).
17.Add signal “VCU_VehBrkLightActv” in message VCU7(0x28B).
18.Change signal name  from “AccPedalPos” to “ActAccPedalPos” in the message VCU6(0x0D4).
19.Change the description of the signal “ActAccPedalPos” in the message VCU6(0x0D4).
20.Add signal “VCU_VirtualPedal” in message VCU1(0x0CF).
21.Receive signal “ABSActive” from message ESP_ABS3(0x265).
22.Delete the signal "HUT_EgyRecSts" in the message VCU3(0x294).
23.Don't receive the signal "CheckSum_SAS1" in the message SAS1(0x125)
24.Change P-Maximum of signal “VCU_CruiseSpd” in message VCU6(0x0D4),and change coding of this signal.</t>
    <phoneticPr fontId="8" type="noConversion"/>
  </si>
  <si>
    <t>SwithOffCuriseControl</t>
  </si>
  <si>
    <t>/</t>
    <phoneticPr fontId="0" type="noConversion"/>
  </si>
  <si>
    <t>ESP</t>
    <phoneticPr fontId="0" type="noConversion"/>
  </si>
  <si>
    <t>P</t>
    <phoneticPr fontId="0" type="noConversion"/>
  </si>
  <si>
    <t>P</t>
    <phoneticPr fontId="0" type="noConversion"/>
  </si>
  <si>
    <r>
      <rPr>
        <sz val="10"/>
        <rFont val="宋体"/>
        <family val="3"/>
        <charset val="134"/>
      </rPr>
      <t>≤</t>
    </r>
    <r>
      <rPr>
        <sz val="10"/>
        <rFont val="Arial"/>
        <family val="2"/>
      </rPr>
      <t>20</t>
    </r>
    <phoneticPr fontId="8" type="noConversion"/>
  </si>
  <si>
    <t>Motorola</t>
    <phoneticPr fontId="0" type="noConversion"/>
  </si>
  <si>
    <t>Unsigned</t>
    <phoneticPr fontId="0" type="noConversion"/>
  </si>
  <si>
    <t>0x1</t>
    <phoneticPr fontId="0" type="noConversion"/>
  </si>
  <si>
    <t>0x0</t>
    <phoneticPr fontId="0" type="noConversion"/>
  </si>
  <si>
    <t xml:space="preserve">      /</t>
    <phoneticPr fontId="0" type="noConversion"/>
  </si>
  <si>
    <t>/</t>
    <phoneticPr fontId="0" type="noConversion"/>
  </si>
  <si>
    <t xml:space="preserve">     /</t>
    <phoneticPr fontId="0" type="noConversion"/>
  </si>
  <si>
    <t>Offset</t>
    <phoneticPr fontId="8" type="noConversion"/>
  </si>
  <si>
    <t>0X0:Not switch off cruise control 
0X1:switch off cruise control</t>
  </si>
  <si>
    <t>/</t>
    <phoneticPr fontId="0" type="noConversion"/>
  </si>
  <si>
    <t>X</t>
    <phoneticPr fontId="0" type="noConversion"/>
  </si>
  <si>
    <r>
      <t>switch off of the Cruise control(on/off)</t>
    </r>
    <r>
      <rPr>
        <sz val="10"/>
        <rFont val="宋体"/>
        <family val="3"/>
        <charset val="134"/>
      </rPr>
      <t>（</t>
    </r>
    <r>
      <rPr>
        <sz val="10"/>
        <rFont val="Arial"/>
        <family val="2"/>
      </rPr>
      <t>CDP, AVH ,ACC active</t>
    </r>
    <r>
      <rPr>
        <sz val="10"/>
        <rFont val="宋体"/>
        <family val="3"/>
        <charset val="134"/>
      </rPr>
      <t>）</t>
    </r>
    <phoneticPr fontId="8" type="noConversion"/>
  </si>
  <si>
    <t xml:space="preserve">0X0:No failure
0X1:Failure
0X2-0X3:Reserved
</t>
    <phoneticPr fontId="0" type="noConversion"/>
  </si>
  <si>
    <t>xingshixue</t>
    <phoneticPr fontId="8" type="noConversion"/>
  </si>
  <si>
    <t>V1.4</t>
    <phoneticPr fontId="8" type="noConversion"/>
  </si>
  <si>
    <t>J</t>
    <phoneticPr fontId="16" type="noConversion"/>
  </si>
  <si>
    <t>BMS_RMC_CellVoltMax</t>
    <phoneticPr fontId="0" type="noConversion"/>
  </si>
  <si>
    <t>/</t>
    <phoneticPr fontId="0" type="noConversion"/>
  </si>
  <si>
    <t>BMS30</t>
  </si>
  <si>
    <t>0x3C4</t>
  </si>
  <si>
    <t>P</t>
    <phoneticPr fontId="0" type="noConversion"/>
  </si>
  <si>
    <t>/</t>
    <phoneticPr fontId="6" type="noConversion"/>
  </si>
  <si>
    <t>Motorola</t>
    <phoneticPr fontId="0" type="noConversion"/>
  </si>
  <si>
    <t>Unsigned</t>
    <phoneticPr fontId="0" type="noConversion"/>
  </si>
  <si>
    <t>0x0000</t>
    <phoneticPr fontId="0" type="noConversion"/>
  </si>
  <si>
    <t>0.001V</t>
    <phoneticPr fontId="0" type="noConversion"/>
  </si>
  <si>
    <t>V</t>
    <phoneticPr fontId="0" type="noConversion"/>
  </si>
  <si>
    <t>0x0000-0x1388:Valid
0x1389-0xFFFF:Reserved</t>
    <phoneticPr fontId="0" type="noConversion"/>
  </si>
  <si>
    <t>J</t>
    <phoneticPr fontId="16" type="noConversion"/>
  </si>
  <si>
    <t>BMS</t>
    <phoneticPr fontId="0" type="noConversion"/>
  </si>
  <si>
    <t>BMS_RMC_CellVoltMin</t>
  </si>
  <si>
    <t>J</t>
    <phoneticPr fontId="16" type="noConversion"/>
  </si>
  <si>
    <t>BMS</t>
    <phoneticPr fontId="0" type="noConversion"/>
  </si>
  <si>
    <t>BMS_RMC_MaxCellVoltPosnNumber</t>
  </si>
  <si>
    <t>Max Cell voltage position number</t>
    <phoneticPr fontId="0" type="noConversion"/>
  </si>
  <si>
    <t>/</t>
    <phoneticPr fontId="0" type="noConversion"/>
  </si>
  <si>
    <t>P</t>
    <phoneticPr fontId="0" type="noConversion"/>
  </si>
  <si>
    <t>/</t>
    <phoneticPr fontId="6" type="noConversion"/>
  </si>
  <si>
    <t>200ms</t>
    <phoneticPr fontId="0" type="noConversion"/>
  </si>
  <si>
    <t>/</t>
    <phoneticPr fontId="0" type="noConversion"/>
  </si>
  <si>
    <t>0x0</t>
    <phoneticPr fontId="0" type="noConversion"/>
  </si>
  <si>
    <t>0x00-0x81:Valid value
0x82-0xFF:Invalid</t>
    <phoneticPr fontId="0" type="noConversion"/>
  </si>
  <si>
    <t>/</t>
    <phoneticPr fontId="0" type="noConversion"/>
  </si>
  <si>
    <t>BMS</t>
    <phoneticPr fontId="0" type="noConversion"/>
  </si>
  <si>
    <t>BMS_RMC_MinCellVoltPosnNumber</t>
  </si>
  <si>
    <t>Min Cell voltage position number</t>
    <phoneticPr fontId="0" type="noConversion"/>
  </si>
  <si>
    <t>0x0</t>
    <phoneticPr fontId="0" type="noConversion"/>
  </si>
  <si>
    <t>J</t>
    <phoneticPr fontId="16" type="noConversion"/>
  </si>
  <si>
    <t>BMS</t>
    <phoneticPr fontId="0" type="noConversion"/>
  </si>
  <si>
    <t>BMS_RMC_ModuleTempMin</t>
  </si>
  <si>
    <t>minimun module temperature</t>
    <phoneticPr fontId="0" type="noConversion"/>
  </si>
  <si>
    <t>/</t>
    <phoneticPr fontId="0" type="noConversion"/>
  </si>
  <si>
    <t>BMS31</t>
    <phoneticPr fontId="0" type="noConversion"/>
  </si>
  <si>
    <t>0x3C6</t>
    <phoneticPr fontId="0" type="noConversion"/>
  </si>
  <si>
    <t>P</t>
    <phoneticPr fontId="0" type="noConversion"/>
  </si>
  <si>
    <t>/</t>
    <phoneticPr fontId="6" type="noConversion"/>
  </si>
  <si>
    <t>0x00</t>
    <phoneticPr fontId="0" type="noConversion"/>
  </si>
  <si>
    <r>
      <t>1</t>
    </r>
    <r>
      <rPr>
        <sz val="10"/>
        <rFont val="宋体"/>
        <family val="3"/>
        <charset val="134"/>
      </rPr>
      <t>℃</t>
    </r>
    <phoneticPr fontId="0" type="noConversion"/>
  </si>
  <si>
    <t>℃</t>
    <phoneticPr fontId="0" type="noConversion"/>
  </si>
  <si>
    <t>0x00-0xA5:Valid
0xA6-0xFF:Reserved</t>
    <phoneticPr fontId="0" type="noConversion"/>
  </si>
  <si>
    <t>BMS_RMC_ModuleTempMax</t>
  </si>
  <si>
    <t>maximun module temperature</t>
    <phoneticPr fontId="0" type="noConversion"/>
  </si>
  <si>
    <t>BMS31</t>
    <phoneticPr fontId="0" type="noConversion"/>
  </si>
  <si>
    <t>℃</t>
    <phoneticPr fontId="0" type="noConversion"/>
  </si>
  <si>
    <t>J</t>
    <phoneticPr fontId="16" type="noConversion"/>
  </si>
  <si>
    <t>BMS</t>
    <phoneticPr fontId="0" type="noConversion"/>
  </si>
  <si>
    <t>BMS_RMC_MinTempPosnNumber</t>
  </si>
  <si>
    <t>Min temperature position number of sensor</t>
    <phoneticPr fontId="0" type="noConversion"/>
  </si>
  <si>
    <t>/</t>
    <phoneticPr fontId="0" type="noConversion"/>
  </si>
  <si>
    <t>P</t>
    <phoneticPr fontId="0" type="noConversion"/>
  </si>
  <si>
    <t>/</t>
    <phoneticPr fontId="6" type="noConversion"/>
  </si>
  <si>
    <t>0x00-0x27:Valid value</t>
  </si>
  <si>
    <t>BMS_RMC_MaxTempPosnNumber</t>
  </si>
  <si>
    <t>Max temperature position number of sensor</t>
    <phoneticPr fontId="0" type="noConversion"/>
  </si>
  <si>
    <t>BMS31</t>
    <phoneticPr fontId="0" type="noConversion"/>
  </si>
  <si>
    <t>0x3C6</t>
    <phoneticPr fontId="0" type="noConversion"/>
  </si>
  <si>
    <t>0x00-0x27:Valid value</t>
    <phoneticPr fontId="0" type="noConversion"/>
  </si>
  <si>
    <t>BMS</t>
    <phoneticPr fontId="6" type="noConversion"/>
  </si>
  <si>
    <t>BMS_PackOverChrgWarn</t>
  </si>
  <si>
    <t>BMS_Pack Over Charge warning</t>
  </si>
  <si>
    <t>BMS16</t>
    <phoneticPr fontId="16" type="noConversion"/>
  </si>
  <si>
    <t>0x3FA</t>
    <phoneticPr fontId="0" type="noConversion"/>
  </si>
  <si>
    <t>P</t>
    <phoneticPr fontId="6" type="noConversion"/>
  </si>
  <si>
    <t>/</t>
    <phoneticPr fontId="6" type="noConversion"/>
  </si>
  <si>
    <t>Motorola</t>
    <phoneticPr fontId="6" type="noConversion"/>
  </si>
  <si>
    <t>Unsigned</t>
    <phoneticPr fontId="6" type="noConversion"/>
  </si>
  <si>
    <t>0x0</t>
    <phoneticPr fontId="6" type="noConversion"/>
  </si>
  <si>
    <t>0x0:No warning
0x1:warning</t>
  </si>
  <si>
    <t>J</t>
    <phoneticPr fontId="16" type="noConversion"/>
  </si>
  <si>
    <t>BMS</t>
    <phoneticPr fontId="6" type="noConversion"/>
  </si>
  <si>
    <t>BMS_SocOverWarn</t>
  </si>
  <si>
    <t>BMS_Soc over warning</t>
  </si>
  <si>
    <t>BMS16</t>
    <phoneticPr fontId="16" type="noConversion"/>
  </si>
  <si>
    <t>0x3FA</t>
    <phoneticPr fontId="0" type="noConversion"/>
  </si>
  <si>
    <t>P</t>
    <phoneticPr fontId="6" type="noConversion"/>
  </si>
  <si>
    <t>/</t>
    <phoneticPr fontId="6" type="noConversion"/>
  </si>
  <si>
    <t>BMS</t>
    <phoneticPr fontId="6" type="noConversion"/>
  </si>
  <si>
    <t>BMS_SocJumpWarn</t>
  </si>
  <si>
    <t>BMS16</t>
    <phoneticPr fontId="16" type="noConversion"/>
  </si>
  <si>
    <t>0x3FA</t>
    <phoneticPr fontId="0" type="noConversion"/>
  </si>
  <si>
    <t>P</t>
    <phoneticPr fontId="6" type="noConversion"/>
  </si>
  <si>
    <t>J</t>
    <phoneticPr fontId="16" type="noConversion"/>
  </si>
  <si>
    <t>BMS</t>
    <phoneticPr fontId="6" type="noConversion"/>
  </si>
  <si>
    <t>BMS_PackMismatchWarn</t>
  </si>
  <si>
    <t>BMS_Pack Mismatchwarning</t>
  </si>
  <si>
    <t>BMS16</t>
    <phoneticPr fontId="16" type="noConversion"/>
  </si>
  <si>
    <t>0x3FA</t>
    <phoneticPr fontId="0" type="noConversion"/>
  </si>
  <si>
    <t>P</t>
    <phoneticPr fontId="6" type="noConversion"/>
  </si>
  <si>
    <t>/</t>
    <phoneticPr fontId="6" type="noConversion"/>
  </si>
  <si>
    <t>J</t>
    <phoneticPr fontId="15" type="noConversion"/>
  </si>
  <si>
    <t>BMS_VCUIsolateErr</t>
  </si>
  <si>
    <t>BMS_VCU Isolate  Error</t>
  </si>
  <si>
    <t>Reserved</t>
    <phoneticPr fontId="0" type="noConversion"/>
  </si>
  <si>
    <t>EPS</t>
    <phoneticPr fontId="8" type="noConversion"/>
  </si>
  <si>
    <t>Reserved</t>
  </si>
  <si>
    <t>Reserved</t>
    <phoneticPr fontId="0" type="noConversion"/>
  </si>
  <si>
    <t>ECUx</t>
    <phoneticPr fontId="0" type="noConversion"/>
  </si>
  <si>
    <t>E_Park_FaultLmpSts</t>
    <phoneticPr fontId="0" type="noConversion"/>
  </si>
  <si>
    <t>X</t>
    <phoneticPr fontId="0" type="noConversion"/>
  </si>
  <si>
    <t>X</t>
    <phoneticPr fontId="0" type="noConversion"/>
  </si>
  <si>
    <r>
      <t xml:space="preserve">
CF-CAN:To IP,HUT
SE-CAN</t>
    </r>
    <r>
      <rPr>
        <sz val="10"/>
        <rFont val="宋体"/>
        <family val="3"/>
        <charset val="134"/>
      </rPr>
      <t>：</t>
    </r>
    <r>
      <rPr>
        <sz val="10"/>
        <rFont val="Arial"/>
        <family val="2"/>
      </rPr>
      <t>To TBK</t>
    </r>
    <phoneticPr fontId="0" type="noConversion"/>
  </si>
  <si>
    <r>
      <t>SE-CAN</t>
    </r>
    <r>
      <rPr>
        <sz val="10"/>
        <rFont val="宋体"/>
        <family val="3"/>
        <charset val="134"/>
      </rPr>
      <t>：</t>
    </r>
    <r>
      <rPr>
        <sz val="10"/>
        <rFont val="Arial"/>
        <family val="2"/>
      </rPr>
      <t>To TBK</t>
    </r>
  </si>
  <si>
    <r>
      <t>SE-CAN</t>
    </r>
    <r>
      <rPr>
        <sz val="10"/>
        <color theme="1"/>
        <rFont val="宋体"/>
        <family val="3"/>
        <charset val="134"/>
      </rPr>
      <t>：</t>
    </r>
    <r>
      <rPr>
        <sz val="10"/>
        <color theme="1"/>
        <rFont val="Arial"/>
        <family val="2"/>
      </rPr>
      <t>To TBK</t>
    </r>
  </si>
  <si>
    <t>/</t>
    <phoneticPr fontId="0" type="noConversion"/>
  </si>
  <si>
    <r>
      <t>SE-CAN</t>
    </r>
    <r>
      <rPr>
        <sz val="10"/>
        <rFont val="宋体"/>
        <family val="3"/>
        <charset val="134"/>
      </rPr>
      <t>：</t>
    </r>
    <r>
      <rPr>
        <sz val="10"/>
        <rFont val="Arial"/>
        <family val="2"/>
      </rPr>
      <t>To TBK</t>
    </r>
    <phoneticPr fontId="0" type="noConversion"/>
  </si>
  <si>
    <t>BGSQ-CH141E-ESP-001
BGSQ-CH141E-BMS-006
BGSQ-CH141E-AC-002</t>
    <phoneticPr fontId="8" type="noConversion"/>
  </si>
  <si>
    <r>
      <t>ESP:
1.Receive signal “SystemPowerMode” from message TBK2</t>
    </r>
    <r>
      <rPr>
        <sz val="8"/>
        <rFont val="宋体"/>
        <family val="3"/>
        <charset val="134"/>
      </rPr>
      <t>（</t>
    </r>
    <r>
      <rPr>
        <sz val="8"/>
        <rFont val="Arial"/>
        <family val="2"/>
      </rPr>
      <t>0x263</t>
    </r>
    <r>
      <rPr>
        <sz val="8"/>
        <rFont val="宋体"/>
        <family val="3"/>
        <charset val="134"/>
      </rPr>
      <t>）</t>
    </r>
    <r>
      <rPr>
        <sz val="8"/>
        <rFont val="Arial"/>
        <family val="2"/>
      </rPr>
      <t>.
2.Add signal “SwithOffCuriseControl” in message ESP2</t>
    </r>
    <r>
      <rPr>
        <sz val="8"/>
        <rFont val="宋体"/>
        <family val="3"/>
        <charset val="134"/>
      </rPr>
      <t>（</t>
    </r>
    <r>
      <rPr>
        <sz val="8"/>
        <rFont val="Arial"/>
        <family val="2"/>
      </rPr>
      <t>0X145</t>
    </r>
    <r>
      <rPr>
        <sz val="8"/>
        <rFont val="宋体"/>
        <family val="3"/>
        <charset val="134"/>
      </rPr>
      <t>）</t>
    </r>
    <r>
      <rPr>
        <sz val="8"/>
        <rFont val="Arial"/>
        <family val="2"/>
      </rPr>
      <t>.
3.Change the coding of signal “HDCFault” “AVHerrorSts” in message ESP2</t>
    </r>
    <r>
      <rPr>
        <sz val="8"/>
        <rFont val="宋体"/>
        <family val="3"/>
        <charset val="134"/>
      </rPr>
      <t>（</t>
    </r>
    <r>
      <rPr>
        <sz val="8"/>
        <rFont val="Arial"/>
        <family val="2"/>
      </rPr>
      <t>0X145</t>
    </r>
    <r>
      <rPr>
        <sz val="8"/>
        <rFont val="宋体"/>
        <family val="3"/>
        <charset val="134"/>
      </rPr>
      <t xml:space="preserve">）
</t>
    </r>
    <r>
      <rPr>
        <sz val="8"/>
        <rFont val="Arial"/>
        <family val="2"/>
      </rPr>
      <t>VCU</t>
    </r>
    <r>
      <rPr>
        <sz val="8"/>
        <rFont val="宋体"/>
        <family val="3"/>
        <charset val="134"/>
      </rPr>
      <t xml:space="preserve">
</t>
    </r>
    <r>
      <rPr>
        <sz val="8"/>
        <rFont val="Arial"/>
        <family val="2"/>
      </rPr>
      <t>1.Receive signal “SwithOffCuriseControl” in message ESP2</t>
    </r>
    <r>
      <rPr>
        <sz val="8"/>
        <rFont val="宋体"/>
        <family val="3"/>
        <charset val="134"/>
      </rPr>
      <t>（</t>
    </r>
    <r>
      <rPr>
        <sz val="8"/>
        <rFont val="Arial"/>
        <family val="2"/>
      </rPr>
      <t>0X145</t>
    </r>
    <r>
      <rPr>
        <sz val="8"/>
        <rFont val="宋体"/>
        <family val="3"/>
        <charset val="134"/>
      </rPr>
      <t>）</t>
    </r>
    <r>
      <rPr>
        <sz val="8"/>
        <rFont val="Arial"/>
        <family val="2"/>
      </rPr>
      <t>.
BMS:
1.Reserved the node “E-Park”.
2.Add singal” BMS_RMC_CellVoltMax” /” BMS_RMC_CellVoltMin” /” BMS_RMC_MaxCellVoltPosnNumber”/” BMS_RMC_MinCellVoltPosnNumber” in message BMS30</t>
    </r>
    <r>
      <rPr>
        <sz val="8"/>
        <rFont val="宋体"/>
        <family val="3"/>
        <charset val="134"/>
      </rPr>
      <t>（</t>
    </r>
    <r>
      <rPr>
        <sz val="8"/>
        <rFont val="Arial"/>
        <family val="2"/>
      </rPr>
      <t>0x3C4</t>
    </r>
    <r>
      <rPr>
        <sz val="8"/>
        <rFont val="宋体"/>
        <family val="3"/>
        <charset val="134"/>
      </rPr>
      <t>）</t>
    </r>
    <r>
      <rPr>
        <sz val="8"/>
        <rFont val="Arial"/>
        <family val="2"/>
      </rPr>
      <t>.</t>
    </r>
    <r>
      <rPr>
        <sz val="8"/>
        <rFont val="宋体"/>
        <family val="3"/>
        <charset val="134"/>
      </rPr>
      <t xml:space="preserve">
</t>
    </r>
    <r>
      <rPr>
        <sz val="8"/>
        <rFont val="Arial"/>
        <family val="2"/>
      </rPr>
      <t xml:space="preserve">   Add singal ”BMS_RMC_ModuleTempMin" /"BMS_RMC_ModuleTempMax" /"BMS_RMC_MinTempPosnNumber" /"BMS_RMC_MaxTempPosnNumber" in message BMS31(0x3C6).
   Add signal "BMS_SocOverWarn" /"BMS_SocJumpWarn" /"BMS_PackMismatchWarn" /"BMS_PackOverChrgWarn" in BMS16(0x3FA).
3.Change “BMS_VCUPackIsolateDetdErr” to "BMS_VCUIsolateErr" in message BMS12(0x2E2).
GW:
1.Delete signal “AC_REQ_Lvl” in message AC1(0x29D).
2.Change coding of signal “ACFrtBlwSpd” in message AC2(0x385).
0x0: (Blower) off
0x1 - 0x8: Blower level 1 - 8
0x9 - 0xE: Reserved
0xF: Ini</t>
    </r>
    <phoneticPr fontId="8" type="noConversion"/>
  </si>
  <si>
    <t>V1.4.1</t>
    <phoneticPr fontId="8" type="noConversion"/>
  </si>
  <si>
    <t>BGSQ-CH141E-VCU-002</t>
    <phoneticPr fontId="8" type="noConversion"/>
  </si>
  <si>
    <t>/</t>
    <phoneticPr fontId="8" type="noConversion"/>
  </si>
  <si>
    <t>Xing Shixue</t>
    <phoneticPr fontId="8" type="noConversion"/>
  </si>
  <si>
    <t>VCU_FaultLvl</t>
    <phoneticPr fontId="8" type="noConversion"/>
  </si>
  <si>
    <t>Fault level</t>
    <phoneticPr fontId="8" type="noConversion"/>
  </si>
  <si>
    <r>
      <t>0x0: No fault
0x1: Level 1
0x2: Level 2</t>
    </r>
    <r>
      <rPr>
        <sz val="10"/>
        <rFont val="宋体"/>
        <family val="3"/>
        <charset val="134"/>
      </rPr>
      <t xml:space="preserve">
</t>
    </r>
    <r>
      <rPr>
        <sz val="10"/>
        <rFont val="Arial"/>
        <family val="2"/>
      </rPr>
      <t>0x3: Level 3</t>
    </r>
    <r>
      <rPr>
        <sz val="10"/>
        <rFont val="宋体"/>
        <family val="3"/>
        <charset val="134"/>
      </rPr>
      <t xml:space="preserve">
</t>
    </r>
    <r>
      <rPr>
        <sz val="10"/>
        <rFont val="Arial"/>
        <family val="2"/>
      </rPr>
      <t>0x4: Level 4</t>
    </r>
    <r>
      <rPr>
        <sz val="10"/>
        <rFont val="宋体"/>
        <family val="3"/>
        <charset val="134"/>
      </rPr>
      <t xml:space="preserve">
</t>
    </r>
    <r>
      <rPr>
        <sz val="10"/>
        <rFont val="Arial"/>
        <family val="2"/>
      </rPr>
      <t>0x5: Level 5
0x6-0x7:Reserved</t>
    </r>
    <phoneticPr fontId="0" type="noConversion"/>
  </si>
  <si>
    <t>0x0: Off
0x1: On</t>
    <phoneticPr fontId="0" type="noConversion"/>
  </si>
  <si>
    <r>
      <t>M</t>
    </r>
    <r>
      <rPr>
        <sz val="10"/>
        <rFont val="Arial"/>
        <family val="2"/>
      </rPr>
      <t>otorola</t>
    </r>
    <phoneticPr fontId="0" type="noConversion"/>
  </si>
  <si>
    <t>0x385</t>
    <phoneticPr fontId="0" type="noConversion"/>
  </si>
  <si>
    <t>AC2</t>
    <phoneticPr fontId="0" type="noConversion"/>
  </si>
  <si>
    <t>Compressor Request Icon DisplayCommand</t>
    <phoneticPr fontId="0" type="noConversion"/>
  </si>
  <si>
    <t>ACCmprOnOffIconCmd</t>
    <phoneticPr fontId="0" type="noConversion"/>
  </si>
  <si>
    <t>VCU,GW</t>
    <phoneticPr fontId="8" type="noConversion"/>
  </si>
  <si>
    <t>J</t>
    <phoneticPr fontId="16" type="noConversion"/>
  </si>
  <si>
    <t>Tester</t>
    <phoneticPr fontId="8" type="noConversion"/>
  </si>
  <si>
    <r>
      <rPr>
        <sz val="10"/>
        <rFont val="GungsuhChe"/>
        <family val="3"/>
        <charset val="129"/>
      </rPr>
      <t>用于下</t>
    </r>
    <r>
      <rPr>
        <sz val="10"/>
        <rFont val="宋体"/>
        <family val="3"/>
        <charset val="134"/>
      </rPr>
      <t>线刷写</t>
    </r>
    <phoneticPr fontId="8" type="noConversion"/>
  </si>
  <si>
    <t>0x7E0</t>
    <phoneticPr fontId="8" type="noConversion"/>
  </si>
  <si>
    <t>E</t>
    <phoneticPr fontId="8" type="noConversion"/>
  </si>
  <si>
    <t>/</t>
    <phoneticPr fontId="8" type="noConversion"/>
  </si>
  <si>
    <t>VCU</t>
    <phoneticPr fontId="8" type="noConversion"/>
  </si>
  <si>
    <t>0x7E8</t>
    <phoneticPr fontId="8" type="noConversion"/>
  </si>
  <si>
    <t>X</t>
    <phoneticPr fontId="8" type="noConversion"/>
  </si>
  <si>
    <t>GW</t>
    <phoneticPr fontId="8" type="noConversion"/>
  </si>
  <si>
    <t>VCU</t>
    <phoneticPr fontId="8" type="noConversion"/>
  </si>
  <si>
    <t>HVH_Sts</t>
    <phoneticPr fontId="8" type="noConversion"/>
  </si>
  <si>
    <t>HV-PTC Status</t>
    <phoneticPr fontId="8" type="noConversion"/>
  </si>
  <si>
    <r>
      <rPr>
        <b/>
        <i/>
        <sz val="8"/>
        <rFont val="Arial"/>
        <family val="2"/>
      </rPr>
      <t>GW:</t>
    </r>
    <r>
      <rPr>
        <sz val="8"/>
        <rFont val="Arial"/>
        <family val="2"/>
      </rPr>
      <t>1.Add signal “ACCmprOnOffIconCmd” from message AC2(0x385).
2.Add signal "HVH_Sts" in message AC1(0x29D).</t>
    </r>
    <r>
      <rPr>
        <b/>
        <i/>
        <sz val="8"/>
        <rFont val="Arial"/>
        <family val="2"/>
      </rPr>
      <t xml:space="preserve">
VCU:</t>
    </r>
    <r>
      <rPr>
        <sz val="8"/>
        <rFont val="Arial"/>
        <family val="2"/>
      </rPr>
      <t xml:space="preserve">1.Add signal “VCU_FaultLvl” in message VCU5(0x31B).
2.Receive signal “VDCActive” from message ESP1(0X149).
3.Receive signal “HDCControl” from message ESP2 (0X145).
4.Receive signal “ACCmprOnOffIconCmd” from message AC2(0x385).
5.Receive signal “BMS_SOE” from message BMS5(0x29A).
6.Change coding of signal “VCU_WordDisp” in message VCU2(0x194).
7.Receive signal "HVH_Sts" from message AC1(0x29D).
</t>
    </r>
    <r>
      <rPr>
        <b/>
        <sz val="8"/>
        <rFont val="Arial"/>
        <family val="2"/>
      </rPr>
      <t xml:space="preserve">
Private_Message:</t>
    </r>
    <r>
      <rPr>
        <sz val="8"/>
        <rFont val="Arial"/>
        <family val="2"/>
      </rPr>
      <t xml:space="preserve">
1.Add messages 0x7E0 and 0x7E8.
</t>
    </r>
    <r>
      <rPr>
        <b/>
        <i/>
        <sz val="8"/>
        <rFont val="Arial"/>
        <family val="2"/>
      </rPr>
      <t>GW:</t>
    </r>
    <r>
      <rPr>
        <sz val="8"/>
        <rFont val="Arial"/>
        <family val="2"/>
      </rPr>
      <t>1.Receive messages 0x7E0 and 0x7E8.</t>
    </r>
    <phoneticPr fontId="8" type="noConversion"/>
  </si>
  <si>
    <t>0x0:No cooling 
0x1:passive cooling 
0x2:Active cooling 
0x3:Transient cooling</t>
    <phoneticPr fontId="0" type="noConversion"/>
  </si>
  <si>
    <t>/</t>
    <phoneticPr fontId="8" type="noConversion"/>
  </si>
  <si>
    <t xml:space="preserve">    MSRActive</t>
    <phoneticPr fontId="0" type="noConversion"/>
  </si>
  <si>
    <t>First valid signal duration(ms) Tx</t>
    <phoneticPr fontId="8" type="noConversion"/>
  </si>
  <si>
    <t>0X0:Not active
0X1:Active</t>
    <phoneticPr fontId="0" type="noConversion"/>
  </si>
  <si>
    <t>P</t>
    <phoneticPr fontId="0" type="noConversion"/>
  </si>
  <si>
    <t>/</t>
    <phoneticPr fontId="0" type="noConversion"/>
  </si>
  <si>
    <t>VCU,MCU,BMS,ESP,GW</t>
    <phoneticPr fontId="8" type="noConversion"/>
  </si>
  <si>
    <t>V1.5</t>
    <phoneticPr fontId="8" type="noConversion"/>
  </si>
  <si>
    <t>0:abormal operation 
2:Normal operation
 4:Sleep indication 
8:Sleep acknowledge 
1,3,5,6,7,9-F:Reserved</t>
    <phoneticPr fontId="0" type="noConversion"/>
  </si>
  <si>
    <t>0x2E5</t>
    <phoneticPr fontId="0" type="noConversion"/>
  </si>
  <si>
    <t>MCU9</t>
    <phoneticPr fontId="0" type="noConversion"/>
  </si>
  <si>
    <t>0x00-0xFA:Valid
0XFB-0xFF:reserved</t>
    <phoneticPr fontId="0" type="noConversion"/>
  </si>
  <si>
    <t xml:space="preserve">0x000-0x4B0:Valid
0x4B1-0x7FF:Reserved
</t>
    <phoneticPr fontId="0" type="noConversion"/>
  </si>
  <si>
    <t>0x000-0x7D0:Valid</t>
    <phoneticPr fontId="0" type="noConversion"/>
  </si>
  <si>
    <t>0x000-0x3E8:Valid</t>
    <phoneticPr fontId="0" type="noConversion"/>
  </si>
  <si>
    <t>x</t>
    <phoneticPr fontId="0" type="noConversion"/>
  </si>
  <si>
    <t>x</t>
    <phoneticPr fontId="0" type="noConversion"/>
  </si>
  <si>
    <t>x</t>
    <phoneticPr fontId="0" type="noConversion"/>
  </si>
  <si>
    <t>x</t>
    <phoneticPr fontId="0" type="noConversion"/>
  </si>
  <si>
    <t>x</t>
    <phoneticPr fontId="0" type="noConversion"/>
  </si>
  <si>
    <t xml:space="preserve"> x</t>
    <phoneticPr fontId="0" type="noConversion"/>
  </si>
  <si>
    <t>x</t>
    <phoneticPr fontId="0" type="noConversion"/>
  </si>
  <si>
    <t>x</t>
    <phoneticPr fontId="0" type="noConversion"/>
  </si>
  <si>
    <t>x</t>
    <phoneticPr fontId="0" type="noConversion"/>
  </si>
  <si>
    <t>x</t>
    <phoneticPr fontId="0" type="noConversion"/>
  </si>
  <si>
    <t>x</t>
    <phoneticPr fontId="0" type="noConversion"/>
  </si>
  <si>
    <t>x</t>
    <phoneticPr fontId="0" type="noConversion"/>
  </si>
  <si>
    <t>x</t>
    <phoneticPr fontId="0" type="noConversion"/>
  </si>
  <si>
    <t>x</t>
    <phoneticPr fontId="0" type="noConversion"/>
  </si>
  <si>
    <t>x</t>
    <phoneticPr fontId="0" type="noConversion"/>
  </si>
  <si>
    <t>x</t>
    <phoneticPr fontId="0" type="noConversion"/>
  </si>
  <si>
    <t>x</t>
    <phoneticPr fontId="0" type="noConversion"/>
  </si>
  <si>
    <t>x</t>
    <phoneticPr fontId="0" type="noConversion"/>
  </si>
  <si>
    <t>x</t>
    <phoneticPr fontId="0" type="noConversion"/>
  </si>
  <si>
    <t>x</t>
    <phoneticPr fontId="0" type="noConversion"/>
  </si>
  <si>
    <t>BMS_BattHeatrOverTemp</t>
    <phoneticPr fontId="8" type="noConversion"/>
  </si>
  <si>
    <r>
      <t>indicating MSR</t>
    </r>
    <r>
      <rPr>
        <sz val="10"/>
        <rFont val="宋体"/>
        <family val="3"/>
        <charset val="134"/>
      </rPr>
      <t>（</t>
    </r>
    <r>
      <rPr>
        <sz val="10"/>
        <rFont val="Arial"/>
        <family val="2"/>
      </rPr>
      <t>DTC</t>
    </r>
    <r>
      <rPr>
        <sz val="10"/>
        <rFont val="宋体"/>
        <family val="3"/>
        <charset val="134"/>
      </rPr>
      <t>）</t>
    </r>
    <r>
      <rPr>
        <sz val="10"/>
        <rFont val="Arial"/>
        <family val="2"/>
      </rPr>
      <t xml:space="preserve"> in active control or not.</t>
    </r>
    <phoneticPr fontId="0" type="noConversion"/>
  </si>
  <si>
    <t>BMS_ContnsFBPowerMax</t>
    <phoneticPr fontId="8" type="noConversion"/>
  </si>
  <si>
    <t>BMS_ContnsDchrgPowerMax</t>
    <phoneticPr fontId="8" type="noConversion"/>
  </si>
  <si>
    <t>0x0000-0x7D0:Valid
0x7D1-0x1FFF:Reserved</t>
    <phoneticPr fontId="0" type="noConversion"/>
  </si>
  <si>
    <t>KW</t>
    <phoneticPr fontId="0" type="noConversion"/>
  </si>
  <si>
    <t>0.1KW</t>
    <phoneticPr fontId="0" type="noConversion"/>
  </si>
  <si>
    <t>0x0000-0x7D0:Valid
0x7D1-0x1FFF:Reserved</t>
    <phoneticPr fontId="0" type="noConversion"/>
  </si>
  <si>
    <t>/</t>
    <phoneticPr fontId="0" type="noConversion"/>
  </si>
  <si>
    <t>BMS_PlsDchrgPowerMax</t>
    <phoneticPr fontId="8" type="noConversion"/>
  </si>
  <si>
    <t>BMS_PlsFBPowerMax</t>
    <phoneticPr fontId="8" type="noConversion"/>
  </si>
  <si>
    <t>0x0:No error;
0x1:warning; 
0x2:derating;
0x3:shut down; 
0x4:shut down; 
0x5:Emergency to shut down; 
0x6:Emergency to shut down and locked;
0x7-0xF:Reserved</t>
    <phoneticPr fontId="0" type="noConversion"/>
  </si>
  <si>
    <t>maximum permit 10S discharge Power</t>
    <phoneticPr fontId="8" type="noConversion"/>
  </si>
  <si>
    <t>maximum permit10S feedback Power</t>
    <phoneticPr fontId="8" type="noConversion"/>
  </si>
  <si>
    <t>maximum permit 5S discharge Power</t>
    <phoneticPr fontId="8" type="noConversion"/>
  </si>
  <si>
    <t>maximum permit 5S feedback Power</t>
    <phoneticPr fontId="8" type="noConversion"/>
  </si>
  <si>
    <t>ABS control active - Indication that ESP system (especially ABS module) currently performs a brake intervention.Set when ABSActive or EBD active.</t>
    <phoneticPr fontId="0" type="noConversion"/>
  </si>
  <si>
    <t>CDPValid</t>
    <phoneticPr fontId="0" type="noConversion"/>
  </si>
  <si>
    <t>/</t>
    <phoneticPr fontId="8" type="noConversion"/>
  </si>
  <si>
    <t>X</t>
    <phoneticPr fontId="0" type="noConversion"/>
  </si>
  <si>
    <t>VehicleSpeed</t>
    <phoneticPr fontId="0" type="noConversion"/>
  </si>
  <si>
    <t>BGSQ-CH141E-MCU-005
BGSQ-CH141E-ESP-002
BGSQ-CH141E-BCM-003
BGSQ-CH141E-TBK-003
BGSQ-CH141E-IP -001</t>
    <phoneticPr fontId="8" type="noConversion"/>
  </si>
  <si>
    <r>
      <t xml:space="preserve">
CF-CAN:To HUT,IP
SE-CAN</t>
    </r>
    <r>
      <rPr>
        <sz val="10"/>
        <rFont val="宋体"/>
        <family val="3"/>
        <charset val="134"/>
      </rPr>
      <t>：</t>
    </r>
    <r>
      <rPr>
        <sz val="10"/>
        <rFont val="Arial"/>
        <family val="2"/>
      </rPr>
      <t>To TBK</t>
    </r>
    <phoneticPr fontId="0" type="noConversion"/>
  </si>
  <si>
    <t>VCU7</t>
    <phoneticPr fontId="8" type="noConversion"/>
  </si>
  <si>
    <t>0x28B</t>
  </si>
  <si>
    <t>Motorola</t>
    <phoneticPr fontId="0" type="noConversion"/>
  </si>
  <si>
    <t>Unsigned</t>
    <phoneticPr fontId="0" type="noConversion"/>
  </si>
  <si>
    <t>Km</t>
    <phoneticPr fontId="6" type="noConversion"/>
  </si>
  <si>
    <t>VCU_RemainDistance</t>
    <phoneticPr fontId="6" type="noConversion"/>
  </si>
  <si>
    <t>X</t>
    <phoneticPr fontId="0" type="noConversion"/>
  </si>
  <si>
    <t>0x00:No crash
0x01:Reserved
0x02:Front First level
0x03:rear crash
0x04-0x07:Reserved
0x08:Right hand side
0x09-0x0F:Reserved
0x10:Left hand side
0x11-0xFF:Reserved</t>
    <phoneticPr fontId="0" type="noConversion"/>
  </si>
  <si>
    <r>
      <t>CF_CAN:BCM
SE-CAN:To TBK
Normal status message period is defined as 500ms.If any crash event is recognized and deploy decision sent</t>
    </r>
    <r>
      <rPr>
        <sz val="10"/>
        <rFont val="宋体"/>
        <family val="3"/>
        <charset val="134"/>
      </rPr>
      <t>，</t>
    </r>
    <r>
      <rPr>
        <sz val="10"/>
        <rFont val="Arial"/>
        <family val="2"/>
      </rPr>
      <t xml:space="preserve"> the message is sent immediately</t>
    </r>
    <r>
      <rPr>
        <sz val="10"/>
        <rFont val="宋体"/>
        <family val="3"/>
        <charset val="134"/>
      </rPr>
      <t>，</t>
    </r>
    <r>
      <rPr>
        <sz val="10"/>
        <rFont val="Arial"/>
        <family val="2"/>
      </rPr>
      <t>the period is 20ms lasted for 5 times, this message is defined as crash status. After 5 times, recovery to normal status. If another deploy decision is sent during last crash status message output period, the new crash out message will not be sent, except the depoy decision out of the last crash out message course.
0x00   Startup / Default
Receiver: If the signal's value is reserved, the Receiver will use no crash.</t>
    </r>
    <phoneticPr fontId="0" type="noConversion"/>
  </si>
  <si>
    <r>
      <t>MCU:
1.Change the P-Maximum of the signal "MCU_CoolPumpOpenReq" from "1"to"3" in the message MCU3(0x0FB).
2.Delete the signal"VCU_MCUSpdsetpoint"in the message VCU1(0x0CF).
3.MCU and BMS don't receive the signal "VCU_MCUSpdsetpoint"in the message VCU1(0x0CF).
4.Change coding of signal “TM_InvActTemp_RM” in message MCU8 (0x2E3)
5.Change coding of signal “TM_ActRotSpd_RM” in message MCU8 (0x2E3)
6.Change coding of signal “TM_ActTrq_RM” in message MCU8 (0x2E3
7.Change coding of signal “TM_ActHvCurr_RM” in message MCU9 (0x2E5)
8.Change coding of signal “TM_ActHvVolt_RM” in message MCU9 (0x2E5)
9.Change coding of signal “TM_ActTemp_RM” in message MCU9 (0x2E5)
ESP:
1.Add signal “MSRActive” in message ESP1</t>
    </r>
    <r>
      <rPr>
        <sz val="8"/>
        <rFont val="宋体"/>
        <family val="3"/>
        <charset val="134"/>
      </rPr>
      <t>（</t>
    </r>
    <r>
      <rPr>
        <sz val="8"/>
        <rFont val="Arial"/>
        <family val="2"/>
      </rPr>
      <t>0X149</t>
    </r>
    <r>
      <rPr>
        <sz val="8"/>
        <rFont val="宋体"/>
        <family val="3"/>
        <charset val="134"/>
      </rPr>
      <t>）</t>
    </r>
    <r>
      <rPr>
        <sz val="8"/>
        <rFont val="Arial"/>
        <family val="2"/>
      </rPr>
      <t>.
VCU:
1.Receive signal “MSRActive” from message ESP1</t>
    </r>
    <r>
      <rPr>
        <sz val="8"/>
        <rFont val="宋体"/>
        <family val="3"/>
        <charset val="134"/>
      </rPr>
      <t>（</t>
    </r>
    <r>
      <rPr>
        <sz val="8"/>
        <rFont val="Arial"/>
        <family val="2"/>
      </rPr>
      <t>0X149</t>
    </r>
    <r>
      <rPr>
        <sz val="8"/>
        <rFont val="宋体"/>
        <family val="3"/>
        <charset val="134"/>
      </rPr>
      <t>）</t>
    </r>
    <r>
      <rPr>
        <sz val="8"/>
        <rFont val="Arial"/>
        <family val="2"/>
      </rPr>
      <t>.
GW:
1.Receive signal “ABSActive” from message ESP_ABS3 (0x265).
2.Receive  the signals  based on vehicle information and regulations Requirement.
3.Delete signals“PassSeatBeltWarnLmpFailrSts”from message IP2</t>
    </r>
    <r>
      <rPr>
        <sz val="8"/>
        <rFont val="宋体"/>
        <family val="3"/>
        <charset val="134"/>
      </rPr>
      <t>（</t>
    </r>
    <r>
      <rPr>
        <sz val="8"/>
        <rFont val="Arial"/>
        <family val="2"/>
      </rPr>
      <t>0x27F</t>
    </r>
    <r>
      <rPr>
        <sz val="8"/>
        <rFont val="宋体"/>
        <family val="3"/>
        <charset val="134"/>
      </rPr>
      <t>）</t>
    </r>
    <r>
      <rPr>
        <sz val="8"/>
        <rFont val="Arial"/>
        <family val="2"/>
      </rPr>
      <t>.
4.Don’t receive signal “CDPValid”from message ESP2</t>
    </r>
    <r>
      <rPr>
        <sz val="8"/>
        <rFont val="宋体"/>
        <family val="3"/>
        <charset val="134"/>
      </rPr>
      <t>（</t>
    </r>
    <r>
      <rPr>
        <sz val="8"/>
        <rFont val="Arial"/>
        <family val="2"/>
      </rPr>
      <t>0X145</t>
    </r>
    <r>
      <rPr>
        <sz val="8"/>
        <rFont val="宋体"/>
        <family val="3"/>
        <charset val="134"/>
      </rPr>
      <t>）</t>
    </r>
    <r>
      <rPr>
        <sz val="8"/>
        <rFont val="Arial"/>
        <family val="2"/>
      </rPr>
      <t>.
BMS:
1.Change “BMS_ContnsDchrgCurrMax”</t>
    </r>
    <r>
      <rPr>
        <sz val="8"/>
        <rFont val="宋体"/>
        <family val="3"/>
        <charset val="134"/>
      </rPr>
      <t>、</t>
    </r>
    <r>
      <rPr>
        <sz val="8"/>
        <rFont val="Arial"/>
        <family val="2"/>
      </rPr>
      <t>“BMS_ContnsFBCurrMax”</t>
    </r>
    <r>
      <rPr>
        <sz val="8"/>
        <rFont val="宋体"/>
        <family val="3"/>
        <charset val="134"/>
      </rPr>
      <t>、</t>
    </r>
    <r>
      <rPr>
        <sz val="8"/>
        <rFont val="Arial"/>
        <family val="2"/>
      </rPr>
      <t>“BMS_PlsDchrgCurrMax”</t>
    </r>
    <r>
      <rPr>
        <sz val="8"/>
        <rFont val="宋体"/>
        <family val="3"/>
        <charset val="134"/>
      </rPr>
      <t>、</t>
    </r>
    <r>
      <rPr>
        <sz val="8"/>
        <rFont val="Arial"/>
        <family val="2"/>
      </rPr>
      <t>“BMS_PlsFBCurrMax” into “BMS_ContnsDchrgPowerMax”</t>
    </r>
    <r>
      <rPr>
        <sz val="8"/>
        <rFont val="宋体"/>
        <family val="3"/>
        <charset val="134"/>
      </rPr>
      <t>、</t>
    </r>
    <r>
      <rPr>
        <sz val="8"/>
        <rFont val="Arial"/>
        <family val="2"/>
      </rPr>
      <t>“BMS_ContnsFBPowerMax”</t>
    </r>
    <r>
      <rPr>
        <sz val="8"/>
        <rFont val="宋体"/>
        <family val="3"/>
        <charset val="134"/>
      </rPr>
      <t>、</t>
    </r>
    <r>
      <rPr>
        <sz val="8"/>
        <rFont val="Arial"/>
        <family val="2"/>
      </rPr>
      <t>“BMS_PlsDchrgPowerMax”</t>
    </r>
    <r>
      <rPr>
        <sz val="8"/>
        <rFont val="宋体"/>
        <family val="3"/>
        <charset val="134"/>
      </rPr>
      <t>、</t>
    </r>
    <r>
      <rPr>
        <sz val="8"/>
        <rFont val="Arial"/>
        <family val="2"/>
      </rPr>
      <t>“BMS_PlsFBPowerMax” in message BMS2(0x0F2), and change the P-Maximum/Unit and coding</t>
    </r>
    <r>
      <rPr>
        <sz val="8"/>
        <rFont val="宋体"/>
        <family val="3"/>
        <charset val="134"/>
      </rPr>
      <t xml:space="preserve">。
</t>
    </r>
    <r>
      <rPr>
        <sz val="8"/>
        <rFont val="Arial"/>
        <family val="2"/>
      </rPr>
      <t>2.Change the coding of "BMS_SysFaultLvl " in message BMS1(0x0F1).
3.Delete the signal “BMS_PosRlyLifeWarn”/“ BMS_NegRlyLifeWarn”/“ BMS_PreRlyLifeWarn”/“ BMS_HeatRlyLifeWarn”/” BMS_DCChrgRlyLifeWarn” in message BMS4(0x286).
4.Delete the signal “BMS_DCChrgPRlyLifeWarn”/“ BMS_DCChrgNRlyLifeWarn” in message BMS6(0x2FF).
5.Delete the signal ” BMS_PosRlyLife”/” BMS_NegRlyLife”/” BMS_PreRlyLife”/” BMS_HeatRlyLife” in message BMS30(0x3C4).
6.Delete signal “BMS_DCChrgNegRlyLife”</t>
    </r>
    <r>
      <rPr>
        <sz val="8"/>
        <rFont val="宋体"/>
        <family val="3"/>
        <charset val="134"/>
      </rPr>
      <t>、</t>
    </r>
    <r>
      <rPr>
        <sz val="8"/>
        <rFont val="Arial"/>
        <family val="2"/>
      </rPr>
      <t>“BMS_DCChrgPosRlyLife” in message BMS31(0x3C6).
7.Delete signal ” CheckSum_BMS13”/” RollingCounter_BMS13” in message BMS13(0x2E4).</t>
    </r>
    <phoneticPr fontId="8" type="noConversion"/>
  </si>
  <si>
    <t>0x351</t>
    <phoneticPr fontId="0" type="noConversion"/>
  </si>
  <si>
    <t>Indicates the Crash Output Status</t>
    <phoneticPr fontId="8" type="noConversion"/>
  </si>
  <si>
    <t>CrashOutputSts</t>
    <phoneticPr fontId="0" type="noConversion"/>
  </si>
  <si>
    <t>Swt_KeyOn</t>
    <phoneticPr fontId="29" type="noConversion"/>
  </si>
  <si>
    <t>VCU</t>
    <phoneticPr fontId="0" type="noConversion"/>
  </si>
  <si>
    <t>VCU_AuthPassed</t>
    <phoneticPr fontId="0" type="noConversion"/>
  </si>
  <si>
    <t>VCU anti-theft related signals, VCU send to TBK</t>
    <phoneticPr fontId="0" type="noConversion"/>
  </si>
  <si>
    <t xml:space="preserve"> VCU anti-theft authentication</t>
    <phoneticPr fontId="0" type="noConversion"/>
  </si>
  <si>
    <t>VCU7</t>
    <phoneticPr fontId="0" type="noConversion"/>
  </si>
  <si>
    <t>0x28B</t>
    <phoneticPr fontId="0" type="noConversion"/>
  </si>
  <si>
    <t>/</t>
    <phoneticPr fontId="0" type="noConversion"/>
  </si>
  <si>
    <t>/</t>
    <phoneticPr fontId="0" type="noConversion"/>
  </si>
  <si>
    <t>0x0</t>
    <phoneticPr fontId="0" type="noConversion"/>
  </si>
  <si>
    <t>/</t>
    <phoneticPr fontId="0" type="noConversion"/>
  </si>
  <si>
    <t>0x0: inactive
0x1: active</t>
    <phoneticPr fontId="0" type="noConversion"/>
  </si>
  <si>
    <t>X</t>
    <phoneticPr fontId="0" type="noConversion"/>
  </si>
  <si>
    <t>0x0: Inactive
0x1: Active</t>
    <phoneticPr fontId="0" type="noConversion"/>
  </si>
  <si>
    <t xml:space="preserve">0x0: (Blower) off
0x1 - 0x8: Blower level 1 - 8
0x9 - 0xE: Reserved
0xF: Ini
</t>
    <phoneticPr fontId="0" type="noConversion"/>
  </si>
  <si>
    <t>TBK,GW,IP,VCU,  RMC,E-Park</t>
    <phoneticPr fontId="8" type="noConversion"/>
  </si>
  <si>
    <t>Xing Shixue</t>
    <phoneticPr fontId="8" type="noConversion"/>
  </si>
  <si>
    <t>V2.0</t>
    <phoneticPr fontId="8" type="noConversion"/>
  </si>
  <si>
    <t>GW ,VCU,MCU,ABM, TBK,IP,VSG,SBWM, HUT,ESP</t>
    <phoneticPr fontId="8" type="noConversion"/>
  </si>
  <si>
    <t>0x00-0xFF:Valid</t>
    <phoneticPr fontId="0" type="noConversion"/>
  </si>
  <si>
    <t>TM_FailCode</t>
    <phoneticPr fontId="8" type="noConversion"/>
  </si>
  <si>
    <t>VCU_HvpackRlysts</t>
    <phoneticPr fontId="0" type="noConversion"/>
  </si>
  <si>
    <t>ABSCtrlActive</t>
    <phoneticPr fontId="0" type="noConversion"/>
  </si>
  <si>
    <t>ABSActive</t>
    <phoneticPr fontId="0" type="noConversion"/>
  </si>
  <si>
    <t>ESP_ABS3</t>
    <phoneticPr fontId="0" type="noConversion"/>
  </si>
  <si>
    <t>X</t>
    <phoneticPr fontId="0" type="noConversion"/>
  </si>
  <si>
    <t>0xFFFFFF</t>
    <phoneticPr fontId="8" type="noConversion"/>
  </si>
  <si>
    <t>0x00000-0x98967F:Valid
0x989680-0xFFFFFF:Invalid</t>
    <phoneticPr fontId="0" type="noConversion"/>
  </si>
  <si>
    <t>X</t>
    <phoneticPr fontId="0" type="noConversion"/>
  </si>
  <si>
    <t>X</t>
    <phoneticPr fontId="0" type="noConversion"/>
  </si>
  <si>
    <t>SteerWheelAngle</t>
    <phoneticPr fontId="0" type="noConversion"/>
  </si>
  <si>
    <t>SteerWheelRotSpd</t>
    <phoneticPr fontId="0" type="noConversion"/>
  </si>
  <si>
    <t>VCU_BMSIsolationDetdReq</t>
    <phoneticPr fontId="6" type="noConversion"/>
  </si>
  <si>
    <t>X</t>
    <phoneticPr fontId="0" type="noConversion"/>
  </si>
  <si>
    <t>X</t>
    <phoneticPr fontId="0" type="noConversion"/>
  </si>
  <si>
    <t>x</t>
    <phoneticPr fontId="0" type="noConversion"/>
  </si>
  <si>
    <t>X</t>
    <phoneticPr fontId="0" type="noConversion"/>
  </si>
  <si>
    <t>V2.1</t>
  </si>
  <si>
    <t>BSGQ-CH141E-MCU-006
BSGQ-CH141E-MCU-007
BGSQ-CH141E-VCU-003
BGSQ-CH141E-ABM-001
BGSQ-CH141E-ESP-003
BGSQ-CH141E-IP-002
BGSQ-CH141E-EPS-001</t>
    <phoneticPr fontId="8" type="noConversion"/>
  </si>
  <si>
    <t>VCU_MCUTrqSetPoint</t>
    <phoneticPr fontId="8" type="noConversion"/>
  </si>
  <si>
    <t xml:space="preserve">
SE-CAN:To TBK</t>
    <phoneticPr fontId="0" type="noConversion"/>
  </si>
  <si>
    <t>CF-CAN:To AC
SE-CAN:To TBK</t>
    <phoneticPr fontId="0" type="noConversion"/>
  </si>
  <si>
    <t>CF-CAN:To AC
SE-CAN:To TBK</t>
    <phoneticPr fontId="0" type="noConversion"/>
  </si>
  <si>
    <t>CF-CAN: To AC
SE-CAN:To TBK</t>
    <phoneticPr fontId="0" type="noConversion"/>
  </si>
  <si>
    <t xml:space="preserve">
CF-CAN:To IP 
SE-CAN:To TBK</t>
    <phoneticPr fontId="0" type="noConversion"/>
  </si>
  <si>
    <t xml:space="preserve">
CF-CAN:To IP
SE-CAN:To TBK</t>
    <phoneticPr fontId="0" type="noConversion"/>
  </si>
  <si>
    <t>SE-CAN:To TBK</t>
    <phoneticPr fontId="0" type="noConversion"/>
  </si>
  <si>
    <t>This Torque is TM(Traction Motor) output shaft level.
SE-CAN:To TBK</t>
    <phoneticPr fontId="0" type="noConversion"/>
  </si>
  <si>
    <t>CF-CAN:To HUT
SE-CAN:To TBK</t>
    <phoneticPr fontId="0" type="noConversion"/>
  </si>
  <si>
    <r>
      <t>CF-CAN:To HUT</t>
    </r>
    <r>
      <rPr>
        <sz val="10"/>
        <rFont val="宋体"/>
        <family val="3"/>
        <charset val="134"/>
      </rPr>
      <t>，</t>
    </r>
    <r>
      <rPr>
        <sz val="10"/>
        <rFont val="Arial"/>
        <family val="2"/>
      </rPr>
      <t>IP
SE-CAN:To TBK</t>
    </r>
    <phoneticPr fontId="0" type="noConversion"/>
  </si>
  <si>
    <t>VCU4</t>
    <phoneticPr fontId="0" type="noConversion"/>
  </si>
  <si>
    <t>x</t>
    <phoneticPr fontId="0" type="noConversion"/>
  </si>
  <si>
    <t>J</t>
    <phoneticPr fontId="16" type="noConversion"/>
  </si>
  <si>
    <t>0x0:off
0x1:active
0x2:stand by
0x3:reserved</t>
    <phoneticPr fontId="29" type="noConversion"/>
  </si>
  <si>
    <t>/</t>
    <phoneticPr fontId="6" type="noConversion"/>
  </si>
  <si>
    <t>0x0:Reserved
0x1:P
0x2:R
0x3:N
0x4:D
0x5:S
0x6:E
0x7:Reserved</t>
    <phoneticPr fontId="29" type="noConversion"/>
  </si>
  <si>
    <t>VCU_CrpEna</t>
    <phoneticPr fontId="29" type="noConversion"/>
  </si>
  <si>
    <t>VCU_GlideEna</t>
    <phoneticPr fontId="29" type="noConversion"/>
  </si>
  <si>
    <t>J</t>
  </si>
  <si>
    <t>VCU_SpclSceneNum</t>
  </si>
  <si>
    <t>VCU Special Scene Number</t>
  </si>
  <si>
    <t>0x294</t>
  </si>
  <si>
    <t>0x00</t>
  </si>
  <si>
    <t>X</t>
    <phoneticPr fontId="0" type="noConversion"/>
  </si>
  <si>
    <t>BGSQ-CH141E-VCU-004
BGSQ-CH141E-ESP-004
BGSQ-CH141E-MCU-008</t>
    <phoneticPr fontId="8" type="noConversion"/>
  </si>
  <si>
    <t>J</t>
    <phoneticPr fontId="16" type="noConversion"/>
  </si>
  <si>
    <t>VCU</t>
    <phoneticPr fontId="6" type="noConversion"/>
  </si>
  <si>
    <t>VCU_DrvMod</t>
    <phoneticPr fontId="0" type="noConversion"/>
  </si>
  <si>
    <t>drive model</t>
    <phoneticPr fontId="0" type="noConversion"/>
  </si>
  <si>
    <t>/</t>
    <phoneticPr fontId="0" type="noConversion"/>
  </si>
  <si>
    <t>VCU2</t>
    <phoneticPr fontId="8" type="noConversion"/>
  </si>
  <si>
    <t>0x194</t>
    <phoneticPr fontId="8" type="noConversion"/>
  </si>
  <si>
    <t>P</t>
    <phoneticPr fontId="0" type="noConversion"/>
  </si>
  <si>
    <t>/</t>
    <phoneticPr fontId="6" type="noConversion"/>
  </si>
  <si>
    <t>Motorola</t>
    <phoneticPr fontId="0" type="noConversion"/>
  </si>
  <si>
    <t>Unsigned</t>
    <phoneticPr fontId="0" type="noConversion"/>
  </si>
  <si>
    <t>0x04</t>
    <phoneticPr fontId="0" type="noConversion"/>
  </si>
  <si>
    <t>CF-CAN:To IP</t>
    <phoneticPr fontId="0" type="noConversion"/>
  </si>
  <si>
    <t>Xing Shixue</t>
    <phoneticPr fontId="8" type="noConversion"/>
  </si>
  <si>
    <t>/</t>
    <phoneticPr fontId="8" type="noConversion"/>
  </si>
  <si>
    <t xml:space="preserve">0x00: Normal Mode
0x01: Sport Mode
0x02: ECO Mode
0x03: ECO Plus    
0x04-0x07:Reserve   
</t>
    <phoneticPr fontId="0" type="noConversion"/>
  </si>
  <si>
    <r>
      <t>GW:
1.Receive the signals “VCU_MCUTrqSetPoint”</t>
    </r>
    <r>
      <rPr>
        <sz val="8"/>
        <rFont val="宋体"/>
        <family val="3"/>
        <charset val="134"/>
      </rPr>
      <t>、</t>
    </r>
    <r>
      <rPr>
        <sz val="8"/>
        <rFont val="Arial"/>
        <family val="2"/>
      </rPr>
      <t>“VCU_CrashOutputSts”</t>
    </r>
    <r>
      <rPr>
        <sz val="8"/>
        <rFont val="宋体"/>
        <family val="3"/>
        <charset val="134"/>
      </rPr>
      <t>、</t>
    </r>
    <r>
      <rPr>
        <sz val="8"/>
        <rFont val="Arial"/>
        <family val="2"/>
      </rPr>
      <t>“VCU_MCUModReq”</t>
    </r>
    <r>
      <rPr>
        <sz val="8"/>
        <rFont val="宋体"/>
        <family val="3"/>
        <charset val="134"/>
      </rPr>
      <t>、</t>
    </r>
    <r>
      <rPr>
        <sz val="8"/>
        <rFont val="Arial"/>
        <family val="2"/>
      </rPr>
      <t>“VCU_ChrgEnable”</t>
    </r>
    <r>
      <rPr>
        <sz val="8"/>
        <rFont val="宋体"/>
        <family val="3"/>
        <charset val="134"/>
      </rPr>
      <t>、</t>
    </r>
    <r>
      <rPr>
        <sz val="8"/>
        <rFont val="Arial"/>
        <family val="2"/>
      </rPr>
      <t>“VCU_BMSIsolationDetdReq”</t>
    </r>
    <r>
      <rPr>
        <sz val="8"/>
        <rFont val="宋体"/>
        <family val="3"/>
        <charset val="134"/>
      </rPr>
      <t>、</t>
    </r>
    <r>
      <rPr>
        <sz val="8"/>
        <rFont val="Arial"/>
        <family val="2"/>
      </rPr>
      <t xml:space="preserve">“VCU_VirtualPedal” in the message VCU1(0x0CF). </t>
    </r>
    <r>
      <rPr>
        <sz val="8"/>
        <rFont val="宋体"/>
        <family val="3"/>
        <charset val="134"/>
      </rPr>
      <t>（</t>
    </r>
    <r>
      <rPr>
        <sz val="8"/>
        <rFont val="Arial"/>
        <family val="2"/>
      </rPr>
      <t>GW</t>
    </r>
    <r>
      <rPr>
        <sz val="8"/>
        <rFont val="宋体"/>
        <family val="3"/>
        <charset val="134"/>
      </rPr>
      <t>、</t>
    </r>
    <r>
      <rPr>
        <sz val="8"/>
        <rFont val="Arial"/>
        <family val="2"/>
      </rPr>
      <t>VCU</t>
    </r>
    <r>
      <rPr>
        <sz val="8"/>
        <rFont val="宋体"/>
        <family val="3"/>
        <charset val="134"/>
      </rPr>
      <t xml:space="preserve">）
</t>
    </r>
    <r>
      <rPr>
        <sz val="8"/>
        <rFont val="Arial"/>
        <family val="2"/>
      </rPr>
      <t>2.Receive the signals “VCU_DCDCLvSetPoint”</t>
    </r>
    <r>
      <rPr>
        <sz val="8"/>
        <rFont val="宋体"/>
        <family val="3"/>
        <charset val="134"/>
      </rPr>
      <t>、</t>
    </r>
    <r>
      <rPr>
        <sz val="8"/>
        <rFont val="Arial"/>
        <family val="2"/>
      </rPr>
      <t>“VCU_EPSEnable”</t>
    </r>
    <r>
      <rPr>
        <sz val="8"/>
        <rFont val="宋体"/>
        <family val="3"/>
        <charset val="134"/>
      </rPr>
      <t>、</t>
    </r>
    <r>
      <rPr>
        <sz val="8"/>
        <rFont val="Arial"/>
        <family val="2"/>
      </rPr>
      <t>“VCU_ParkReq”</t>
    </r>
    <r>
      <rPr>
        <sz val="8"/>
        <rFont val="宋体"/>
        <family val="3"/>
        <charset val="134"/>
      </rPr>
      <t>、</t>
    </r>
    <r>
      <rPr>
        <sz val="8"/>
        <rFont val="Arial"/>
        <family val="2"/>
      </rPr>
      <t>“VCU_DCDCOperMod”</t>
    </r>
    <r>
      <rPr>
        <sz val="8"/>
        <rFont val="宋体"/>
        <family val="3"/>
        <charset val="134"/>
      </rPr>
      <t>、</t>
    </r>
    <r>
      <rPr>
        <sz val="8"/>
        <rFont val="Arial"/>
        <family val="2"/>
      </rPr>
      <t>“VCU_LowVoltShutdown”</t>
    </r>
    <r>
      <rPr>
        <sz val="8"/>
        <rFont val="宋体"/>
        <family val="3"/>
        <charset val="134"/>
      </rPr>
      <t>、</t>
    </r>
    <r>
      <rPr>
        <sz val="8"/>
        <rFont val="Arial"/>
        <family val="2"/>
      </rPr>
      <t xml:space="preserve">“VCU_BMSheatalw” in the message VCU3(0x294). </t>
    </r>
    <r>
      <rPr>
        <sz val="8"/>
        <rFont val="宋体"/>
        <family val="3"/>
        <charset val="134"/>
      </rPr>
      <t>（</t>
    </r>
    <r>
      <rPr>
        <sz val="8"/>
        <rFont val="Arial"/>
        <family val="2"/>
      </rPr>
      <t>GW</t>
    </r>
    <r>
      <rPr>
        <sz val="8"/>
        <rFont val="宋体"/>
        <family val="3"/>
        <charset val="134"/>
      </rPr>
      <t>、</t>
    </r>
    <r>
      <rPr>
        <sz val="8"/>
        <rFont val="Arial"/>
        <family val="2"/>
      </rPr>
      <t>VCU</t>
    </r>
    <r>
      <rPr>
        <sz val="8"/>
        <rFont val="宋体"/>
        <family val="3"/>
        <charset val="134"/>
      </rPr>
      <t xml:space="preserve">）
</t>
    </r>
    <r>
      <rPr>
        <sz val="8"/>
        <rFont val="Arial"/>
        <family val="2"/>
      </rPr>
      <t xml:space="preserve">3.Receive the signals </t>
    </r>
    <r>
      <rPr>
        <sz val="8"/>
        <rFont val="宋体"/>
        <family val="3"/>
        <charset val="134"/>
      </rPr>
      <t>“</t>
    </r>
    <r>
      <rPr>
        <sz val="8"/>
        <rFont val="Arial"/>
        <family val="2"/>
      </rPr>
      <t>CurrRcprtnTrq</t>
    </r>
    <r>
      <rPr>
        <sz val="8"/>
        <rFont val="宋体"/>
        <family val="3"/>
        <charset val="134"/>
      </rPr>
      <t>”、“</t>
    </r>
    <r>
      <rPr>
        <sz val="8"/>
        <rFont val="Arial"/>
        <family val="2"/>
      </rPr>
      <t>DrvTrqReq</t>
    </r>
    <r>
      <rPr>
        <sz val="8"/>
        <rFont val="宋体"/>
        <family val="3"/>
        <charset val="134"/>
      </rPr>
      <t>”</t>
    </r>
    <r>
      <rPr>
        <sz val="8"/>
        <rFont val="Arial"/>
        <family val="2"/>
      </rPr>
      <t xml:space="preserve"> in the message VCU4(0x0A2). </t>
    </r>
    <r>
      <rPr>
        <sz val="8"/>
        <rFont val="宋体"/>
        <family val="3"/>
        <charset val="134"/>
      </rPr>
      <t>（</t>
    </r>
    <r>
      <rPr>
        <sz val="8"/>
        <rFont val="Arial"/>
        <family val="2"/>
      </rPr>
      <t>GW</t>
    </r>
    <r>
      <rPr>
        <sz val="8"/>
        <rFont val="宋体"/>
        <family val="3"/>
        <charset val="134"/>
      </rPr>
      <t>、</t>
    </r>
    <r>
      <rPr>
        <sz val="8"/>
        <rFont val="Arial"/>
        <family val="2"/>
      </rPr>
      <t>VCU</t>
    </r>
    <r>
      <rPr>
        <sz val="8"/>
        <rFont val="宋体"/>
        <family val="3"/>
        <charset val="134"/>
      </rPr>
      <t xml:space="preserve">）
</t>
    </r>
    <r>
      <rPr>
        <sz val="8"/>
        <rFont val="Arial"/>
        <family val="2"/>
      </rPr>
      <t xml:space="preserve">4.Receive the signal “VCU_SysFaultLvl” in the message VCU5(0x31B). </t>
    </r>
    <r>
      <rPr>
        <sz val="8"/>
        <rFont val="宋体"/>
        <family val="3"/>
        <charset val="134"/>
      </rPr>
      <t>（</t>
    </r>
    <r>
      <rPr>
        <sz val="8"/>
        <rFont val="Arial"/>
        <family val="2"/>
      </rPr>
      <t>GW</t>
    </r>
    <r>
      <rPr>
        <sz val="8"/>
        <rFont val="宋体"/>
        <family val="3"/>
        <charset val="134"/>
      </rPr>
      <t>、</t>
    </r>
    <r>
      <rPr>
        <sz val="8"/>
        <rFont val="Arial"/>
        <family val="2"/>
      </rPr>
      <t>VCU</t>
    </r>
    <r>
      <rPr>
        <sz val="8"/>
        <rFont val="宋体"/>
        <family val="3"/>
        <charset val="134"/>
      </rPr>
      <t xml:space="preserve">）
</t>
    </r>
    <r>
      <rPr>
        <sz val="8"/>
        <rFont val="Arial"/>
        <family val="2"/>
      </rPr>
      <t>5.Receive the signals “VCU_VehSpd”</t>
    </r>
    <r>
      <rPr>
        <sz val="8"/>
        <rFont val="宋体"/>
        <family val="3"/>
        <charset val="134"/>
      </rPr>
      <t>、</t>
    </r>
    <r>
      <rPr>
        <sz val="8"/>
        <rFont val="Arial"/>
        <family val="2"/>
      </rPr>
      <t>“Swt_KeyOn”</t>
    </r>
    <r>
      <rPr>
        <sz val="8"/>
        <rFont val="宋体"/>
        <family val="3"/>
        <charset val="134"/>
      </rPr>
      <t>、</t>
    </r>
    <r>
      <rPr>
        <sz val="8"/>
        <rFont val="Arial"/>
        <family val="2"/>
      </rPr>
      <t xml:space="preserve">“VCU_DTCNumber” in the message VCU7(0x28B). </t>
    </r>
    <r>
      <rPr>
        <sz val="8"/>
        <rFont val="宋体"/>
        <family val="3"/>
        <charset val="134"/>
      </rPr>
      <t>（</t>
    </r>
    <r>
      <rPr>
        <sz val="8"/>
        <rFont val="Arial"/>
        <family val="2"/>
      </rPr>
      <t>GW</t>
    </r>
    <r>
      <rPr>
        <sz val="8"/>
        <rFont val="宋体"/>
        <family val="3"/>
        <charset val="134"/>
      </rPr>
      <t>、</t>
    </r>
    <r>
      <rPr>
        <sz val="8"/>
        <rFont val="Arial"/>
        <family val="2"/>
      </rPr>
      <t>VCU</t>
    </r>
    <r>
      <rPr>
        <sz val="8"/>
        <rFont val="宋体"/>
        <family val="3"/>
        <charset val="134"/>
      </rPr>
      <t xml:space="preserve">）
</t>
    </r>
    <r>
      <rPr>
        <sz val="8"/>
        <rFont val="Arial"/>
        <family val="2"/>
      </rPr>
      <t>6.Receive the signal “VCU_SpclSceneNum” in the message VCU3 (0x294).
7.Don't receive the signal “HDCControl” in message ESP2(0X145). (ESP)
8.Don't receive the  signal “HDCFault” in message ESP2(0X145). (ESP)
9.Receive the signal “VCU_DrvMod” in the message VCU 2(0x194). (VCU)</t>
    </r>
    <r>
      <rPr>
        <sz val="8"/>
        <rFont val="宋体"/>
        <family val="3"/>
        <charset val="134"/>
      </rPr>
      <t xml:space="preserve">
</t>
    </r>
    <r>
      <rPr>
        <sz val="8"/>
        <rFont val="Arial"/>
        <family val="2"/>
      </rPr>
      <t>VCU:
1.Change the signal name “VCU_ClimbSlopEnaFlg” to “VCU_CrpEna”</t>
    </r>
    <r>
      <rPr>
        <sz val="8"/>
        <rFont val="宋体"/>
        <family val="3"/>
        <charset val="134"/>
      </rPr>
      <t>、</t>
    </r>
    <r>
      <rPr>
        <sz val="8"/>
        <rFont val="Arial"/>
        <family val="2"/>
      </rPr>
      <t xml:space="preserve"> Change the signal name “VCU_SldgSlopEnaFlg” to “VCU_GlideEna” in the message VCU7 (0x28B) .
2.Add the signal “VCU_SpclSceneNum” in the message VCU3 (0x294).
3.Don't receive the signal “HDCControl” in message ESP2(0X145). (ESP)
4.Add the signal “VCU_DrvMod” in the message VCU2(0x194).(IP ESP GW)
MCU:
1.Don’t receive the signal “VCU_RemainDistance” in the message VCU</t>
    </r>
    <r>
      <rPr>
        <sz val="8"/>
        <rFont val="宋体"/>
        <family val="3"/>
        <charset val="134"/>
      </rPr>
      <t>（</t>
    </r>
    <r>
      <rPr>
        <sz val="8"/>
        <rFont val="Arial"/>
        <family val="2"/>
      </rPr>
      <t>0x29B</t>
    </r>
    <r>
      <rPr>
        <sz val="8"/>
        <rFont val="宋体"/>
        <family val="3"/>
        <charset val="134"/>
      </rPr>
      <t>）</t>
    </r>
    <r>
      <rPr>
        <sz val="8"/>
        <rFont val="Arial"/>
        <family val="2"/>
      </rPr>
      <t xml:space="preserve">.(VCU)
ESP:
1.Delete signal “HDCControl” in message ESP2(0X145). (GW VCU IP)
2.Delete signal “HDCFault” in message ESP2(0X145). (GW IP)
3.Receive the signal “VCU_DrvMod” in the message VCU 2(0x194). (VCU)
</t>
    </r>
    <phoneticPr fontId="8" type="noConversion"/>
  </si>
  <si>
    <t xml:space="preserve">ESP GW, VCU MCU </t>
    <phoneticPr fontId="8" type="noConversion"/>
  </si>
  <si>
    <t>V2.2</t>
  </si>
  <si>
    <t>0x0:Reserved
0x1:P(Reserved)
0x2:R
0x3:N
0x4:D
0x5:S(Reserved)
0x6:E(Reserved)
0x7:E+ (Reserved)
0x8-0xF:Reserved</t>
    <phoneticPr fontId="0" type="noConversion"/>
  </si>
  <si>
    <t>TM_InvActTemp_RM</t>
    <phoneticPr fontId="8" type="noConversion"/>
  </si>
  <si>
    <t>0x00-0xFA:Valid
0XFB-0xFF:reserved</t>
    <phoneticPr fontId="0" type="noConversion"/>
  </si>
  <si>
    <t>0x0000-0x6D60:Valid</t>
    <phoneticPr fontId="0" type="noConversion"/>
  </si>
  <si>
    <t>TM_ActTemp_RM</t>
    <phoneticPr fontId="8" type="noConversion"/>
  </si>
  <si>
    <t>The states of electronic lock.</t>
  </si>
  <si>
    <t>OBC3</t>
    <phoneticPr fontId="0" type="noConversion"/>
  </si>
  <si>
    <t>0x31F</t>
    <phoneticPr fontId="0" type="noConversion"/>
  </si>
  <si>
    <t>P</t>
    <phoneticPr fontId="0" type="noConversion"/>
  </si>
  <si>
    <t>/</t>
    <phoneticPr fontId="6" type="noConversion"/>
  </si>
  <si>
    <t>Motorola</t>
    <phoneticPr fontId="0" type="noConversion"/>
  </si>
  <si>
    <t>Unsigned</t>
    <phoneticPr fontId="0" type="noConversion"/>
  </si>
  <si>
    <t>/</t>
    <phoneticPr fontId="8" type="noConversion"/>
  </si>
  <si>
    <t>/</t>
    <phoneticPr fontId="0" type="noConversion"/>
  </si>
  <si>
    <t>0x0</t>
    <phoneticPr fontId="0" type="noConversion"/>
  </si>
  <si>
    <t>300KM</t>
  </si>
  <si>
    <t>X</t>
    <phoneticPr fontId="0" type="noConversion"/>
  </si>
  <si>
    <t>J</t>
    <phoneticPr fontId="16" type="noConversion"/>
  </si>
  <si>
    <t>OBC</t>
    <phoneticPr fontId="0" type="noConversion"/>
  </si>
  <si>
    <t>states of AC inlet sensor</t>
  </si>
  <si>
    <t>/</t>
    <phoneticPr fontId="0" type="noConversion"/>
  </si>
  <si>
    <t>/</t>
    <phoneticPr fontId="6" type="noConversion"/>
  </si>
  <si>
    <t>/</t>
    <phoneticPr fontId="8" type="noConversion"/>
  </si>
  <si>
    <t>0x0:No fault 
0x1:one sensor in error state
0x2:two sensors both in error state</t>
  </si>
  <si>
    <t>X</t>
    <phoneticPr fontId="0" type="noConversion"/>
  </si>
  <si>
    <t>J</t>
    <phoneticPr fontId="16" type="noConversion"/>
  </si>
  <si>
    <t>OBC_ACinletTempErr</t>
  </si>
  <si>
    <t xml:space="preserve"> AC inlet temperature error</t>
  </si>
  <si>
    <t>0x0:No fault 
0x1:Huge temperature differential of two sensors
0x2:AC inlet overtemperature</t>
  </si>
  <si>
    <t>OBC</t>
    <phoneticPr fontId="0" type="noConversion"/>
  </si>
  <si>
    <t>OBC_ACinletTemp</t>
  </si>
  <si>
    <t xml:space="preserve">Temperature of AC inlet </t>
  </si>
  <si>
    <t>BGSQ-CH141E-SBWM-001
BGSQ-CH141E-OBC-001</t>
    <phoneticPr fontId="8" type="noConversion"/>
  </si>
  <si>
    <t>SBWM,VCU,GW, VSG,ESP,ABM,HUT, TBK,BMS</t>
    <phoneticPr fontId="8" type="noConversion"/>
  </si>
  <si>
    <t>OBC_ACinletSnsrSts</t>
    <phoneticPr fontId="0" type="noConversion"/>
  </si>
  <si>
    <t>J</t>
    <phoneticPr fontId="16" type="noConversion"/>
  </si>
  <si>
    <t>DoorUnlockCmd</t>
    <phoneticPr fontId="0" type="noConversion"/>
  </si>
  <si>
    <t>TBK door unlock command</t>
  </si>
  <si>
    <t>/</t>
    <phoneticPr fontId="0" type="noConversion"/>
  </si>
  <si>
    <t>0x0A5</t>
    <phoneticPr fontId="0" type="noConversion"/>
  </si>
  <si>
    <t>E</t>
    <phoneticPr fontId="0" type="noConversion"/>
  </si>
  <si>
    <t>&lt;=10</t>
    <phoneticPr fontId="0" type="noConversion"/>
  </si>
  <si>
    <t>unsigned</t>
    <phoneticPr fontId="0" type="noConversion"/>
  </si>
  <si>
    <t xml:space="preserve"> &lt;=700</t>
    <phoneticPr fontId="0" type="noConversion"/>
  </si>
  <si>
    <t>0x0:No Action
0x1:Unlock via BLE Passive
0x2:Unlock via BLE 
0x3:Unlock via NFC
0x4:Unlock via Telematics
0x5:Reserved
0x6:Reserved
0x7:Reserved</t>
    <phoneticPr fontId="0" type="noConversion"/>
  </si>
  <si>
    <t>DoorLockCmd</t>
    <phoneticPr fontId="0" type="noConversion"/>
  </si>
  <si>
    <t>TBK door lock command</t>
  </si>
  <si>
    <t>E</t>
    <phoneticPr fontId="0" type="noConversion"/>
  </si>
  <si>
    <t>0x0:No Action
0x1:Lock via BLE Passive
0x2:Lock via BLE 
0x3:Lock via NFC
0x4:Lock via Telematics
0x5:Reserved
0x6:Reserved
0x7:Reserved</t>
    <phoneticPr fontId="0" type="noConversion"/>
  </si>
  <si>
    <t>BMS_DCinletSnsrSts</t>
  </si>
  <si>
    <t>BMS DC inlet sensor states</t>
  </si>
  <si>
    <t>Motorola</t>
    <phoneticPr fontId="6" type="noConversion"/>
  </si>
  <si>
    <t>Unsigned</t>
    <phoneticPr fontId="6" type="noConversion"/>
  </si>
  <si>
    <t>0x0</t>
    <phoneticPr fontId="6" type="noConversion"/>
  </si>
  <si>
    <t>0x0:No fault
0x1:one sensor in error state
0x2:two sensors both in error state</t>
  </si>
  <si>
    <t>DC inlet temperature error</t>
  </si>
  <si>
    <t>0x0:No fault 
0x1:Huge temperature differential of two sensors
0x2:DC inlet overtemperature</t>
  </si>
  <si>
    <t>250KM</t>
    <phoneticPr fontId="6" type="noConversion"/>
  </si>
  <si>
    <t>250KM</t>
    <phoneticPr fontId="16" type="noConversion"/>
  </si>
  <si>
    <t>250KM</t>
    <phoneticPr fontId="0" type="noConversion"/>
  </si>
  <si>
    <t>0x00-0xA6:Valid value
0xA7-0xFF:Reserved</t>
    <phoneticPr fontId="0" type="noConversion"/>
  </si>
  <si>
    <r>
      <t xml:space="preserve">SBWM:
1.Delete signal “P_Switch” in message SBWM1(0x0C7). (VCU)
2.Don’t receive signal “CheckSum_VCU2” </t>
    </r>
    <r>
      <rPr>
        <sz val="8"/>
        <rFont val="宋体"/>
        <family val="3"/>
        <charset val="134"/>
      </rPr>
      <t>、</t>
    </r>
    <r>
      <rPr>
        <sz val="8"/>
        <rFont val="Arial"/>
        <family val="2"/>
      </rPr>
      <t>“VCU_GearSts”</t>
    </r>
    <r>
      <rPr>
        <sz val="8"/>
        <rFont val="宋体"/>
        <family val="3"/>
        <charset val="134"/>
      </rPr>
      <t>、</t>
    </r>
    <r>
      <rPr>
        <sz val="8"/>
        <rFont val="Arial"/>
        <family val="2"/>
      </rPr>
      <t xml:space="preserve"> “RollingCounter_VCU2”from message VCU2(0x194). (VCU)
VCU:
1.Don’t receive signal “P_Switch” in message SBWM1(0x0C7). (SBWM)
2.Change Coding of signal “VCU_GearSts” in message VCU2 (0x194).(VCU,GW,VSG,ESP,ABM,HUT,TBK)
3. Receive signal  “OBC_E_lockSts” /“OBC_ACinletSnsrSts”/“ OBC_ACinletTemp”/“ OBC_ACinletTemErr” in message OBC3(0x31F).</t>
    </r>
    <r>
      <rPr>
        <sz val="8"/>
        <rFont val="宋体"/>
        <family val="3"/>
        <charset val="134"/>
      </rPr>
      <t>（</t>
    </r>
    <r>
      <rPr>
        <sz val="8"/>
        <rFont val="Arial"/>
        <family val="2"/>
      </rPr>
      <t>OBC</t>
    </r>
    <r>
      <rPr>
        <sz val="8"/>
        <rFont val="宋体"/>
        <family val="3"/>
        <charset val="134"/>
      </rPr>
      <t xml:space="preserve">）
</t>
    </r>
    <r>
      <rPr>
        <sz val="8"/>
        <rFont val="Arial"/>
        <family val="2"/>
      </rPr>
      <t>4. Receive signal “BMS_DCinletSnsrSts”/“BMS_DCinletTempErr” in message BMS12(0x2E2) .(BMS)
OBC:
1.Add signal “OBC_E_lockSts” in message OBC3(0x31F).
2.Add signal “OBC_ACinletSnsrSts”/“ OBC_ACinletTemp”/“ OBC_ACinletTemErr” in message OBC3(0x31F).</t>
    </r>
    <r>
      <rPr>
        <sz val="8"/>
        <rFont val="宋体"/>
        <family val="3"/>
        <charset val="134"/>
      </rPr>
      <t>（</t>
    </r>
    <r>
      <rPr>
        <sz val="8"/>
        <rFont val="Arial"/>
        <family val="2"/>
      </rPr>
      <t>BMS</t>
    </r>
    <r>
      <rPr>
        <sz val="8"/>
        <rFont val="宋体"/>
        <family val="3"/>
        <charset val="134"/>
      </rPr>
      <t>，</t>
    </r>
    <r>
      <rPr>
        <sz val="8"/>
        <rFont val="Arial"/>
        <family val="2"/>
      </rPr>
      <t>VCU</t>
    </r>
    <r>
      <rPr>
        <sz val="8"/>
        <rFont val="宋体"/>
        <family val="3"/>
        <charset val="134"/>
      </rPr>
      <t xml:space="preserve">）
</t>
    </r>
    <r>
      <rPr>
        <sz val="8"/>
        <rFont val="Arial"/>
        <family val="2"/>
      </rPr>
      <t>3.Receive signal “DoorUnlockCmd”/“ DoorLockCmd” in message TBK1(0x0A5)(GW,TBK)
BMS:
1.Add signal “BMS_DCinletSnsrSts”/“BMS_DCinletTempErr” in message BMS12(0x2E2)(VCU)
2.Add description of “250KM” to “Variant and options” of Signal ““BMS_HeatTempDetErr” in message BMS4</t>
    </r>
    <r>
      <rPr>
        <sz val="8"/>
        <rFont val="宋体"/>
        <family val="3"/>
        <charset val="134"/>
      </rPr>
      <t>（</t>
    </r>
    <r>
      <rPr>
        <sz val="8"/>
        <rFont val="Arial"/>
        <family val="2"/>
      </rPr>
      <t>0x286</t>
    </r>
    <r>
      <rPr>
        <sz val="8"/>
        <rFont val="宋体"/>
        <family val="3"/>
        <charset val="134"/>
      </rPr>
      <t>）</t>
    </r>
    <r>
      <rPr>
        <sz val="8"/>
        <rFont val="Arial"/>
        <family val="2"/>
      </rPr>
      <t>;(VCU)
3.Add description of “250KM” to “Variant and options” of Signal “BMS_BattHeatrTemp1”/“ BMS_BattHeatrTemp2” in message BMS12(0x2E2);(VCU,GW,TBK)
4. Add description of “250KM” to “Variant and options” of Signal “ BMS_BattHeatrOverTemp” in message BMS12(0x2E2);(VCU)
5. Add description of “250KM” to “Variant and options” of all signals in message BMS44(0x3F3)/BMS45(0x3F4)/BMS46(0x3F5)/BMS47(0x3F6);(GW,TBK)
6.Add description of “250KM” to “Variant and options” of Signal “BMS_BattModuleTemp33”/“ BMS_BattModuleTemp34” in message BMS35 (0x3EF);(GW,TBK)</t>
    </r>
    <phoneticPr fontId="8" type="noConversion"/>
  </si>
  <si>
    <t>0x00-0xF5:Valid
0xF6-0xFF:Reserved</t>
    <phoneticPr fontId="0" type="noConversion"/>
  </si>
  <si>
    <t>V2.3</t>
  </si>
  <si>
    <t>BMS</t>
  </si>
  <si>
    <t>BMS</t>
    <phoneticPr fontId="6" type="noConversion"/>
  </si>
  <si>
    <t>/</t>
    <phoneticPr fontId="6" type="noConversion"/>
  </si>
  <si>
    <t>BMS Battery Voltage Plausibility Error</t>
    <phoneticPr fontId="6" type="noConversion"/>
  </si>
  <si>
    <t>BMS4</t>
    <phoneticPr fontId="6" type="noConversion"/>
  </si>
  <si>
    <t>0x286</t>
    <phoneticPr fontId="6" type="noConversion"/>
  </si>
  <si>
    <t>P</t>
    <phoneticPr fontId="6" type="noConversion"/>
  </si>
  <si>
    <t>Motorola</t>
    <phoneticPr fontId="6" type="noConversion"/>
  </si>
  <si>
    <t>Unsigned</t>
    <phoneticPr fontId="6" type="noConversion"/>
  </si>
  <si>
    <t>0x0</t>
    <phoneticPr fontId="6" type="noConversion"/>
  </si>
  <si>
    <t>Last value</t>
    <phoneticPr fontId="6" type="noConversion"/>
  </si>
  <si>
    <t>/</t>
    <phoneticPr fontId="6" type="noConversion"/>
  </si>
  <si>
    <t>0x0:No error
0x1:Error</t>
    <phoneticPr fontId="6" type="noConversion"/>
  </si>
  <si>
    <t>BMS</t>
    <phoneticPr fontId="6" type="noConversion"/>
  </si>
  <si>
    <t>BMS DC Line Voltage Plausibility Error</t>
    <phoneticPr fontId="6" type="noConversion"/>
  </si>
  <si>
    <t>P</t>
    <phoneticPr fontId="6" type="noConversion"/>
  </si>
  <si>
    <t>BMS_DCChrgrTempDetErr</t>
    <phoneticPr fontId="6" type="noConversion"/>
  </si>
  <si>
    <t>BMS DC-charger Temperature detect Err</t>
    <phoneticPr fontId="6" type="noConversion"/>
  </si>
  <si>
    <t>BMS_DCChrgrOverTemp</t>
    <phoneticPr fontId="6" type="noConversion"/>
  </si>
  <si>
    <t>BMS DC-charger Over Temperature</t>
    <phoneticPr fontId="6" type="noConversion"/>
  </si>
  <si>
    <t>0x0:No error
0x1:Over temperature</t>
    <phoneticPr fontId="6" type="noConversion"/>
  </si>
  <si>
    <t>BMS_RTCComFail</t>
    <phoneticPr fontId="6" type="noConversion"/>
  </si>
  <si>
    <t>BMS Real Time Clock ComFail</t>
    <phoneticPr fontId="6" type="noConversion"/>
  </si>
  <si>
    <t>0x0:Normal
0x1:Failed</t>
    <phoneticPr fontId="6" type="noConversion"/>
  </si>
  <si>
    <t>BMS_MCUReset</t>
    <phoneticPr fontId="6" type="noConversion"/>
  </si>
  <si>
    <t>BMS MCU Reset</t>
    <phoneticPr fontId="6" type="noConversion"/>
  </si>
  <si>
    <t>0x0:No Reset
0x1:Reset</t>
    <phoneticPr fontId="6" type="noConversion"/>
  </si>
  <si>
    <t>BMS_NVMErr</t>
    <phoneticPr fontId="6" type="noConversion"/>
  </si>
  <si>
    <t>BMS access to Non-volatile Memory Error</t>
    <phoneticPr fontId="6" type="noConversion"/>
  </si>
  <si>
    <t>读取失败</t>
    <phoneticPr fontId="6" type="noConversion"/>
  </si>
  <si>
    <t>BMS_BalanceOverTemp</t>
    <phoneticPr fontId="6" type="noConversion"/>
  </si>
  <si>
    <t>BMS Over Temperature  during the procedure of Balance</t>
    <phoneticPr fontId="6" type="noConversion"/>
  </si>
  <si>
    <t>均衡温度过温</t>
    <phoneticPr fontId="6" type="noConversion"/>
  </si>
  <si>
    <t>BMS_BalanceTempDetErr</t>
    <phoneticPr fontId="6" type="noConversion"/>
  </si>
  <si>
    <t>BMS Balance Temperature Detect Error</t>
    <phoneticPr fontId="6" type="noConversion"/>
  </si>
  <si>
    <t>0x0:No error
0x1:BIC1 Error
0X2:BIC2 Error
0x3-0xF:Reserved</t>
    <phoneticPr fontId="6" type="noConversion"/>
  </si>
  <si>
    <t>电池总电压与单体电压累加和差距过大</t>
    <phoneticPr fontId="6" type="noConversion"/>
  </si>
  <si>
    <t>外总压检测电路故障</t>
    <phoneticPr fontId="6" type="noConversion"/>
  </si>
  <si>
    <t>BMS_BattVoltpyErr</t>
    <phoneticPr fontId="6" type="noConversion"/>
  </si>
  <si>
    <t>BMS_DCLineVoltpyErr</t>
    <phoneticPr fontId="6" type="noConversion"/>
  </si>
  <si>
    <t>BMS_PosRlyCtrlErr</t>
  </si>
  <si>
    <t>BMS Positive Relay Control Error</t>
  </si>
  <si>
    <t>BMS_NegRlyCtrlErr</t>
  </si>
  <si>
    <t>BMS Negative Relay Control Error</t>
  </si>
  <si>
    <t>BMS_PreRlyCtrlErr</t>
  </si>
  <si>
    <t>BMS precharge relay Control Error</t>
  </si>
  <si>
    <t>BMS_HeatRlyCtrlErr</t>
  </si>
  <si>
    <t>BMS Heat Relay Control Error</t>
  </si>
  <si>
    <t>BMS_DCChrgRlyCtrlErr</t>
  </si>
  <si>
    <t>BMS DC-charger Relay Control Error</t>
  </si>
  <si>
    <t>BGSQ-CH141E-BMS-008</t>
    <phoneticPr fontId="8" type="noConversion"/>
  </si>
  <si>
    <t>BMS_DTCNumber</t>
  </si>
  <si>
    <t>BMS DTC Number</t>
  </si>
  <si>
    <t>BMS13</t>
  </si>
  <si>
    <t>0x2E4</t>
  </si>
  <si>
    <t>BMS_OverChrgPowerRank</t>
    <phoneticPr fontId="8" type="noConversion"/>
  </si>
  <si>
    <t>over charge Power Rank</t>
    <phoneticPr fontId="6" type="noConversion"/>
  </si>
  <si>
    <t>BMS_OverDchrgPowerRank</t>
    <phoneticPr fontId="8" type="noConversion"/>
  </si>
  <si>
    <t>over discharge Power Rank</t>
    <phoneticPr fontId="6" type="noConversion"/>
  </si>
  <si>
    <t>0x0:Default
0x1:Heat
0x2:No Heat
0x3:Forbid Heat</t>
    <phoneticPr fontId="0" type="noConversion"/>
  </si>
  <si>
    <r>
      <t>BMS:
1.Add signal “BMS_ModuleTemppyErr”/“BMS_CellVoltpyErr”/BMS_BattVoltpyErr”/“BMS_DCLineVoltpyErr”/”BMS_DCChrgrTempDetErr”/“BMS_DCChrgrOverTemp”/“BMS_RTCComFail”/”BMS_MCUReset”/“BMS_NVMErr”/“BMS_BalanceOverTemp”/“BMS_BalanceTempDetErr” in message BMS4(0x286);
2.Add signal “BMS_PosRlyCtrlErr”/“BMS_NegRlyCtrlErr”/“BMS_PreRlyCtrlErr”/“BMS_HeatRlyCtrlErr”/“BMS_DCChrgRlyCtrlErr” in message BMS12</t>
    </r>
    <r>
      <rPr>
        <sz val="8"/>
        <rFont val="宋体"/>
        <family val="3"/>
        <charset val="134"/>
      </rPr>
      <t>（</t>
    </r>
    <r>
      <rPr>
        <sz val="8"/>
        <rFont val="Arial"/>
        <family val="2"/>
      </rPr>
      <t>0x2E2</t>
    </r>
    <r>
      <rPr>
        <sz val="8"/>
        <rFont val="宋体"/>
        <family val="3"/>
        <charset val="134"/>
      </rPr>
      <t>）</t>
    </r>
    <r>
      <rPr>
        <sz val="8"/>
        <rFont val="Arial"/>
        <family val="2"/>
      </rPr>
      <t xml:space="preserve">;
3.Add signal “BMS_DTCNumber” in message BMS13(0x2E4);
4.Change “BMS_OverChrgCurrRank” to “BMS_OverChrgPowerRank”,and change the signal description. </t>
    </r>
    <r>
      <rPr>
        <sz val="8"/>
        <rFont val="宋体"/>
        <family val="3"/>
        <charset val="134"/>
      </rPr>
      <t>（</t>
    </r>
    <r>
      <rPr>
        <sz val="8"/>
        <rFont val="Arial"/>
        <family val="2"/>
      </rPr>
      <t>VCU</t>
    </r>
    <r>
      <rPr>
        <sz val="8"/>
        <rFont val="宋体"/>
        <family val="3"/>
        <charset val="134"/>
      </rPr>
      <t xml:space="preserve">）
</t>
    </r>
    <r>
      <rPr>
        <sz val="8"/>
        <rFont val="Arial"/>
        <family val="2"/>
      </rPr>
      <t xml:space="preserve">5.Change “BMS_OverDchrgCurrRank” to “BMS_OverDchrgPowerRank”,and change the signal description. </t>
    </r>
    <r>
      <rPr>
        <sz val="8"/>
        <rFont val="宋体"/>
        <family val="3"/>
        <charset val="134"/>
      </rPr>
      <t>（</t>
    </r>
    <r>
      <rPr>
        <sz val="8"/>
        <rFont val="Arial"/>
        <family val="2"/>
      </rPr>
      <t>VCU</t>
    </r>
    <r>
      <rPr>
        <sz val="8"/>
        <rFont val="宋体"/>
        <family val="3"/>
        <charset val="134"/>
      </rPr>
      <t xml:space="preserve">）
</t>
    </r>
    <r>
      <rPr>
        <sz val="8"/>
        <rFont val="Arial"/>
        <family val="2"/>
      </rPr>
      <t>6.Change the coding of “BMS_HeatSts” from “0x3:Reserved” to “0x3:Forbid Heat” in message BMS6(0x2FF).</t>
    </r>
    <r>
      <rPr>
        <sz val="8"/>
        <rFont val="宋体"/>
        <family val="3"/>
        <charset val="134"/>
      </rPr>
      <t>（</t>
    </r>
    <r>
      <rPr>
        <sz val="8"/>
        <rFont val="Arial"/>
        <family val="2"/>
      </rPr>
      <t>VCU</t>
    </r>
    <r>
      <rPr>
        <sz val="8"/>
        <rFont val="宋体"/>
        <family val="3"/>
        <charset val="134"/>
      </rPr>
      <t xml:space="preserve">）
</t>
    </r>
    <r>
      <rPr>
        <sz val="8"/>
        <rFont val="Arial"/>
        <family val="2"/>
      </rPr>
      <t xml:space="preserve">7.Receive signal “TM_ActHvVolt” in message MCU4(0x0D2). </t>
    </r>
    <r>
      <rPr>
        <sz val="8"/>
        <rFont val="宋体"/>
        <family val="3"/>
        <charset val="134"/>
      </rPr>
      <t>（</t>
    </r>
    <r>
      <rPr>
        <sz val="8"/>
        <rFont val="Arial"/>
        <family val="2"/>
      </rPr>
      <t>MCU</t>
    </r>
    <r>
      <rPr>
        <sz val="8"/>
        <rFont val="宋体"/>
        <family val="3"/>
        <charset val="134"/>
      </rPr>
      <t xml:space="preserve">）
</t>
    </r>
    <phoneticPr fontId="8" type="noConversion"/>
  </si>
  <si>
    <t>/</t>
    <phoneticPr fontId="8" type="noConversion"/>
  </si>
  <si>
    <t>BMS MCU</t>
    <phoneticPr fontId="8" type="noConversion"/>
  </si>
  <si>
    <t>0x286</t>
    <phoneticPr fontId="8" type="noConversion"/>
  </si>
  <si>
    <t>Last value</t>
    <phoneticPr fontId="8" type="noConversion"/>
  </si>
  <si>
    <t>Low voltage side under voltage error</t>
    <phoneticPr fontId="6" type="noConversion"/>
  </si>
  <si>
    <t>BMS4</t>
    <phoneticPr fontId="8" type="noConversion"/>
  </si>
  <si>
    <t>J</t>
    <phoneticPr fontId="16" type="noConversion"/>
  </si>
  <si>
    <t>BMS_CellVoltpyErr</t>
    <phoneticPr fontId="8" type="noConversion"/>
  </si>
  <si>
    <t>BMS Cell Voltage Plausibility Error</t>
    <phoneticPr fontId="6" type="noConversion"/>
  </si>
  <si>
    <t>两个从板累加和和从板电压</t>
    <phoneticPr fontId="0" type="noConversion"/>
  </si>
  <si>
    <t>P</t>
    <phoneticPr fontId="6" type="noConversion"/>
  </si>
  <si>
    <t>/</t>
    <phoneticPr fontId="6" type="noConversion"/>
  </si>
  <si>
    <t>J</t>
    <phoneticPr fontId="16" type="noConversion"/>
  </si>
  <si>
    <t>BMS</t>
    <phoneticPr fontId="6" type="noConversion"/>
  </si>
  <si>
    <t>BMS_ModuleTemppyErr</t>
    <phoneticPr fontId="8" type="noConversion"/>
  </si>
  <si>
    <t>BMS Module Temperature Plausibility Error</t>
    <phoneticPr fontId="6" type="noConversion"/>
  </si>
  <si>
    <t>0x286</t>
    <phoneticPr fontId="8" type="noConversion"/>
  </si>
  <si>
    <t>P</t>
    <phoneticPr fontId="6" type="noConversion"/>
  </si>
  <si>
    <t>/</t>
    <phoneticPr fontId="6" type="noConversion"/>
  </si>
  <si>
    <t>VCU_HillholdEnable</t>
  </si>
  <si>
    <t>VCU Hill hold Enable</t>
  </si>
  <si>
    <t>0x0CF</t>
    <phoneticPr fontId="8" type="noConversion"/>
  </si>
  <si>
    <t>P</t>
    <phoneticPr fontId="6" type="noConversion"/>
  </si>
  <si>
    <t>/</t>
    <phoneticPr fontId="6" type="noConversion"/>
  </si>
  <si>
    <t>Motorola</t>
    <phoneticPr fontId="0" type="noConversion"/>
  </si>
  <si>
    <t>Unsigned</t>
    <phoneticPr fontId="0" type="noConversion"/>
  </si>
  <si>
    <t>0x0</t>
    <phoneticPr fontId="0" type="noConversion"/>
  </si>
  <si>
    <t>0x0:disenable
0x1:enable</t>
  </si>
  <si>
    <t>MCU</t>
    <phoneticPr fontId="0" type="noConversion"/>
  </si>
  <si>
    <t>TM_Hillholdsts</t>
  </si>
  <si>
    <t>TM Hill hold states</t>
  </si>
  <si>
    <t>/</t>
    <phoneticPr fontId="0" type="noConversion"/>
  </si>
  <si>
    <t>MCU3</t>
    <phoneticPr fontId="8" type="noConversion"/>
  </si>
  <si>
    <t>0x0FB</t>
    <phoneticPr fontId="8" type="noConversion"/>
  </si>
  <si>
    <t>P</t>
    <phoneticPr fontId="0" type="noConversion"/>
  </si>
  <si>
    <t>/</t>
    <phoneticPr fontId="6" type="noConversion"/>
  </si>
  <si>
    <t>X</t>
    <phoneticPr fontId="0" type="noConversion"/>
  </si>
  <si>
    <t>X</t>
    <phoneticPr fontId="0" type="noConversion"/>
  </si>
  <si>
    <t>SASConfigCmd</t>
    <phoneticPr fontId="0" type="noConversion"/>
  </si>
  <si>
    <t>Steering angle sensor calibration command</t>
    <phoneticPr fontId="0" type="noConversion"/>
  </si>
  <si>
    <t>ESP3</t>
  </si>
  <si>
    <r>
      <t>0</t>
    </r>
    <r>
      <rPr>
        <sz val="10"/>
        <rFont val="Arial"/>
        <family val="2"/>
      </rPr>
      <t>x725</t>
    </r>
    <phoneticPr fontId="0" type="noConversion"/>
  </si>
  <si>
    <t>E</t>
    <phoneticPr fontId="0" type="noConversion"/>
  </si>
  <si>
    <t>/</t>
    <phoneticPr fontId="0" type="noConversion"/>
  </si>
  <si>
    <t>0x0~0x2:Reserved
0x3:Calibration
0x4:Reserved
0x5:Reset Calibration
0x6~0xF:Reserved</t>
    <phoneticPr fontId="0" type="noConversion"/>
  </si>
  <si>
    <t>ESP</t>
    <phoneticPr fontId="0" type="noConversion"/>
  </si>
  <si>
    <t>ABM</t>
    <phoneticPr fontId="0" type="noConversion"/>
  </si>
  <si>
    <t>SAS</t>
    <phoneticPr fontId="0" type="noConversion"/>
  </si>
  <si>
    <t>/</t>
    <phoneticPr fontId="0" type="noConversion"/>
  </si>
  <si>
    <t>/</t>
    <phoneticPr fontId="0" type="noConversion"/>
  </si>
  <si>
    <t>GW,VCU</t>
    <phoneticPr fontId="8" type="noConversion"/>
  </si>
  <si>
    <t>V3.0</t>
    <phoneticPr fontId="8" type="noConversion"/>
  </si>
  <si>
    <t>OBC_E_lockSts</t>
    <phoneticPr fontId="0" type="noConversion"/>
  </si>
  <si>
    <t>0x00-0x20: Valid value
0x21: Ini
0x22-0x3F: Reserved</t>
    <phoneticPr fontId="0" type="noConversion"/>
  </si>
  <si>
    <r>
      <rPr>
        <sz val="10"/>
        <color theme="1"/>
        <rFont val="宋体"/>
        <family val="3"/>
        <charset val="134"/>
      </rPr>
      <t xml:space="preserve">（手动空调
</t>
    </r>
    <r>
      <rPr>
        <sz val="10"/>
        <color theme="1"/>
        <rFont val="Arial"/>
        <family val="2"/>
      </rPr>
      <t xml:space="preserve">0x00: Level 1
0x01:Reserved
0x02: Level 2
0x03:Reserved
...
0x1E: Level 16
0x1F:Reserved
0x20: Level 17 </t>
    </r>
    <r>
      <rPr>
        <sz val="10"/>
        <color theme="1"/>
        <rFont val="宋体"/>
        <family val="3"/>
        <charset val="134"/>
      </rPr>
      <t>）</t>
    </r>
    <phoneticPr fontId="0" type="noConversion"/>
  </si>
  <si>
    <t>BGSQ-CH141E-MCU-009
BGSQ-CH141E-ESP -006
BGSQ-CH141E-HUT-001</t>
    <phoneticPr fontId="8" type="noConversion"/>
  </si>
  <si>
    <t>BMS_SWVersion</t>
    <phoneticPr fontId="8" type="noConversion"/>
  </si>
  <si>
    <t>BMS_HWVersion</t>
    <phoneticPr fontId="8" type="noConversion"/>
  </si>
  <si>
    <t>VCU MCU ESP SAS
OBC ,GW,BMS</t>
    <phoneticPr fontId="8" type="noConversion"/>
  </si>
  <si>
    <t>BMS_DCinletTempErr</t>
    <phoneticPr fontId="0" type="noConversion"/>
  </si>
  <si>
    <t>X</t>
    <phoneticPr fontId="0" type="noConversion"/>
  </si>
  <si>
    <t>ESP_ABS3</t>
    <phoneticPr fontId="0" type="noConversion"/>
  </si>
  <si>
    <t>0x0:Unlock
0x1:Lock
0x2:Lock error
0x3:Unlock error
0x4:Default value</t>
    <phoneticPr fontId="0" type="noConversion"/>
  </si>
  <si>
    <t>V3.0.1</t>
    <phoneticPr fontId="8" type="noConversion"/>
  </si>
  <si>
    <t>OBC_S2Swtsts</t>
  </si>
  <si>
    <t>The states of S2 switch.</t>
  </si>
  <si>
    <t>0x0</t>
    <phoneticPr fontId="0" type="noConversion"/>
  </si>
  <si>
    <t>0x0:open
0x1:close
0x2:reserved
0x3:Error</t>
    <phoneticPr fontId="0" type="noConversion"/>
  </si>
  <si>
    <t>OBC_ChrgrInputCurr</t>
  </si>
  <si>
    <t>charger Input current</t>
  </si>
  <si>
    <t>0x000-0x1F4:Valid Values
0x1F5-0x1FF:reserved</t>
  </si>
  <si>
    <t>/</t>
    <phoneticPr fontId="0" type="noConversion"/>
  </si>
  <si>
    <t>OBC_DCChrgPosRlyVolt</t>
    <phoneticPr fontId="0" type="noConversion"/>
  </si>
  <si>
    <t>DC charger Positive relay voltage</t>
    <phoneticPr fontId="0" type="noConversion"/>
  </si>
  <si>
    <t>OBC_DCChrgNegRlyVolt</t>
    <phoneticPr fontId="0" type="noConversion"/>
  </si>
  <si>
    <t>DC charger Negative relay voltage</t>
    <phoneticPr fontId="0" type="noConversion"/>
  </si>
  <si>
    <t>OBC4</t>
    <phoneticPr fontId="0" type="noConversion"/>
  </si>
  <si>
    <t>0x122</t>
    <phoneticPr fontId="0" type="noConversion"/>
  </si>
  <si>
    <t>0x122</t>
    <phoneticPr fontId="0" type="noConversion"/>
  </si>
  <si>
    <t>0x0000</t>
    <phoneticPr fontId="0" type="noConversion"/>
  </si>
  <si>
    <t>/</t>
    <phoneticPr fontId="0" type="noConversion"/>
  </si>
  <si>
    <t>V</t>
    <phoneticPr fontId="0" type="noConversion"/>
  </si>
  <si>
    <t>0x000-0x2710:Valid Values
0x2711-0x3FFF:Reserved</t>
    <phoneticPr fontId="0" type="noConversion"/>
  </si>
  <si>
    <t>X</t>
    <phoneticPr fontId="0" type="noConversion"/>
  </si>
  <si>
    <r>
      <t>VCU:
1.Add a signal “VCU_HillholdEnable” in the message VCU1(0x0CF).(MCU)
2.Receive the signal “TM_Hillholdsts” in the message MCU3(0x0FB).(MCU)
3.Don't receive signal “OBC_E_lockSts” in the message OBC3(0x31F).(OBC)
4.Don't receive signal “BMS_HWVersion” "BMS_SWVersion"in the message BMS31(0x3C6).(BMS)
MCU:
1.Receive a signal “VCU_HillholdEnable” in the message VCU1(0x0CF).(MCU)
2.Add a signal“TM_Hillholdsts” in  the message MCU3(0x0FB).(VCU)
ESP:
1.Add message ESP3(0x725). (SAS)
2.Delete Private Message of ESP (0x725).(SAS)
SAS:
1.Receive message ESP3(0x725). 
GW:
Change “Coding” “Comment” of signal “ACDrvSetTemp” in message AC2 (0x385).  (AC,HUT,VCU,TBK)
BMS:
1.Change "Msb"</t>
    </r>
    <r>
      <rPr>
        <sz val="8"/>
        <rFont val="宋体"/>
        <family val="3"/>
        <charset val="134"/>
      </rPr>
      <t>、</t>
    </r>
    <r>
      <rPr>
        <sz val="8"/>
        <rFont val="Arial"/>
        <family val="2"/>
      </rPr>
      <t>"Lsb" of signal "BMS_DCinletTempErr" in message BMS12(0x2E2) (VCU)
2.Receive a signals  “DCDC_HvActCurr”</t>
    </r>
    <r>
      <rPr>
        <sz val="8"/>
        <rFont val="宋体"/>
        <family val="3"/>
        <charset val="134"/>
      </rPr>
      <t>、“</t>
    </r>
    <r>
      <rPr>
        <sz val="8"/>
        <rFont val="Arial"/>
        <family val="2"/>
      </rPr>
      <t>DCDC_FailSts</t>
    </r>
    <r>
      <rPr>
        <sz val="8"/>
        <rFont val="宋体"/>
        <family val="3"/>
        <charset val="134"/>
      </rPr>
      <t>”</t>
    </r>
    <r>
      <rPr>
        <sz val="8"/>
        <rFont val="Arial"/>
        <family val="2"/>
      </rPr>
      <t xml:space="preserve"> in the message MCU2(0x0FA).(MCU)
3.Receive a signals  “PTC_PowerCnsmptn ”</t>
    </r>
    <r>
      <rPr>
        <sz val="8"/>
        <rFont val="宋体"/>
        <family val="3"/>
        <charset val="134"/>
      </rPr>
      <t>、</t>
    </r>
    <r>
      <rPr>
        <sz val="8"/>
        <rFont val="Arial"/>
        <family val="2"/>
      </rPr>
      <t>“CMP_PowerCnsmptn ” in the message AC1(0x29D).(AC)
4.Receive a signals  “VehicleSpeedValid ” in the message ESP_ABS3(0x265).(ESP)</t>
    </r>
    <phoneticPr fontId="8" type="noConversion"/>
  </si>
  <si>
    <t>BGSQ-CH141E-OBC-002</t>
    <phoneticPr fontId="8" type="noConversion"/>
  </si>
  <si>
    <t>OBC,BMS</t>
    <phoneticPr fontId="8" type="noConversion"/>
  </si>
  <si>
    <t>V3.0.2</t>
    <phoneticPr fontId="8" type="noConversion"/>
  </si>
  <si>
    <t>X</t>
    <phoneticPr fontId="0" type="noConversion"/>
  </si>
  <si>
    <r>
      <t xml:space="preserve">GW:
1.Receive singnal “BMS_HeatSts” from message BMS6 ( 0x2FF). </t>
    </r>
    <r>
      <rPr>
        <sz val="8"/>
        <rFont val="宋体"/>
        <family val="3"/>
        <charset val="134"/>
      </rPr>
      <t>（</t>
    </r>
    <r>
      <rPr>
        <sz val="8"/>
        <rFont val="Arial"/>
        <family val="2"/>
      </rPr>
      <t>BMS</t>
    </r>
    <r>
      <rPr>
        <sz val="8"/>
        <rFont val="宋体"/>
        <family val="3"/>
        <charset val="134"/>
      </rPr>
      <t>、</t>
    </r>
    <r>
      <rPr>
        <sz val="8"/>
        <rFont val="Arial"/>
        <family val="2"/>
      </rPr>
      <t>GW</t>
    </r>
    <r>
      <rPr>
        <sz val="8"/>
        <rFont val="宋体"/>
        <family val="3"/>
        <charset val="134"/>
      </rPr>
      <t xml:space="preserve">）
</t>
    </r>
    <r>
      <rPr>
        <sz val="8"/>
        <rFont val="Arial"/>
        <family val="2"/>
      </rPr>
      <t>2.Receive singnal “TM_ActRotSpd” from message MCU3</t>
    </r>
    <r>
      <rPr>
        <sz val="8"/>
        <rFont val="宋体"/>
        <family val="3"/>
        <charset val="134"/>
      </rPr>
      <t>（</t>
    </r>
    <r>
      <rPr>
        <sz val="8"/>
        <rFont val="Arial"/>
        <family val="2"/>
      </rPr>
      <t>0x0FB</t>
    </r>
    <r>
      <rPr>
        <sz val="8"/>
        <rFont val="宋体"/>
        <family val="3"/>
        <charset val="134"/>
      </rPr>
      <t>）</t>
    </r>
    <r>
      <rPr>
        <sz val="8"/>
        <rFont val="Arial"/>
        <family val="2"/>
      </rPr>
      <t>.(MCU</t>
    </r>
    <r>
      <rPr>
        <sz val="8"/>
        <rFont val="宋体"/>
        <family val="3"/>
        <charset val="134"/>
      </rPr>
      <t>、</t>
    </r>
    <r>
      <rPr>
        <sz val="8"/>
        <rFont val="Arial"/>
        <family val="2"/>
      </rPr>
      <t xml:space="preserve">GW)
</t>
    </r>
    <phoneticPr fontId="8" type="noConversion"/>
  </si>
  <si>
    <t>BGSQ-CH141E-IP -005</t>
    <phoneticPr fontId="8" type="noConversion"/>
  </si>
  <si>
    <r>
      <t xml:space="preserve">
SE-CAN:To TBK
CF-CAN</t>
    </r>
    <r>
      <rPr>
        <sz val="10"/>
        <rFont val="宋体"/>
        <family val="3"/>
        <charset val="134"/>
      </rPr>
      <t>：</t>
    </r>
    <r>
      <rPr>
        <sz val="10"/>
        <rFont val="Arial"/>
        <family val="2"/>
      </rPr>
      <t xml:space="preserve">To IP </t>
    </r>
    <phoneticPr fontId="0" type="noConversion"/>
  </si>
  <si>
    <r>
      <t>SE-CAN:To TBK
CF-CAN</t>
    </r>
    <r>
      <rPr>
        <sz val="10"/>
        <rFont val="宋体"/>
        <family val="3"/>
        <charset val="134"/>
      </rPr>
      <t>：</t>
    </r>
    <r>
      <rPr>
        <sz val="10"/>
        <rFont val="Arial"/>
        <family val="2"/>
      </rPr>
      <t xml:space="preserve">To IP </t>
    </r>
    <phoneticPr fontId="6" type="noConversion"/>
  </si>
  <si>
    <r>
      <t>CF-CAN</t>
    </r>
    <r>
      <rPr>
        <sz val="10"/>
        <rFont val="宋体"/>
        <family val="3"/>
        <charset val="134"/>
      </rPr>
      <t>：</t>
    </r>
    <r>
      <rPr>
        <sz val="10"/>
        <rFont val="Arial"/>
        <family val="2"/>
      </rPr>
      <t xml:space="preserve">To IP </t>
    </r>
  </si>
  <si>
    <r>
      <t>CF-CAN</t>
    </r>
    <r>
      <rPr>
        <sz val="10"/>
        <rFont val="宋体"/>
        <family val="3"/>
        <charset val="134"/>
      </rPr>
      <t>：</t>
    </r>
    <r>
      <rPr>
        <sz val="10"/>
        <rFont val="Arial"/>
        <family val="2"/>
      </rPr>
      <t xml:space="preserve">To IP </t>
    </r>
    <phoneticPr fontId="0" type="noConversion"/>
  </si>
  <si>
    <t>BMS_BattVolt</t>
    <phoneticPr fontId="8" type="noConversion"/>
  </si>
  <si>
    <t>BMS_HeatSts</t>
    <phoneticPr fontId="8" type="noConversion"/>
  </si>
  <si>
    <t>BMS_BattCurr</t>
    <phoneticPr fontId="8" type="noConversion"/>
  </si>
  <si>
    <t>TM_ActRotSpd</t>
    <phoneticPr fontId="8" type="noConversion"/>
  </si>
  <si>
    <t xml:space="preserve">MCU,BMS </t>
    <phoneticPr fontId="8" type="noConversion"/>
  </si>
  <si>
    <t>V3.0.3</t>
    <phoneticPr fontId="8" type="noConversion"/>
  </si>
  <si>
    <t>BGSQ-CH141E-AC - 005</t>
    <phoneticPr fontId="8" type="noConversion"/>
  </si>
  <si>
    <r>
      <t>OBC:
1.Change the coding of signal “OBC_E_lockSts” in message OBC3(0x31F).
2.Add signal “OBC_S2Swtsts”</t>
    </r>
    <r>
      <rPr>
        <sz val="8"/>
        <rFont val="宋体"/>
        <family val="3"/>
        <charset val="134"/>
      </rPr>
      <t>、</t>
    </r>
    <r>
      <rPr>
        <sz val="8"/>
        <rFont val="Arial"/>
        <family val="2"/>
      </rPr>
      <t>“OBC_ChrgrInputCurr” in message OBC3(0x31F).
3.Add signal “OBC_DCChrgPosRlyVolt/OBC_DCChrgNegRlyVolt” in message OBC4(0x122).
BMS:
1.Receive signal “OBC_DCChrgPosRlyVolt/OBC_DCChrgNegRlyVolt” in message OBC4(0x122).(OBC)</t>
    </r>
    <phoneticPr fontId="8" type="noConversion"/>
  </si>
  <si>
    <t>EPB_SwtichPosition</t>
    <phoneticPr fontId="0" type="noConversion"/>
  </si>
  <si>
    <t>ESP_EPB1</t>
    <phoneticPr fontId="0" type="noConversion"/>
  </si>
  <si>
    <t>VCU BMS GW ESP</t>
    <phoneticPr fontId="8" type="noConversion"/>
  </si>
  <si>
    <r>
      <t xml:space="preserve">
GW</t>
    </r>
    <r>
      <rPr>
        <sz val="8"/>
        <rFont val="宋体"/>
        <family val="3"/>
        <charset val="134"/>
      </rPr>
      <t xml:space="preserve">：
</t>
    </r>
    <r>
      <rPr>
        <sz val="8"/>
        <rFont val="Arial"/>
        <family val="2"/>
      </rPr>
      <t>1.Change “Factor” and ”P-Maximum“ of signal “PTC_PowerCnsmptn” in message AC1(0x29D).( VCU BMS)
VCU:
1.Receive signals "EPB_SwtichPosition"/"EPB_SwtichPositionValid" in messge  ESP_EPB1(0x16B) .(ESP)</t>
    </r>
    <phoneticPr fontId="8" type="noConversion"/>
  </si>
  <si>
    <t>0x00:No display
0x01:Powertrain system seriously error
0x02:Please remove chagring gun
0x03:Start the vehicle,please step the brake pedal
0x04:The electric shifter error
0x05:The speed is too high,can't shift the gear
0x06:Shift P button error
0x07:The vehicle is running,can't shift to P gear
0x08:The vehicle is charging,can't shift the gear
0x09:When shifting out from P gear,please step on the brake pedal
0x0A:When shifting out from N gear,please step on the brake pedal
0x0B: 12v battery undervoltage error
0x0C: SPORT Mode is not available due to HV battery’s charge level is too low,
0x0D: Air Conditioning is not available due to HV battery’s charge level is too low
0x0E-0x1F:Reserved</t>
    <phoneticPr fontId="0" type="noConversion"/>
  </si>
  <si>
    <t>V3.0.4</t>
    <phoneticPr fontId="8" type="noConversion"/>
  </si>
  <si>
    <t>J</t>
    <phoneticPr fontId="16" type="noConversion"/>
  </si>
  <si>
    <t>VCU</t>
    <phoneticPr fontId="8" type="noConversion"/>
  </si>
  <si>
    <t xml:space="preserve"> VCU_ECODrvHabit_Indcn</t>
  </si>
  <si>
    <t xml:space="preserve">Economic Indication of driving habits </t>
    <phoneticPr fontId="0" type="noConversion"/>
  </si>
  <si>
    <t>/</t>
    <phoneticPr fontId="0" type="noConversion"/>
  </si>
  <si>
    <t>VCU7</t>
    <phoneticPr fontId="8" type="noConversion"/>
  </si>
  <si>
    <t>0x28B</t>
    <phoneticPr fontId="8" type="noConversion"/>
  </si>
  <si>
    <t>P</t>
    <phoneticPr fontId="6" type="noConversion"/>
  </si>
  <si>
    <t>/</t>
    <phoneticPr fontId="6" type="noConversion"/>
  </si>
  <si>
    <t>Motorola</t>
    <phoneticPr fontId="0" type="noConversion"/>
  </si>
  <si>
    <t>Unsigned</t>
    <phoneticPr fontId="0" type="noConversion"/>
  </si>
  <si>
    <t>0x0</t>
    <phoneticPr fontId="0" type="noConversion"/>
  </si>
  <si>
    <t>X</t>
    <phoneticPr fontId="0" type="noConversion"/>
  </si>
  <si>
    <t>0x0: no display
0x1: green
0x2: light yellow
0x3: yellow
0x4: withered and yellow
0x5-0x7: reserved</t>
    <phoneticPr fontId="0" type="noConversion"/>
  </si>
  <si>
    <t xml:space="preserve">
CF-CAN:To IP</t>
    <phoneticPr fontId="0" type="noConversion"/>
  </si>
  <si>
    <t>BGSQ-CH141E-VCU-005</t>
    <phoneticPr fontId="8" type="noConversion"/>
  </si>
  <si>
    <t>Xing Shixue</t>
    <phoneticPr fontId="8" type="noConversion"/>
  </si>
  <si>
    <r>
      <rPr>
        <sz val="10"/>
        <rFont val="宋体"/>
        <family val="3"/>
        <charset val="134"/>
      </rPr>
      <t xml:space="preserve">埃贝赫：
</t>
    </r>
    <r>
      <rPr>
        <sz val="10"/>
        <rFont val="Arial"/>
        <family val="2"/>
      </rPr>
      <t xml:space="preserve">0x0:HV PTC off
0x1:HV PTC on
0x2:HV PTC degraded
0x3:HV PTC stopped
0x4:HV PTC shutdown
0x5:HV PTC shorted
0x6:HV PTC reset not possible
0x7:Signal not available
</t>
    </r>
    <r>
      <rPr>
        <sz val="10"/>
        <rFont val="宋体"/>
        <family val="3"/>
        <charset val="134"/>
      </rPr>
      <t xml:space="preserve">伟博斯通：
</t>
    </r>
    <r>
      <rPr>
        <sz val="10"/>
        <rFont val="Arial"/>
        <family val="2"/>
      </rPr>
      <t xml:space="preserve">0x0:Off
0x1:LockedUntilNextStart
0x2:LockedUntilService
0x3:LockedPermanent
0x4:Operation
0x5~0x7:Reserved </t>
    </r>
    <phoneticPr fontId="0" type="noConversion"/>
  </si>
  <si>
    <r>
      <t xml:space="preserve">VCU:
1.Change the Coding of signal “VCU_WordDisp”  in messageVCU2(0x194) (GW IP ).
2.Add the signal “VCU_ECODrvHabit_Indcn” in the message VCU7(0x28B). </t>
    </r>
    <r>
      <rPr>
        <sz val="8"/>
        <rFont val="宋体"/>
        <family val="3"/>
        <charset val="134"/>
      </rPr>
      <t>（</t>
    </r>
    <r>
      <rPr>
        <sz val="8"/>
        <rFont val="Arial"/>
        <family val="2"/>
      </rPr>
      <t>GW IP</t>
    </r>
    <r>
      <rPr>
        <sz val="8"/>
        <rFont val="宋体"/>
        <family val="3"/>
        <charset val="134"/>
      </rPr>
      <t xml:space="preserve">）
</t>
    </r>
    <r>
      <rPr>
        <sz val="8"/>
        <rFont val="Arial"/>
        <family val="2"/>
      </rPr>
      <t>GW:
Change the Coding of signal “HVH_Sts”  in message AC1 (0x29D) (VCU ).</t>
    </r>
    <phoneticPr fontId="8" type="noConversion"/>
  </si>
  <si>
    <t>VCU GW IP</t>
    <phoneticPr fontId="8" type="noConversion"/>
  </si>
  <si>
    <t>V3.0.5</t>
    <phoneticPr fontId="8" type="noConversion"/>
  </si>
  <si>
    <t>BGSQ-CH141E-VCU-006</t>
    <phoneticPr fontId="8" type="noConversion"/>
  </si>
  <si>
    <t>VCU GW IP</t>
    <phoneticPr fontId="8" type="noConversion"/>
  </si>
  <si>
    <t>/</t>
    <phoneticPr fontId="0" type="noConversion"/>
  </si>
  <si>
    <t>0x0:Idle
0x1:Passed
0x2:Failed
0x3:Busy</t>
    <phoneticPr fontId="0" type="noConversion"/>
  </si>
  <si>
    <r>
      <t>CF-CAN:To BCM.</t>
    </r>
    <r>
      <rPr>
        <sz val="10"/>
        <color rgb="FFFF0000"/>
        <rFont val="Arial"/>
        <family val="2"/>
      </rPr>
      <t>IP</t>
    </r>
    <phoneticPr fontId="6" type="noConversion"/>
  </si>
  <si>
    <t>VCU:
1.Change the “size”/ "Msb”/Lsb”/ ”Coding”/ “P-Maximum” of signal “VCU_AuthPassed” in message VCU7(0x28B) (GW IP BCM ).</t>
    <phoneticPr fontId="8" type="noConversion"/>
  </si>
  <si>
    <t>V3.1</t>
    <phoneticPr fontId="8" type="noConversion"/>
  </si>
  <si>
    <t>BGSQ-CH141E-VCU-007</t>
    <phoneticPr fontId="8" type="noConversion"/>
  </si>
  <si>
    <t>VCU_AcsyScore</t>
    <phoneticPr fontId="0" type="noConversion"/>
  </si>
  <si>
    <t>VCU_SpdScore</t>
    <phoneticPr fontId="0" type="noConversion"/>
  </si>
  <si>
    <t>the average score based on acceleration of the driver‘s drive style and energy consumption in this dirve cycle</t>
    <phoneticPr fontId="0" type="noConversion"/>
  </si>
  <si>
    <t>the average score based on speed of the driver‘s drive style and energy consumption in this dirve cycle</t>
    <phoneticPr fontId="0" type="noConversion"/>
  </si>
  <si>
    <t>the average score based on accessory of the driver‘s drive
style and energy consumption in this dirve cycle</t>
    <phoneticPr fontId="0" type="noConversion"/>
  </si>
  <si>
    <t>/</t>
    <phoneticPr fontId="0" type="noConversion"/>
  </si>
  <si>
    <t>0x0-0xA: Valid value
0xB-0xF:Reserved</t>
    <phoneticPr fontId="0" type="noConversion"/>
  </si>
  <si>
    <t>CF-CAN:To HUT</t>
    <phoneticPr fontId="0" type="noConversion"/>
  </si>
  <si>
    <t>X</t>
    <phoneticPr fontId="0" type="noConversion"/>
  </si>
  <si>
    <t>VCU_TotalScore</t>
    <phoneticPr fontId="0" type="noConversion"/>
  </si>
  <si>
    <t>the average score of the driver‘s drive style and energy consumption in this dirve cycle</t>
    <phoneticPr fontId="0" type="noConversion"/>
  </si>
  <si>
    <t xml:space="preserve">
CF-CAN:To HUT</t>
    <phoneticPr fontId="0" type="noConversion"/>
  </si>
  <si>
    <t>VCU_AccelScore</t>
    <phoneticPr fontId="0" type="noConversion"/>
  </si>
  <si>
    <t>VCU GW</t>
    <phoneticPr fontId="8" type="noConversion"/>
  </si>
  <si>
    <t>0x3FF</t>
    <phoneticPr fontId="0" type="noConversion"/>
  </si>
  <si>
    <t>0x000-0x3DE:Valid values
0x3DF-0x3FF:Reserved</t>
    <phoneticPr fontId="16" type="noConversion"/>
  </si>
  <si>
    <t>CF-CAN:To HUT</t>
    <phoneticPr fontId="0" type="noConversion"/>
  </si>
  <si>
    <t>VCU_HistAvgEgyCnsmptn</t>
    <phoneticPr fontId="0" type="noConversion"/>
  </si>
  <si>
    <t>History average energy consumption</t>
    <phoneticPr fontId="0" type="noConversion"/>
  </si>
  <si>
    <t>0xF</t>
    <phoneticPr fontId="0" type="noConversion"/>
  </si>
  <si>
    <t>0x7</t>
    <phoneticPr fontId="0" type="noConversion"/>
  </si>
  <si>
    <r>
      <t>0x0-0x4: Valid value
0x5-0x7:</t>
    </r>
    <r>
      <rPr>
        <sz val="8"/>
        <color rgb="FF000000"/>
        <rFont val="宋体"/>
        <family val="3"/>
        <charset val="134"/>
      </rPr>
      <t xml:space="preserve"> </t>
    </r>
    <r>
      <rPr>
        <sz val="8"/>
        <color rgb="FF000000"/>
        <rFont val="Arial"/>
        <family val="2"/>
      </rPr>
      <t>Reserved</t>
    </r>
    <phoneticPr fontId="0" type="noConversion"/>
  </si>
  <si>
    <r>
      <t xml:space="preserve">VCU:
1.Add the signals “VCU_AccelScore” / “VCU_SpdScore”/ “VCU_AcsyScore” in the message VCU2(0x194). </t>
    </r>
    <r>
      <rPr>
        <sz val="8"/>
        <rFont val="宋体"/>
        <family val="3"/>
        <charset val="134"/>
      </rPr>
      <t>（</t>
    </r>
    <r>
      <rPr>
        <sz val="8"/>
        <rFont val="Arial"/>
        <family val="2"/>
      </rPr>
      <t>GW HUT</t>
    </r>
    <r>
      <rPr>
        <sz val="8"/>
        <rFont val="宋体"/>
        <family val="3"/>
        <charset val="134"/>
      </rPr>
      <t xml:space="preserve">）
</t>
    </r>
    <r>
      <rPr>
        <sz val="8"/>
        <rFont val="Arial"/>
        <family val="2"/>
      </rPr>
      <t xml:space="preserve">2.Add the signal “VCU_TotalScore” in the message VCU3(0x294). </t>
    </r>
    <r>
      <rPr>
        <sz val="8"/>
        <rFont val="宋体"/>
        <family val="3"/>
        <charset val="134"/>
      </rPr>
      <t>（</t>
    </r>
    <r>
      <rPr>
        <sz val="8"/>
        <rFont val="Arial"/>
        <family val="2"/>
      </rPr>
      <t>GW HUT</t>
    </r>
    <r>
      <rPr>
        <sz val="8"/>
        <rFont val="宋体"/>
        <family val="3"/>
        <charset val="134"/>
      </rPr>
      <t xml:space="preserve">）
</t>
    </r>
    <r>
      <rPr>
        <sz val="8"/>
        <rFont val="Arial"/>
        <family val="2"/>
      </rPr>
      <t xml:space="preserve">3.Add the signal “VCU_HistAvgEgyCnsmptn” in the message VCU9(0x1E2). </t>
    </r>
    <r>
      <rPr>
        <sz val="8"/>
        <rFont val="宋体"/>
        <family val="3"/>
        <charset val="134"/>
      </rPr>
      <t>（</t>
    </r>
    <r>
      <rPr>
        <sz val="8"/>
        <rFont val="Arial"/>
        <family val="2"/>
      </rPr>
      <t>GW HUT</t>
    </r>
    <r>
      <rPr>
        <sz val="8"/>
        <rFont val="宋体"/>
        <family val="3"/>
        <charset val="134"/>
      </rPr>
      <t xml:space="preserve">）
</t>
    </r>
    <r>
      <rPr>
        <sz val="8"/>
        <rFont val="Arial"/>
        <family val="2"/>
      </rPr>
      <t xml:space="preserve">GW:
1.Receive the signals “VCU_AccelScore” / “VCU_SpdScore”/ “VCU_AcsyScore” in the message VCU2(0x194). </t>
    </r>
    <r>
      <rPr>
        <sz val="8"/>
        <rFont val="宋体"/>
        <family val="3"/>
        <charset val="134"/>
      </rPr>
      <t>（</t>
    </r>
    <r>
      <rPr>
        <sz val="8"/>
        <rFont val="Arial"/>
        <family val="2"/>
      </rPr>
      <t>VCU HUT</t>
    </r>
    <r>
      <rPr>
        <sz val="8"/>
        <rFont val="宋体"/>
        <family val="3"/>
        <charset val="134"/>
      </rPr>
      <t xml:space="preserve">）
</t>
    </r>
    <r>
      <rPr>
        <sz val="8"/>
        <rFont val="Arial"/>
        <family val="2"/>
      </rPr>
      <t xml:space="preserve">2.Receive the signal </t>
    </r>
    <r>
      <rPr>
        <sz val="8"/>
        <rFont val="宋体"/>
        <family val="3"/>
        <charset val="134"/>
      </rPr>
      <t>“</t>
    </r>
    <r>
      <rPr>
        <sz val="8"/>
        <rFont val="Arial"/>
        <family val="2"/>
      </rPr>
      <t>VCU_TotalScore</t>
    </r>
    <r>
      <rPr>
        <sz val="8"/>
        <rFont val="宋体"/>
        <family val="3"/>
        <charset val="134"/>
      </rPr>
      <t>”</t>
    </r>
    <r>
      <rPr>
        <sz val="8"/>
        <rFont val="Arial"/>
        <family val="2"/>
      </rPr>
      <t xml:space="preserve"> in the message VCU3(0x294). </t>
    </r>
    <r>
      <rPr>
        <sz val="8"/>
        <rFont val="宋体"/>
        <family val="3"/>
        <charset val="134"/>
      </rPr>
      <t>（</t>
    </r>
    <r>
      <rPr>
        <sz val="8"/>
        <rFont val="Arial"/>
        <family val="2"/>
      </rPr>
      <t>VCU HUT</t>
    </r>
    <r>
      <rPr>
        <sz val="8"/>
        <rFont val="宋体"/>
        <family val="3"/>
        <charset val="134"/>
      </rPr>
      <t xml:space="preserve">）
</t>
    </r>
    <r>
      <rPr>
        <sz val="8"/>
        <rFont val="Arial"/>
        <family val="2"/>
      </rPr>
      <t xml:space="preserve">3.Receive the signal </t>
    </r>
    <r>
      <rPr>
        <sz val="8"/>
        <rFont val="宋体"/>
        <family val="3"/>
        <charset val="134"/>
      </rPr>
      <t>“</t>
    </r>
    <r>
      <rPr>
        <sz val="8"/>
        <rFont val="Arial"/>
        <family val="2"/>
      </rPr>
      <t>VCU_HistAvgEgyCnsmptn</t>
    </r>
    <r>
      <rPr>
        <sz val="8"/>
        <rFont val="宋体"/>
        <family val="3"/>
        <charset val="134"/>
      </rPr>
      <t>”</t>
    </r>
    <r>
      <rPr>
        <sz val="8"/>
        <rFont val="Arial"/>
        <family val="2"/>
      </rPr>
      <t xml:space="preserve"> in the message VCU9(0x1E2). </t>
    </r>
    <r>
      <rPr>
        <sz val="8"/>
        <rFont val="宋体"/>
        <family val="3"/>
        <charset val="134"/>
      </rPr>
      <t>（</t>
    </r>
    <r>
      <rPr>
        <sz val="8"/>
        <rFont val="Arial"/>
        <family val="2"/>
      </rPr>
      <t>VCU HUT</t>
    </r>
    <r>
      <rPr>
        <sz val="8"/>
        <rFont val="宋体"/>
        <family val="3"/>
        <charset val="134"/>
      </rPr>
      <t>）</t>
    </r>
    <phoneticPr fontId="8" type="noConversion"/>
  </si>
  <si>
    <t>V3.2</t>
  </si>
  <si>
    <r>
      <t>MCU:
1.Receive the signal "VehicleSpeed" in message ESP_ABS3 (0x265).
2.Change the coding of the signal "TM_FailCode" in the message MCU3(0x0FB).
3.Don't receive the signal "VCU_HvpackRlysts" in the message VCU3(0x294).
4.Receive the signal "ABSActive" in the message ESP_ABS3(0x265).
VCU:
1.Change the signal “ VCU_RemainDistance” from 9 bit to 10 bit</t>
    </r>
    <r>
      <rPr>
        <sz val="8"/>
        <rFont val="宋体"/>
        <family val="3"/>
        <charset val="134"/>
      </rPr>
      <t>，</t>
    </r>
    <r>
      <rPr>
        <sz val="8"/>
        <rFont val="Arial"/>
        <family val="2"/>
      </rPr>
      <t>and from VCU3</t>
    </r>
    <r>
      <rPr>
        <sz val="8"/>
        <rFont val="宋体"/>
        <family val="3"/>
        <charset val="134"/>
      </rPr>
      <t>（</t>
    </r>
    <r>
      <rPr>
        <sz val="8"/>
        <rFont val="Arial"/>
        <family val="2"/>
      </rPr>
      <t>0x294</t>
    </r>
    <r>
      <rPr>
        <sz val="8"/>
        <rFont val="宋体"/>
        <family val="3"/>
        <charset val="134"/>
      </rPr>
      <t>）</t>
    </r>
    <r>
      <rPr>
        <sz val="8"/>
        <rFont val="Arial"/>
        <family val="2"/>
      </rPr>
      <t>move to  VCU7</t>
    </r>
    <r>
      <rPr>
        <sz val="8"/>
        <rFont val="宋体"/>
        <family val="3"/>
        <charset val="134"/>
      </rPr>
      <t>（</t>
    </r>
    <r>
      <rPr>
        <sz val="8"/>
        <rFont val="Arial"/>
        <family val="2"/>
      </rPr>
      <t>0x28B</t>
    </r>
    <r>
      <rPr>
        <sz val="8"/>
        <rFont val="宋体"/>
        <family val="3"/>
        <charset val="134"/>
      </rPr>
      <t xml:space="preserve">）；
</t>
    </r>
    <r>
      <rPr>
        <sz val="8"/>
        <rFont val="Arial"/>
        <family val="2"/>
      </rPr>
      <t>2.Delete the signals “VCU_ECOSts” and “VCU_SportSts” in message VCU2 (0x194).
3.Delete the signals“VCU_BrkPedalSts”</t>
    </r>
    <r>
      <rPr>
        <sz val="8"/>
        <rFont val="宋体"/>
        <family val="3"/>
        <charset val="134"/>
      </rPr>
      <t>、</t>
    </r>
    <r>
      <rPr>
        <sz val="8"/>
        <rFont val="Arial"/>
        <family val="2"/>
      </rPr>
      <t>“VCU_PrkgSlopEnaFlg” in the message VCU7 (0x28B).
4.Delete the signals “VCU_PowerLimSts” in the message VCU7 (0x28B) .
5.Change the Coding of signal “VCU_GearSts” in the message VCU2(0x194).
6.Change the signal name “Swith_KeyOn” to “Swt_KeyOn” in message VCU7 (0x28B).
7.Add the signal “VCU_AuthPassed” in the message VCU 7(0x28B).</t>
    </r>
    <r>
      <rPr>
        <sz val="8"/>
        <rFont val="宋体"/>
        <family val="3"/>
        <charset val="134"/>
      </rPr>
      <t xml:space="preserve">
</t>
    </r>
    <r>
      <rPr>
        <sz val="8"/>
        <rFont val="Arial"/>
        <family val="2"/>
      </rPr>
      <t>ABM:
1.Change coding of signal “CrashOutputSts” in message ABM1(0x351).
GW:
1.Receive the signal “VCU_AuthPassed” in the message VCU 7(0x28B).
2.Change the factor,MSB,LSB,Size,P-Maximum of the signal "VehTotDistance" in the message IP2(0x27F).
ESP:
1.Receive signal “VCU_CruiseCtrlSts” from message VCU6 (0x0D4) .
EPS</t>
    </r>
    <r>
      <rPr>
        <sz val="8"/>
        <rFont val="宋体"/>
        <family val="3"/>
        <charset val="134"/>
      </rPr>
      <t xml:space="preserve">：
</t>
    </r>
    <r>
      <rPr>
        <sz val="8"/>
        <rFont val="Arial"/>
        <family val="2"/>
      </rPr>
      <t>1.Delete the signal "StreeingWheelAngle" in the EPS1(0x288).
2.Receive the signals "SteerWheelAngle","SASFailureSts","SteerWheelRotSpd"and "SASCalibrationSts" in the Message SAS1(0x125)</t>
    </r>
    <phoneticPr fontId="8" type="noConversion"/>
  </si>
  <si>
    <t>V3.2</t>
    <phoneticPr fontId="8" type="noConversion"/>
  </si>
  <si>
    <t>4141EV-001-013MM01 C_Matrix for PT-CAN-V3.2</t>
    <phoneticPr fontId="8" type="noConversion"/>
  </si>
  <si>
    <t>GW,VCU,BMS,OBC,ESP,MCU,E_Park,EPS,SBWM,ABM</t>
    <phoneticPr fontId="6" type="noConversion"/>
  </si>
  <si>
    <t>GW,Tester</t>
    <phoneticPr fontId="6" type="noConversion"/>
  </si>
  <si>
    <t>BGSQ-CH141E-VCU-008</t>
    <phoneticPr fontId="8" type="noConversion"/>
  </si>
  <si>
    <t>X</t>
    <phoneticPr fontId="0" type="noConversion"/>
  </si>
  <si>
    <t>GW</t>
    <phoneticPr fontId="6" type="noConversion"/>
  </si>
  <si>
    <r>
      <t xml:space="preserve">VCU:
1.Change the "factor" and "P-Maximum"  of signal “VCU_HistAvgEgyCnsmptn”  in message VCU9 (0x1E2) (GW,HUT ).
2.Delete the signals "VCU_PhoneChrgnModeResp" /"VCU_PhoneChrgnReqResp" in the VCU9(0x1E2).(GW,TBK)
BMS:
Receive the signal “crashoutputsts” in the message ABM1(0x351). </t>
    </r>
    <r>
      <rPr>
        <sz val="8"/>
        <rFont val="宋体"/>
        <family val="3"/>
        <charset val="134"/>
      </rPr>
      <t>（</t>
    </r>
    <r>
      <rPr>
        <sz val="8"/>
        <rFont val="Arial"/>
        <family val="2"/>
      </rPr>
      <t>ABM</t>
    </r>
    <r>
      <rPr>
        <sz val="8"/>
        <rFont val="宋体"/>
        <family val="3"/>
        <charset val="134"/>
      </rPr>
      <t>）</t>
    </r>
    <r>
      <rPr>
        <sz val="8"/>
        <rFont val="Arial"/>
        <family val="2"/>
      </rPr>
      <t xml:space="preserve">
</t>
    </r>
    <phoneticPr fontId="8" type="noConversion"/>
  </si>
  <si>
    <t>VCU GW BMS</t>
    <phoneticPr fontId="8" type="noConversion"/>
  </si>
  <si>
    <t>GW</t>
    <phoneticPr fontId="6" type="noConversion"/>
  </si>
  <si>
    <t>GW,ESP</t>
    <phoneticPr fontId="6" type="noConversion"/>
  </si>
  <si>
    <t>OBC</t>
    <phoneticPr fontId="8" type="noConversion"/>
  </si>
  <si>
    <t>Tester</t>
    <phoneticPr fontId="8" type="noConversion"/>
  </si>
  <si>
    <t>E_Park</t>
    <phoneticPr fontId="8" type="noConversion"/>
  </si>
  <si>
    <t>EPS</t>
    <phoneticPr fontId="8" type="noConversion"/>
  </si>
  <si>
    <t>GW,Tester</t>
    <phoneticPr fontId="8" type="noConversion"/>
  </si>
  <si>
    <t>GW</t>
    <phoneticPr fontId="6" type="noConversion"/>
  </si>
  <si>
    <t>GW,SBWM</t>
    <phoneticPr fontId="6" type="noConversion"/>
  </si>
  <si>
    <t>GW,EPS</t>
    <phoneticPr fontId="6" type="noConversion"/>
  </si>
  <si>
    <t>GW,ABM</t>
    <phoneticPr fontId="6" type="noConversion"/>
  </si>
  <si>
    <t>GW,ESP</t>
    <phoneticPr fontId="6" type="noConversion"/>
  </si>
  <si>
    <t>GW,MCU</t>
    <phoneticPr fontId="6" type="noConversion"/>
  </si>
  <si>
    <t>GW,VCU</t>
    <phoneticPr fontId="6" type="noConversion"/>
  </si>
  <si>
    <t>GW,BMS</t>
    <phoneticPr fontId="6" type="noConversion"/>
  </si>
  <si>
    <t>GW,OBC</t>
    <phoneticPr fontId="6" type="noConversion"/>
  </si>
  <si>
    <t>GW,E_Park</t>
    <phoneticPr fontId="6" type="noConversion"/>
  </si>
  <si>
    <t>Tester</t>
    <phoneticPr fontId="6" type="noConversion"/>
  </si>
  <si>
    <t>GW,Tester</t>
    <phoneticPr fontId="6" type="noConversion"/>
  </si>
  <si>
    <t>BMS,MCU</t>
    <phoneticPr fontId="8" type="noConversion"/>
  </si>
  <si>
    <t>GW,MCU</t>
    <phoneticPr fontId="0" type="noConversion"/>
  </si>
  <si>
    <t>GW,MCU</t>
    <phoneticPr fontId="0" type="noConversion"/>
  </si>
  <si>
    <t>GW,BMS,MCU</t>
    <phoneticPr fontId="6" type="noConversion"/>
  </si>
  <si>
    <t>BMS,MCU</t>
    <phoneticPr fontId="0" type="noConversion"/>
  </si>
  <si>
    <t>GW,BMS,OBC,MCU</t>
    <phoneticPr fontId="6" type="noConversion"/>
  </si>
  <si>
    <t>MCU</t>
    <phoneticPr fontId="0" type="noConversion"/>
  </si>
  <si>
    <t>GW,MCU</t>
    <phoneticPr fontId="6" type="noConversion"/>
  </si>
  <si>
    <t>BMS,MCU</t>
    <phoneticPr fontId="6" type="noConversion"/>
  </si>
  <si>
    <t>GW,ESP</t>
    <phoneticPr fontId="8" type="noConversion"/>
  </si>
  <si>
    <t>GW,ESP</t>
    <phoneticPr fontId="8" type="noConversion"/>
  </si>
  <si>
    <t>GW,VSG,ESP,ABM</t>
    <phoneticPr fontId="6" type="noConversion"/>
  </si>
  <si>
    <t>GW</t>
    <phoneticPr fontId="0" type="noConversion"/>
  </si>
  <si>
    <t>GW,ESP</t>
    <phoneticPr fontId="0" type="noConversion"/>
  </si>
  <si>
    <t>MCU</t>
    <phoneticPr fontId="8" type="noConversion"/>
  </si>
  <si>
    <t>GW,BMS,OBC,MCU</t>
    <phoneticPr fontId="8" type="noConversion"/>
  </si>
  <si>
    <t>GW,VSG,MCU</t>
    <phoneticPr fontId="6" type="noConversion"/>
  </si>
  <si>
    <t>GW,MCU,EPS</t>
    <phoneticPr fontId="6" type="noConversion"/>
  </si>
  <si>
    <t>GW,MCU</t>
    <phoneticPr fontId="8" type="noConversion"/>
  </si>
  <si>
    <t>GW,BMS,MCU</t>
    <phoneticPr fontId="0" type="noConversion"/>
  </si>
  <si>
    <t>ESP</t>
    <phoneticPr fontId="8" type="noConversion"/>
  </si>
  <si>
    <t>GW,ESP,ABM</t>
    <phoneticPr fontId="16" type="noConversion"/>
  </si>
  <si>
    <t>ECUx</t>
    <phoneticPr fontId="0" type="noConversion"/>
  </si>
  <si>
    <t>GW</t>
    <phoneticPr fontId="8" type="noConversion"/>
  </si>
  <si>
    <t>GW,ESP,ABM</t>
    <phoneticPr fontId="8" type="noConversion"/>
  </si>
  <si>
    <t>GW</t>
    <phoneticPr fontId="29" type="noConversion"/>
  </si>
  <si>
    <t>ESP</t>
    <phoneticPr fontId="0" type="noConversion"/>
  </si>
  <si>
    <t>GW,ESP</t>
    <phoneticPr fontId="29" type="noConversion"/>
  </si>
  <si>
    <t>GW,ECUx</t>
    <phoneticPr fontId="0" type="noConversion"/>
  </si>
  <si>
    <t>VCU,MCU</t>
    <phoneticPr fontId="8" type="noConversion"/>
  </si>
  <si>
    <t>GW,VCU,MCU</t>
    <phoneticPr fontId="0" type="noConversion"/>
  </si>
  <si>
    <t>VCU,MCU</t>
    <phoneticPr fontId="0" type="noConversion"/>
  </si>
  <si>
    <t>VCU</t>
    <phoneticPr fontId="0" type="noConversion"/>
  </si>
  <si>
    <t>GW,VCU,MCU,ABM</t>
    <phoneticPr fontId="0" type="noConversion"/>
  </si>
  <si>
    <t>VCU,MCU</t>
    <phoneticPr fontId="6" type="noConversion"/>
  </si>
  <si>
    <t>VCU</t>
    <phoneticPr fontId="8" type="noConversion"/>
  </si>
  <si>
    <t>GW,VCU</t>
    <phoneticPr fontId="0" type="noConversion"/>
  </si>
  <si>
    <t>GW,VCU,OBC,MCU</t>
    <phoneticPr fontId="8" type="noConversion"/>
  </si>
  <si>
    <t>GW,VCU</t>
    <phoneticPr fontId="6" type="noConversion"/>
  </si>
  <si>
    <t>VCU</t>
    <phoneticPr fontId="6" type="noConversion"/>
  </si>
  <si>
    <t>VCU,OBC</t>
    <phoneticPr fontId="8" type="noConversion"/>
  </si>
  <si>
    <t>VCU,OBC</t>
    <phoneticPr fontId="0" type="noConversion"/>
  </si>
  <si>
    <t>OBC</t>
    <phoneticPr fontId="0" type="noConversion"/>
  </si>
  <si>
    <t>GW,VCU,ABM</t>
    <phoneticPr fontId="0" type="noConversion"/>
  </si>
  <si>
    <t>VCU,BMS</t>
    <phoneticPr fontId="29" type="noConversion"/>
  </si>
  <si>
    <t>VCU,BMS</t>
    <phoneticPr fontId="0" type="noConversion"/>
  </si>
  <si>
    <t>GW,VCU,BMS</t>
    <phoneticPr fontId="0" type="noConversion"/>
  </si>
  <si>
    <t>BMS</t>
    <phoneticPr fontId="0" type="noConversion"/>
  </si>
  <si>
    <t>GW,VCU,BMS,MCU</t>
    <phoneticPr fontId="8" type="noConversion"/>
  </si>
  <si>
    <t>VCU</t>
    <phoneticPr fontId="29" type="noConversion"/>
  </si>
  <si>
    <t>GW,VCU,BMS</t>
    <phoneticPr fontId="29" type="noConversion"/>
  </si>
  <si>
    <t>GW,VCU</t>
    <phoneticPr fontId="29" type="noConversion"/>
  </si>
  <si>
    <t>GW,VCU,ABM</t>
    <phoneticPr fontId="29" type="noConversion"/>
  </si>
  <si>
    <t>GW,VCU,BMS,OBC</t>
    <phoneticPr fontId="8" type="noConversion"/>
  </si>
  <si>
    <t>VCU,ESP</t>
    <phoneticPr fontId="29" type="noConversion"/>
  </si>
  <si>
    <t>GW,VCU,ESP,EPS,ABM</t>
    <phoneticPr fontId="0" type="noConversion"/>
  </si>
  <si>
    <t>GW,ESP,EPS</t>
    <phoneticPr fontId="0" type="noConversion"/>
  </si>
  <si>
    <t>ESP,EPS</t>
    <phoneticPr fontId="0" type="noConversion"/>
  </si>
  <si>
    <t>VCU,ESP</t>
    <phoneticPr fontId="0" type="noConversion"/>
  </si>
  <si>
    <t>GW,VCU,BMS,VSG,EPS</t>
    <phoneticPr fontId="0" type="noConversion"/>
  </si>
  <si>
    <t>GW,VCU,BMS,VSG,MCU,EPS,ABM</t>
    <phoneticPr fontId="0" type="noConversion"/>
  </si>
  <si>
    <t>GW,VCU</t>
    <phoneticPr fontId="8" type="noConversion"/>
  </si>
  <si>
    <t>GW,ABM</t>
    <phoneticPr fontId="0" type="noConversion"/>
  </si>
  <si>
    <t>VCU,MCU,ABM</t>
    <phoneticPr fontId="8" type="noConversion"/>
  </si>
  <si>
    <t>VCU,MCU,ABM</t>
    <phoneticPr fontId="0" type="noConversion"/>
  </si>
  <si>
    <t>VCU,ABM</t>
    <phoneticPr fontId="0" type="noConversion"/>
  </si>
  <si>
    <t>ABM</t>
    <phoneticPr fontId="0" type="noConversion"/>
  </si>
  <si>
    <t>SAS</t>
    <phoneticPr fontId="0" type="noConversion"/>
  </si>
  <si>
    <t>GW,VCU,ESP</t>
    <phoneticPr fontId="0" type="noConversion"/>
  </si>
  <si>
    <t>GW,VCU,BMS,MCU</t>
    <phoneticPr fontId="0" type="noConversion"/>
  </si>
  <si>
    <t>VCU,BMS,OBC,MCU</t>
    <phoneticPr fontId="0" type="noConversion"/>
  </si>
  <si>
    <t>0x0:Not charge
0x1:Charging
0x2:Charge end
0x3:Forbid charge</t>
    <phoneticPr fontId="0" type="noConversion"/>
  </si>
  <si>
    <t>0x0:OFF
0x1:ON
0x2:Flashing
0x3:Reserved</t>
    <phoneticPr fontId="0" type="noConversion"/>
  </si>
  <si>
    <t>0x0:Normal
0x1:Rank 1
0x2:Rank 2
0x3:Reserved</t>
    <phoneticPr fontId="0" type="noConversion"/>
  </si>
  <si>
    <t>0x0:Not connected
0x1:Connected</t>
    <phoneticPr fontId="0" type="noConversion"/>
  </si>
  <si>
    <t>0x0:Normal
0x1:Rank1
0x2:Rank2
0x3:Rank3
0x4:Rank4
0x5-0x7:Reserved</t>
    <phoneticPr fontId="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</si>
</sst>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76" formatCode="_ * #,##0.00_ ;_ * \-#,##0.00_ ;_ * &quot;-&quot;??_ ;_ @_ "/>
    <numFmt numFmtId="177" formatCode="dd/mm/yyyy;@"/>
    <numFmt numFmtId="178" formatCode="[$-809]d\ mmmm\ yyyy;@"/>
    <numFmt numFmtId="179" formatCode="[$-809]dd\ mmmm\ yyyy;@"/>
  </numFmts>
  <fonts count="63">
    <font>
      <sz val="10"/>
      <name val="Arial"/>
      <family val="2"/>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0"/>
      <name val="Arial"/>
      <family val="2"/>
    </font>
    <font>
      <b/>
      <sz val="12"/>
      <name val="Arial"/>
      <family val="2"/>
    </font>
    <font>
      <sz val="9"/>
      <name val="宋体"/>
      <family val="3"/>
      <charset val="134"/>
    </font>
    <font>
      <sz val="10"/>
      <name val="宋体"/>
      <family val="3"/>
      <charset val="134"/>
    </font>
    <font>
      <sz val="8"/>
      <name val="Arial"/>
      <family val="2"/>
    </font>
    <font>
      <sz val="10"/>
      <color theme="1"/>
      <name val="Arial"/>
      <family val="2"/>
    </font>
    <font>
      <sz val="12"/>
      <name val="宋体"/>
      <family val="3"/>
      <charset val="134"/>
    </font>
    <font>
      <b/>
      <sz val="10"/>
      <name val="Arial"/>
      <family val="2"/>
    </font>
    <font>
      <sz val="10"/>
      <color indexed="8"/>
      <name val="Arial"/>
      <family val="2"/>
    </font>
    <font>
      <sz val="20"/>
      <name val="Wingdings"/>
      <charset val="2"/>
    </font>
    <font>
      <sz val="9"/>
      <name val="Calibri"/>
      <family val="2"/>
    </font>
    <font>
      <b/>
      <sz val="14"/>
      <color indexed="8"/>
      <name val="Calibri"/>
      <family val="2"/>
    </font>
    <font>
      <b/>
      <sz val="10"/>
      <color indexed="8"/>
      <name val="Arial"/>
      <family val="2"/>
    </font>
    <font>
      <b/>
      <sz val="12"/>
      <color indexed="8"/>
      <name val="Calibri"/>
      <family val="2"/>
    </font>
    <font>
      <b/>
      <sz val="16"/>
      <color rgb="FFFF0000"/>
      <name val="Arial"/>
      <family val="2"/>
    </font>
    <font>
      <sz val="10"/>
      <color rgb="FFFF0000"/>
      <name val="Arial"/>
      <family val="2"/>
    </font>
    <font>
      <b/>
      <sz val="16"/>
      <name val="Arial"/>
      <family val="2"/>
    </font>
    <font>
      <b/>
      <sz val="8"/>
      <name val="Verdana"/>
      <family val="2"/>
    </font>
    <font>
      <sz val="8"/>
      <name val="Verdana"/>
      <family val="2"/>
    </font>
    <font>
      <b/>
      <i/>
      <sz val="10"/>
      <name val="Verdana"/>
      <family val="2"/>
    </font>
    <font>
      <b/>
      <sz val="10"/>
      <name val="Verdana"/>
      <family val="2"/>
    </font>
    <font>
      <sz val="16"/>
      <color rgb="FFFF0000"/>
      <name val="Arial"/>
      <family val="2"/>
    </font>
    <font>
      <sz val="10"/>
      <color theme="1"/>
      <name val="宋体"/>
      <family val="3"/>
      <charset val="134"/>
    </font>
    <font>
      <sz val="9"/>
      <name val="宋体"/>
      <family val="3"/>
      <charset val="134"/>
      <scheme val="minor"/>
    </font>
    <font>
      <sz val="11"/>
      <color theme="1"/>
      <name val="宋体"/>
      <family val="2"/>
      <scheme val="minor"/>
    </font>
    <font>
      <sz val="11"/>
      <name val="Arial"/>
      <family val="2"/>
    </font>
    <font>
      <sz val="10"/>
      <name val="GungsuhChe"/>
      <family val="3"/>
      <charset val="129"/>
    </font>
    <font>
      <sz val="10"/>
      <name val="MS Sans Serif"/>
      <family val="2"/>
    </font>
    <font>
      <sz val="8"/>
      <name val="宋体"/>
      <family val="3"/>
      <charset val="134"/>
    </font>
    <font>
      <sz val="10"/>
      <name val="Gungsuh"/>
      <family val="1"/>
      <charset val="129"/>
    </font>
    <font>
      <sz val="9"/>
      <name val="Arial"/>
      <family val="2"/>
    </font>
    <font>
      <sz val="11"/>
      <color indexed="8"/>
      <name val="Calibri"/>
      <family val="2"/>
    </font>
    <font>
      <sz val="11"/>
      <color theme="1"/>
      <name val="宋体"/>
      <family val="3"/>
      <charset val="134"/>
      <scheme val="minor"/>
    </font>
    <font>
      <sz val="18"/>
      <name val="Arial"/>
      <family val="2"/>
    </font>
    <font>
      <sz val="18"/>
      <name val="宋体"/>
      <family val="3"/>
      <charset val="134"/>
    </font>
    <font>
      <b/>
      <sz val="18"/>
      <name val="宋体"/>
      <family val="3"/>
      <charset val="134"/>
    </font>
    <font>
      <sz val="9"/>
      <name val="宋体"/>
      <family val="2"/>
      <charset val="134"/>
      <scheme val="minor"/>
    </font>
    <font>
      <sz val="10"/>
      <name val="Arial Unicode MS"/>
      <family val="2"/>
      <charset val="134"/>
    </font>
    <font>
      <sz val="11"/>
      <name val="Arial Unicode MS"/>
      <family val="2"/>
      <charset val="134"/>
    </font>
    <font>
      <sz val="20"/>
      <name val="黑体"/>
      <family val="3"/>
      <charset val="134"/>
    </font>
    <font>
      <sz val="12"/>
      <color theme="1"/>
      <name val="黑体"/>
      <family val="3"/>
      <charset val="134"/>
    </font>
    <font>
      <sz val="14"/>
      <color theme="1"/>
      <name val="黑体"/>
      <family val="3"/>
      <charset val="134"/>
    </font>
    <font>
      <sz val="14"/>
      <color theme="1"/>
      <name val="Arial"/>
      <family val="2"/>
    </font>
    <font>
      <sz val="14"/>
      <name val="Arial"/>
      <family val="2"/>
    </font>
    <font>
      <b/>
      <sz val="10"/>
      <color theme="1"/>
      <name val="Arial"/>
      <family val="2"/>
    </font>
    <font>
      <sz val="10"/>
      <color indexed="8"/>
      <name val="宋体"/>
      <family val="3"/>
      <charset val="134"/>
    </font>
    <font>
      <b/>
      <sz val="8"/>
      <name val="Arial"/>
      <family val="2"/>
    </font>
    <font>
      <b/>
      <sz val="8"/>
      <name val="宋体"/>
      <family val="3"/>
      <charset val="134"/>
    </font>
    <font>
      <sz val="10"/>
      <name val="[8bO53"/>
      <family val="2"/>
    </font>
    <font>
      <sz val="10.5"/>
      <name val="Times New Roman"/>
      <family val="1"/>
    </font>
    <font>
      <sz val="10"/>
      <name val="Segoe UI"/>
      <family val="2"/>
    </font>
    <font>
      <sz val="10"/>
      <color rgb="FF000000"/>
      <name val="Segoe UI"/>
      <family val="2"/>
    </font>
    <font>
      <b/>
      <i/>
      <sz val="8"/>
      <name val="Arial"/>
      <family val="2"/>
    </font>
    <font>
      <sz val="20"/>
      <color theme="1"/>
      <name val="Wingdings"/>
      <charset val="2"/>
    </font>
    <font>
      <sz val="8"/>
      <color rgb="FF000000"/>
      <name val="Arial"/>
      <family val="2"/>
    </font>
    <font>
      <sz val="8"/>
      <color rgb="FF000000"/>
      <name val="宋体"/>
      <family val="3"/>
      <charset val="134"/>
    </font>
    <font>
      <b/>
      <sz val="20"/>
      <name val="Wingdings"/>
      <charset val="2"/>
    </font>
  </fonts>
  <fills count="6">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dashed">
        <color indexed="64"/>
      </right>
      <top style="thin">
        <color indexed="64"/>
      </top>
      <bottom style="dashed">
        <color indexed="64"/>
      </bottom>
      <diagonal/>
    </border>
    <border>
      <left style="dashed">
        <color indexed="64"/>
      </left>
      <right style="thin">
        <color indexed="64"/>
      </right>
      <top style="thin">
        <color indexed="64"/>
      </top>
      <bottom style="dashed">
        <color indexed="64"/>
      </bottom>
      <diagonal/>
    </border>
    <border>
      <left style="thin">
        <color indexed="64"/>
      </left>
      <right style="thin">
        <color indexed="64"/>
      </right>
      <top style="thin">
        <color indexed="64"/>
      </top>
      <bottom style="dashed">
        <color indexed="64"/>
      </bottom>
      <diagonal/>
    </border>
    <border>
      <left style="thin">
        <color indexed="64"/>
      </left>
      <right style="dashed">
        <color indexed="64"/>
      </right>
      <top style="dashed">
        <color indexed="64"/>
      </top>
      <bottom style="dashed">
        <color indexed="64"/>
      </bottom>
      <diagonal/>
    </border>
    <border>
      <left style="dashed">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dashed">
        <color indexed="64"/>
      </right>
      <top style="dashed">
        <color indexed="64"/>
      </top>
      <bottom style="thin">
        <color indexed="64"/>
      </bottom>
      <diagonal/>
    </border>
    <border>
      <left style="dashed">
        <color indexed="64"/>
      </left>
      <right style="thin">
        <color indexed="64"/>
      </right>
      <top style="dashed">
        <color indexed="64"/>
      </top>
      <bottom style="thin">
        <color indexed="64"/>
      </bottom>
      <diagonal/>
    </border>
    <border>
      <left style="thin">
        <color indexed="64"/>
      </left>
      <right style="thin">
        <color indexed="64"/>
      </right>
      <top style="dashed">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s>
  <cellStyleXfs count="134">
    <xf numFmtId="178" fontId="0" fillId="0" borderId="0"/>
    <xf numFmtId="178" fontId="12" fillId="0" borderId="0"/>
    <xf numFmtId="178" fontId="6" fillId="0" borderId="0"/>
    <xf numFmtId="178" fontId="30" fillId="0" borderId="0"/>
    <xf numFmtId="178" fontId="33" fillId="0" borderId="0"/>
    <xf numFmtId="178" fontId="6" fillId="0" borderId="0"/>
    <xf numFmtId="43" fontId="6" fillId="0" borderId="0" applyFont="0" applyFill="0" applyBorder="0" applyAlignment="0" applyProtection="0">
      <alignment vertical="center"/>
    </xf>
    <xf numFmtId="178" fontId="6" fillId="0" borderId="0"/>
    <xf numFmtId="178" fontId="6" fillId="0" borderId="0"/>
    <xf numFmtId="178" fontId="6" fillId="0" borderId="0"/>
    <xf numFmtId="178" fontId="6" fillId="0" borderId="0"/>
    <xf numFmtId="178" fontId="6" fillId="0" borderId="0"/>
    <xf numFmtId="178" fontId="37" fillId="0" borderId="0">
      <alignment vertical="center"/>
    </xf>
    <xf numFmtId="178" fontId="38" fillId="0" borderId="0">
      <alignment vertical="center"/>
    </xf>
    <xf numFmtId="178" fontId="6" fillId="0" borderId="0"/>
    <xf numFmtId="178" fontId="38" fillId="0" borderId="0">
      <alignment vertical="center"/>
    </xf>
    <xf numFmtId="176" fontId="6" fillId="0" borderId="0" applyFont="0" applyFill="0" applyBorder="0" applyAlignment="0" applyProtection="0">
      <alignment vertical="center"/>
    </xf>
    <xf numFmtId="178" fontId="6" fillId="0" borderId="0"/>
    <xf numFmtId="178" fontId="6" fillId="0" borderId="0"/>
    <xf numFmtId="178" fontId="12" fillId="0" borderId="0"/>
    <xf numFmtId="178" fontId="6" fillId="0" borderId="0"/>
    <xf numFmtId="178" fontId="30" fillId="0" borderId="0"/>
    <xf numFmtId="178" fontId="6" fillId="0" borderId="0"/>
    <xf numFmtId="178" fontId="6" fillId="0" borderId="0"/>
    <xf numFmtId="178" fontId="6" fillId="0" borderId="0"/>
    <xf numFmtId="178" fontId="6" fillId="0" borderId="0"/>
    <xf numFmtId="178" fontId="6" fillId="0" borderId="0"/>
    <xf numFmtId="178" fontId="30" fillId="0" borderId="0">
      <alignment vertical="center"/>
    </xf>
    <xf numFmtId="178" fontId="6" fillId="0" borderId="0"/>
    <xf numFmtId="178" fontId="12" fillId="0" borderId="0"/>
    <xf numFmtId="178" fontId="6" fillId="0" borderId="0"/>
    <xf numFmtId="178" fontId="30"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30" fillId="0" borderId="0">
      <alignment vertical="center"/>
    </xf>
    <xf numFmtId="178" fontId="12" fillId="0" borderId="0"/>
    <xf numFmtId="178" fontId="37" fillId="0" borderId="0">
      <alignment vertical="center"/>
    </xf>
    <xf numFmtId="178" fontId="6" fillId="0" borderId="0"/>
    <xf numFmtId="178" fontId="5" fillId="0" borderId="0">
      <alignment vertical="center"/>
    </xf>
    <xf numFmtId="178" fontId="6" fillId="0" borderId="0"/>
    <xf numFmtId="178" fontId="6" fillId="0" borderId="0"/>
    <xf numFmtId="178" fontId="6" fillId="0" borderId="0"/>
    <xf numFmtId="178" fontId="30" fillId="0" borderId="0"/>
    <xf numFmtId="178" fontId="30" fillId="0" borderId="0">
      <alignment vertical="center"/>
    </xf>
    <xf numFmtId="178" fontId="6" fillId="0" borderId="0"/>
    <xf numFmtId="178" fontId="6" fillId="0" borderId="0"/>
    <xf numFmtId="178" fontId="12" fillId="0" borderId="0"/>
    <xf numFmtId="178" fontId="6" fillId="0" borderId="0"/>
    <xf numFmtId="178" fontId="5" fillId="0" borderId="0">
      <alignment vertical="center"/>
    </xf>
    <xf numFmtId="178" fontId="6" fillId="0" borderId="0"/>
    <xf numFmtId="178" fontId="30" fillId="0" borderId="0"/>
    <xf numFmtId="178" fontId="12"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5" fillId="0" borderId="0">
      <alignment vertical="center"/>
    </xf>
    <xf numFmtId="178" fontId="37" fillId="0" borderId="0">
      <alignment vertical="center"/>
    </xf>
    <xf numFmtId="178" fontId="6" fillId="0" borderId="0"/>
    <xf numFmtId="178" fontId="6" fillId="0" borderId="0"/>
    <xf numFmtId="178" fontId="6" fillId="0" borderId="0"/>
    <xf numFmtId="178" fontId="30" fillId="0" borderId="0"/>
    <xf numFmtId="178" fontId="5" fillId="0" borderId="0">
      <alignment vertical="center"/>
    </xf>
    <xf numFmtId="176" fontId="6" fillId="0" borderId="0" applyFont="0" applyFill="0" applyBorder="0" applyAlignment="0" applyProtection="0">
      <alignment vertical="center"/>
    </xf>
    <xf numFmtId="178" fontId="4" fillId="0" borderId="0">
      <alignment vertical="center"/>
    </xf>
    <xf numFmtId="178" fontId="4" fillId="0" borderId="0">
      <alignment vertical="center"/>
    </xf>
    <xf numFmtId="178" fontId="4" fillId="0" borderId="0">
      <alignment vertical="center"/>
    </xf>
    <xf numFmtId="178" fontId="4" fillId="0" borderId="0">
      <alignment vertical="center"/>
    </xf>
    <xf numFmtId="178" fontId="6" fillId="0" borderId="0"/>
    <xf numFmtId="178" fontId="12" fillId="0" borderId="0"/>
    <xf numFmtId="178" fontId="6" fillId="0" borderId="0"/>
    <xf numFmtId="178" fontId="30" fillId="0" borderId="0"/>
    <xf numFmtId="178" fontId="6" fillId="0" borderId="0"/>
    <xf numFmtId="176" fontId="6" fillId="0" borderId="0" applyFont="0" applyFill="0" applyBorder="0" applyAlignment="0" applyProtection="0">
      <alignment vertical="center"/>
    </xf>
    <xf numFmtId="178" fontId="6"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6" fillId="0" borderId="0"/>
    <xf numFmtId="178" fontId="30" fillId="0" borderId="0">
      <alignment vertical="center"/>
    </xf>
    <xf numFmtId="178" fontId="12" fillId="0" borderId="0"/>
    <xf numFmtId="178" fontId="37" fillId="0" borderId="0">
      <alignment vertical="center"/>
    </xf>
    <xf numFmtId="178" fontId="6" fillId="0" borderId="0"/>
    <xf numFmtId="178" fontId="3" fillId="0" borderId="0">
      <alignment vertical="center"/>
    </xf>
    <xf numFmtId="178" fontId="6" fillId="0" borderId="0"/>
    <xf numFmtId="178" fontId="6" fillId="0" borderId="0"/>
    <xf numFmtId="178" fontId="6" fillId="0" borderId="0"/>
    <xf numFmtId="178" fontId="30" fillId="0" borderId="0"/>
    <xf numFmtId="178" fontId="12" fillId="0" borderId="0"/>
    <xf numFmtId="178" fontId="3" fillId="0" borderId="0">
      <alignment vertical="center"/>
    </xf>
    <xf numFmtId="178" fontId="6" fillId="0" borderId="0"/>
    <xf numFmtId="178" fontId="6" fillId="0" borderId="0"/>
    <xf numFmtId="178" fontId="30" fillId="0" borderId="0"/>
    <xf numFmtId="178" fontId="3" fillId="0" borderId="0">
      <alignment vertical="center"/>
    </xf>
    <xf numFmtId="178" fontId="3" fillId="0" borderId="0">
      <alignment vertical="center"/>
    </xf>
    <xf numFmtId="178" fontId="3" fillId="0" borderId="0">
      <alignment vertical="center"/>
    </xf>
    <xf numFmtId="178" fontId="6" fillId="0" borderId="0"/>
    <xf numFmtId="178" fontId="38" fillId="0" borderId="0">
      <alignment vertical="center"/>
    </xf>
    <xf numFmtId="176" fontId="6" fillId="0" borderId="0" applyFont="0" applyFill="0" applyBorder="0" applyAlignment="0" applyProtection="0">
      <alignment vertical="center"/>
    </xf>
    <xf numFmtId="178" fontId="12" fillId="0" borderId="0"/>
    <xf numFmtId="178" fontId="3" fillId="0" borderId="0">
      <alignment vertical="center"/>
    </xf>
    <xf numFmtId="178" fontId="3" fillId="0" borderId="0">
      <alignment vertical="center"/>
    </xf>
    <xf numFmtId="178" fontId="3" fillId="0" borderId="0">
      <alignment vertical="center"/>
    </xf>
    <xf numFmtId="178" fontId="3" fillId="0" borderId="0">
      <alignment vertical="center"/>
    </xf>
    <xf numFmtId="178" fontId="2" fillId="0" borderId="0">
      <alignment vertical="center"/>
    </xf>
    <xf numFmtId="178" fontId="6" fillId="0" borderId="0"/>
    <xf numFmtId="176" fontId="6" fillId="0" borderId="0" applyFont="0" applyFill="0" applyBorder="0" applyAlignment="0" applyProtection="0">
      <alignment vertical="center"/>
    </xf>
    <xf numFmtId="178" fontId="2" fillId="0" borderId="0">
      <alignment vertical="center"/>
    </xf>
    <xf numFmtId="178" fontId="2" fillId="0" borderId="0">
      <alignment vertical="center"/>
    </xf>
    <xf numFmtId="178" fontId="2" fillId="0" borderId="0">
      <alignment vertical="center"/>
    </xf>
    <xf numFmtId="178" fontId="6" fillId="0" borderId="0"/>
    <xf numFmtId="178" fontId="2" fillId="0" borderId="0">
      <alignment vertical="center"/>
    </xf>
    <xf numFmtId="178" fontId="2" fillId="0" borderId="0">
      <alignment vertical="center"/>
    </xf>
    <xf numFmtId="176" fontId="6" fillId="0" borderId="0" applyFont="0" applyFill="0" applyBorder="0" applyAlignment="0" applyProtection="0">
      <alignment vertical="center"/>
    </xf>
    <xf numFmtId="178" fontId="2" fillId="0" borderId="0">
      <alignment vertical="center"/>
    </xf>
    <xf numFmtId="178" fontId="2" fillId="0" borderId="0">
      <alignment vertical="center"/>
    </xf>
    <xf numFmtId="178" fontId="2" fillId="0" borderId="0">
      <alignment vertical="center"/>
    </xf>
    <xf numFmtId="178" fontId="2" fillId="0" borderId="0">
      <alignment vertical="center"/>
    </xf>
  </cellStyleXfs>
  <cellXfs count="508">
    <xf numFmtId="178" fontId="0" fillId="0" borderId="0" xfId="0"/>
    <xf numFmtId="178" fontId="0" fillId="0" borderId="0" xfId="0" applyNumberFormat="1"/>
    <xf numFmtId="178" fontId="46" fillId="0" borderId="0" xfId="0" applyNumberFormat="1" applyFont="1" applyFill="1" applyBorder="1" applyAlignment="1">
      <alignment horizontal="center" wrapText="1"/>
    </xf>
    <xf numFmtId="178" fontId="0" fillId="0" borderId="0" xfId="0" applyNumberFormat="1" applyAlignment="1"/>
    <xf numFmtId="178" fontId="48" fillId="0" borderId="0" xfId="0" applyNumberFormat="1" applyFont="1" applyFill="1" applyBorder="1" applyAlignment="1">
      <alignment horizontal="center" wrapText="1"/>
    </xf>
    <xf numFmtId="178" fontId="49" fillId="0" borderId="0" xfId="0" applyNumberFormat="1" applyFont="1"/>
    <xf numFmtId="178" fontId="48" fillId="0" borderId="0" xfId="0" applyNumberFormat="1" applyFont="1" applyFill="1" applyBorder="1" applyAlignment="1" applyProtection="1">
      <alignment horizontal="center" wrapText="1"/>
    </xf>
    <xf numFmtId="178" fontId="49" fillId="0" borderId="0" xfId="0" applyNumberFormat="1" applyFont="1" applyFill="1" applyBorder="1" applyAlignment="1" applyProtection="1">
      <alignment horizontal="center"/>
    </xf>
    <xf numFmtId="178" fontId="49" fillId="0" borderId="0" xfId="0" applyNumberFormat="1" applyFont="1" applyAlignment="1"/>
    <xf numFmtId="178" fontId="0" fillId="0" borderId="1" xfId="0" applyNumberFormat="1" applyFill="1" applyBorder="1" applyAlignment="1">
      <alignment horizontal="left" wrapText="1"/>
    </xf>
    <xf numFmtId="178" fontId="0" fillId="0" borderId="1" xfId="0" applyNumberFormat="1" applyFill="1" applyBorder="1" applyAlignment="1">
      <alignment vertical="center" wrapText="1"/>
    </xf>
    <xf numFmtId="178" fontId="0" fillId="0" borderId="1" xfId="0" applyNumberFormat="1" applyFill="1" applyBorder="1" applyAlignment="1">
      <alignment wrapText="1"/>
    </xf>
    <xf numFmtId="178" fontId="0" fillId="0" borderId="0" xfId="0" applyNumberFormat="1" applyAlignment="1"/>
    <xf numFmtId="178" fontId="11" fillId="0" borderId="1" xfId="0" applyNumberFormat="1" applyFont="1" applyFill="1" applyBorder="1" applyAlignment="1">
      <alignment horizontal="left" vertical="center" wrapText="1"/>
    </xf>
    <xf numFmtId="178" fontId="6" fillId="0" borderId="0" xfId="0" applyNumberFormat="1" applyFont="1" applyFill="1" applyAlignment="1"/>
    <xf numFmtId="178" fontId="17" fillId="3" borderId="9" xfId="0" applyNumberFormat="1" applyFont="1" applyFill="1" applyBorder="1" applyAlignment="1">
      <alignment horizontal="center" vertical="center"/>
    </xf>
    <xf numFmtId="178" fontId="17" fillId="3" borderId="10" xfId="0" applyNumberFormat="1" applyFont="1" applyFill="1" applyBorder="1" applyAlignment="1">
      <alignment horizontal="center" vertical="center"/>
    </xf>
    <xf numFmtId="178" fontId="17" fillId="3" borderId="11" xfId="0" applyNumberFormat="1" applyFont="1" applyFill="1" applyBorder="1" applyAlignment="1">
      <alignment horizontal="center" vertical="center"/>
    </xf>
    <xf numFmtId="178" fontId="17" fillId="3" borderId="12" xfId="0" applyNumberFormat="1" applyFont="1" applyFill="1" applyBorder="1" applyAlignment="1">
      <alignment horizontal="center" vertical="center"/>
    </xf>
    <xf numFmtId="178" fontId="14" fillId="0" borderId="7" xfId="0" applyNumberFormat="1" applyFont="1" applyFill="1" applyBorder="1" applyAlignment="1">
      <alignment horizontal="center" vertical="center" wrapText="1"/>
    </xf>
    <xf numFmtId="178" fontId="14" fillId="0" borderId="1" xfId="0" applyNumberFormat="1" applyFont="1" applyFill="1" applyBorder="1" applyAlignment="1">
      <alignment horizontal="left" vertical="center" wrapText="1"/>
    </xf>
    <xf numFmtId="178" fontId="18" fillId="0" borderId="1" xfId="0" applyNumberFormat="1" applyFont="1" applyFill="1" applyBorder="1" applyAlignment="1">
      <alignment horizontal="center" vertical="center"/>
    </xf>
    <xf numFmtId="178" fontId="18" fillId="0" borderId="7" xfId="0" applyNumberFormat="1" applyFont="1" applyFill="1" applyBorder="1" applyAlignment="1">
      <alignment horizontal="center" vertical="center"/>
    </xf>
    <xf numFmtId="178" fontId="14" fillId="0" borderId="7" xfId="0" applyNumberFormat="1" applyFont="1" applyFill="1" applyBorder="1" applyAlignment="1">
      <alignment horizontal="left" vertical="center" wrapText="1"/>
    </xf>
    <xf numFmtId="178" fontId="14" fillId="0" borderId="7" xfId="0" applyNumberFormat="1" applyFont="1" applyFill="1" applyBorder="1" applyAlignment="1">
      <alignment horizontal="left" vertical="center"/>
    </xf>
    <xf numFmtId="178" fontId="6" fillId="0" borderId="1" xfId="0" applyNumberFormat="1" applyFont="1" applyFill="1" applyBorder="1" applyAlignment="1">
      <alignment vertical="center" wrapText="1"/>
    </xf>
    <xf numFmtId="178" fontId="6" fillId="0" borderId="1" xfId="0" applyNumberFormat="1" applyFont="1" applyFill="1" applyBorder="1" applyAlignment="1">
      <alignment vertical="center"/>
    </xf>
    <xf numFmtId="178" fontId="11" fillId="0" borderId="1" xfId="0" applyNumberFormat="1" applyFont="1" applyFill="1" applyBorder="1" applyAlignment="1">
      <alignment horizontal="left" vertical="center"/>
    </xf>
    <xf numFmtId="178" fontId="11" fillId="0" borderId="1" xfId="0" applyNumberFormat="1" applyFont="1" applyFill="1" applyBorder="1" applyAlignment="1">
      <alignment vertical="center" wrapText="1"/>
    </xf>
    <xf numFmtId="178" fontId="6" fillId="0" borderId="1" xfId="0" applyNumberFormat="1" applyFont="1" applyFill="1" applyBorder="1" applyAlignment="1">
      <alignment horizontal="left" vertical="center" wrapText="1"/>
    </xf>
    <xf numFmtId="178" fontId="0" fillId="0" borderId="1" xfId="0" applyNumberFormat="1" applyFill="1" applyBorder="1" applyAlignment="1">
      <alignment horizontal="left" vertical="center" wrapText="1"/>
    </xf>
    <xf numFmtId="178" fontId="6" fillId="0" borderId="1" xfId="0" applyNumberFormat="1" applyFont="1" applyFill="1" applyBorder="1" applyAlignment="1"/>
    <xf numFmtId="178" fontId="0" fillId="0" borderId="1" xfId="0" applyNumberFormat="1" applyFill="1" applyBorder="1" applyAlignment="1"/>
    <xf numFmtId="178" fontId="6" fillId="0" borderId="1" xfId="0" applyNumberFormat="1" applyFont="1" applyFill="1" applyBorder="1" applyAlignment="1">
      <alignment wrapText="1"/>
    </xf>
    <xf numFmtId="178" fontId="6" fillId="0" borderId="1" xfId="0" applyNumberFormat="1" applyFont="1" applyFill="1" applyBorder="1" applyAlignment="1">
      <alignment horizontal="left"/>
    </xf>
    <xf numFmtId="178" fontId="19" fillId="0" borderId="13" xfId="0" applyNumberFormat="1" applyFont="1" applyFill="1" applyBorder="1" applyAlignment="1">
      <alignment horizontal="left" vertical="center" wrapText="1"/>
    </xf>
    <xf numFmtId="178" fontId="19" fillId="0" borderId="14" xfId="0" applyNumberFormat="1" applyFont="1" applyFill="1" applyBorder="1" applyAlignment="1">
      <alignment horizontal="left" vertical="center" wrapText="1"/>
    </xf>
    <xf numFmtId="178" fontId="0" fillId="0" borderId="15" xfId="0" applyNumberFormat="1" applyFill="1" applyBorder="1" applyAlignment="1">
      <alignment vertical="center" wrapText="1"/>
    </xf>
    <xf numFmtId="178" fontId="0" fillId="0" borderId="0" xfId="0" applyNumberFormat="1" applyFill="1" applyAlignment="1"/>
    <xf numFmtId="178" fontId="0" fillId="0" borderId="16" xfId="0" applyNumberFormat="1" applyFill="1" applyBorder="1" applyAlignment="1">
      <alignment horizontal="left" vertical="center" wrapText="1"/>
    </xf>
    <xf numFmtId="178" fontId="0" fillId="0" borderId="17" xfId="0" applyNumberFormat="1" applyFill="1" applyBorder="1" applyAlignment="1">
      <alignment horizontal="left" vertical="center" wrapText="1"/>
    </xf>
    <xf numFmtId="178" fontId="0" fillId="0" borderId="18" xfId="0" applyNumberFormat="1" applyFill="1" applyBorder="1" applyAlignment="1">
      <alignment vertical="center"/>
    </xf>
    <xf numFmtId="178" fontId="0" fillId="0" borderId="16" xfId="0" applyNumberFormat="1" applyFill="1" applyBorder="1" applyAlignment="1">
      <alignment vertical="center"/>
    </xf>
    <xf numFmtId="178" fontId="0" fillId="0" borderId="17" xfId="0" applyNumberFormat="1" applyFill="1" applyBorder="1" applyAlignment="1">
      <alignment vertical="center"/>
    </xf>
    <xf numFmtId="178" fontId="0" fillId="0" borderId="17" xfId="0" applyNumberFormat="1" applyFill="1" applyBorder="1" applyAlignment="1">
      <alignment horizontal="left" vertical="center"/>
    </xf>
    <xf numFmtId="178" fontId="0" fillId="0" borderId="16" xfId="0" applyNumberFormat="1" applyFill="1" applyBorder="1" applyAlignment="1">
      <alignment horizontal="left" vertical="center"/>
    </xf>
    <xf numFmtId="178" fontId="0" fillId="0" borderId="19" xfId="0" applyNumberFormat="1" applyFill="1" applyBorder="1" applyAlignment="1">
      <alignment vertical="center"/>
    </xf>
    <xf numFmtId="178" fontId="0" fillId="0" borderId="20" xfId="0" applyNumberFormat="1" applyFill="1" applyBorder="1" applyAlignment="1">
      <alignment vertical="center"/>
    </xf>
    <xf numFmtId="178" fontId="0" fillId="0" borderId="21" xfId="0" applyNumberFormat="1" applyFill="1" applyBorder="1" applyAlignment="1">
      <alignment vertical="center"/>
    </xf>
    <xf numFmtId="178" fontId="0" fillId="0" borderId="1" xfId="0" applyNumberFormat="1" applyFill="1" applyBorder="1" applyAlignment="1">
      <alignment horizontal="center" vertical="center" wrapText="1"/>
    </xf>
    <xf numFmtId="178" fontId="0" fillId="0" borderId="0" xfId="0" applyNumberFormat="1" applyFill="1" applyAlignment="1">
      <alignment wrapText="1"/>
    </xf>
    <xf numFmtId="178" fontId="0" fillId="0" borderId="0" xfId="0" applyNumberFormat="1" applyAlignment="1">
      <alignment wrapText="1"/>
    </xf>
    <xf numFmtId="178" fontId="0" fillId="0" borderId="0" xfId="0" applyNumberFormat="1" applyFont="1" applyAlignment="1">
      <alignment vertical="center"/>
    </xf>
    <xf numFmtId="178" fontId="22" fillId="0" borderId="24" xfId="0" applyNumberFormat="1" applyFont="1" applyBorder="1" applyAlignment="1">
      <alignment vertical="center"/>
    </xf>
    <xf numFmtId="178" fontId="23" fillId="0" borderId="25" xfId="0" applyNumberFormat="1" applyFont="1" applyBorder="1" applyAlignment="1">
      <alignment horizontal="left" wrapText="1"/>
    </xf>
    <xf numFmtId="178" fontId="23" fillId="0" borderId="26" xfId="0" applyNumberFormat="1" applyFont="1" applyBorder="1" applyAlignment="1"/>
    <xf numFmtId="178" fontId="23" fillId="0" borderId="25" xfId="0" applyNumberFormat="1" applyFont="1" applyBorder="1" applyAlignment="1"/>
    <xf numFmtId="178" fontId="23" fillId="0" borderId="25" xfId="0" applyNumberFormat="1" applyFont="1" applyFill="1" applyBorder="1" applyAlignment="1">
      <alignment horizontal="left"/>
    </xf>
    <xf numFmtId="178" fontId="24" fillId="2" borderId="25" xfId="0" applyNumberFormat="1" applyFont="1" applyFill="1" applyBorder="1" applyAlignment="1">
      <alignment horizontal="center"/>
    </xf>
    <xf numFmtId="178" fontId="23" fillId="0" borderId="25" xfId="0" applyNumberFormat="1" applyFont="1" applyBorder="1" applyAlignment="1">
      <alignment horizontal="center"/>
    </xf>
    <xf numFmtId="178" fontId="23" fillId="0" borderId="0" xfId="0" applyNumberFormat="1" applyFont="1" applyFill="1" applyBorder="1" applyAlignment="1">
      <alignment horizontal="left"/>
    </xf>
    <xf numFmtId="178" fontId="7" fillId="0" borderId="0" xfId="0" applyNumberFormat="1" applyFont="1"/>
    <xf numFmtId="178" fontId="10" fillId="0" borderId="0" xfId="0" applyNumberFormat="1" applyFont="1" applyAlignment="1">
      <alignment wrapText="1"/>
    </xf>
    <xf numFmtId="178" fontId="10" fillId="0" borderId="0" xfId="0" applyNumberFormat="1" applyFont="1" applyAlignment="1">
      <alignment horizontal="center"/>
    </xf>
    <xf numFmtId="178" fontId="10" fillId="0" borderId="0" xfId="0" applyNumberFormat="1" applyFont="1"/>
    <xf numFmtId="178" fontId="10" fillId="2" borderId="1" xfId="0" applyNumberFormat="1" applyFont="1" applyFill="1" applyBorder="1" applyAlignment="1">
      <alignment horizontal="center"/>
    </xf>
    <xf numFmtId="178" fontId="10" fillId="2" borderId="1" xfId="0" applyNumberFormat="1" applyFont="1" applyFill="1" applyBorder="1" applyAlignment="1">
      <alignment horizontal="center" wrapText="1"/>
    </xf>
    <xf numFmtId="178" fontId="10" fillId="0" borderId="1" xfId="0" applyNumberFormat="1" applyFont="1" applyFill="1" applyBorder="1" applyAlignment="1">
      <alignment horizontal="center"/>
    </xf>
    <xf numFmtId="178" fontId="10" fillId="0" borderId="1" xfId="0" applyNumberFormat="1" applyFont="1" applyBorder="1" applyAlignment="1" applyProtection="1">
      <alignment horizontal="center" wrapText="1"/>
      <protection locked="0"/>
    </xf>
    <xf numFmtId="178" fontId="10" fillId="0" borderId="1" xfId="0" applyNumberFormat="1" applyFont="1" applyBorder="1" applyAlignment="1">
      <alignment horizontal="center" wrapText="1"/>
    </xf>
    <xf numFmtId="178" fontId="10" fillId="0" borderId="1" xfId="0" applyNumberFormat="1" applyFont="1" applyBorder="1" applyAlignment="1">
      <alignment horizontal="center"/>
    </xf>
    <xf numFmtId="178" fontId="0" fillId="0" borderId="0" xfId="0" applyNumberFormat="1" applyFont="1" applyAlignment="1">
      <alignment horizontal="center"/>
    </xf>
    <xf numFmtId="178" fontId="0" fillId="0" borderId="0" xfId="0" applyNumberFormat="1" applyFont="1" applyAlignment="1"/>
    <xf numFmtId="178" fontId="10" fillId="0" borderId="7" xfId="0" applyNumberFormat="1" applyFont="1" applyBorder="1" applyAlignment="1" applyProtection="1">
      <alignment horizontal="left" wrapText="1"/>
      <protection locked="0"/>
    </xf>
    <xf numFmtId="178" fontId="10" fillId="0" borderId="7"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protection locked="0"/>
    </xf>
    <xf numFmtId="178" fontId="10" fillId="0" borderId="1" xfId="0" applyNumberFormat="1" applyFont="1" applyBorder="1" applyAlignment="1" applyProtection="1">
      <alignment horizontal="center"/>
      <protection locked="0"/>
    </xf>
    <xf numFmtId="178" fontId="0" fillId="0" borderId="0" xfId="0" applyNumberFormat="1" applyAlignment="1">
      <alignment vertical="center"/>
    </xf>
    <xf numFmtId="178" fontId="10" fillId="0" borderId="1" xfId="0" applyNumberFormat="1" applyFont="1" applyFill="1" applyBorder="1" applyAlignment="1">
      <alignment horizontal="center"/>
    </xf>
    <xf numFmtId="178" fontId="10" fillId="0" borderId="1" xfId="0" applyNumberFormat="1" applyFont="1" applyFill="1" applyBorder="1" applyAlignment="1">
      <alignment horizontal="center" wrapText="1"/>
    </xf>
    <xf numFmtId="178" fontId="10" fillId="0" borderId="7"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protection locked="0"/>
    </xf>
    <xf numFmtId="178" fontId="10" fillId="0" borderId="7" xfId="0" applyNumberFormat="1" applyFont="1" applyBorder="1" applyAlignment="1" applyProtection="1">
      <alignment horizontal="center" wrapText="1"/>
      <protection locked="0"/>
    </xf>
    <xf numFmtId="178" fontId="10" fillId="0" borderId="1" xfId="0" applyNumberFormat="1" applyFont="1" applyBorder="1" applyAlignment="1" applyProtection="1">
      <alignment horizontal="center" wrapText="1"/>
      <protection locked="0"/>
    </xf>
    <xf numFmtId="177" fontId="10" fillId="0" borderId="1" xfId="0" applyNumberFormat="1" applyFont="1" applyFill="1" applyBorder="1" applyAlignment="1">
      <alignment horizontal="center"/>
    </xf>
    <xf numFmtId="178" fontId="10" fillId="0" borderId="7" xfId="0" applyNumberFormat="1" applyFont="1" applyBorder="1" applyAlignment="1" applyProtection="1">
      <alignment horizontal="center" wrapText="1"/>
      <protection locked="0"/>
    </xf>
    <xf numFmtId="178" fontId="15" fillId="0" borderId="5" xfId="0" applyNumberFormat="1" applyFont="1" applyFill="1" applyBorder="1" applyAlignment="1" applyProtection="1">
      <alignment horizontal="center"/>
    </xf>
    <xf numFmtId="178" fontId="0" fillId="0" borderId="1" xfId="0" applyNumberFormat="1" applyFont="1" applyFill="1" applyBorder="1" applyAlignment="1" applyProtection="1">
      <alignment horizontal="center" wrapText="1"/>
    </xf>
    <xf numFmtId="178" fontId="0" fillId="0" borderId="1" xfId="0" applyNumberFormat="1" applyFont="1" applyFill="1" applyBorder="1" applyAlignment="1">
      <alignment horizontal="center" wrapText="1"/>
    </xf>
    <xf numFmtId="178" fontId="0" fillId="0" borderId="0" xfId="0" applyNumberFormat="1" applyFont="1" applyFill="1" applyBorder="1" applyAlignment="1">
      <alignment horizontal="center"/>
    </xf>
    <xf numFmtId="178" fontId="0" fillId="0" borderId="1" xfId="0" applyNumberFormat="1" applyFill="1" applyBorder="1" applyAlignment="1">
      <alignment horizontal="center" wrapText="1"/>
    </xf>
    <xf numFmtId="178" fontId="0" fillId="0" borderId="1" xfId="0" applyNumberFormat="1" applyFill="1" applyBorder="1" applyAlignment="1" applyProtection="1">
      <alignment horizontal="center" wrapText="1"/>
    </xf>
    <xf numFmtId="178" fontId="0" fillId="0" borderId="1" xfId="0" applyNumberFormat="1" applyFill="1" applyBorder="1" applyAlignment="1">
      <alignment horizontal="center"/>
    </xf>
    <xf numFmtId="178" fontId="0" fillId="0" borderId="0" xfId="0" applyNumberFormat="1" applyFont="1" applyFill="1" applyBorder="1" applyAlignment="1">
      <alignment horizontal="center" wrapText="1"/>
    </xf>
    <xf numFmtId="178" fontId="0" fillId="0" borderId="0" xfId="0" applyNumberFormat="1" applyFont="1" applyFill="1" applyBorder="1" applyAlignment="1" applyProtection="1">
      <alignment horizontal="center" wrapText="1"/>
    </xf>
    <xf numFmtId="178" fontId="0" fillId="0" borderId="0" xfId="0" applyNumberFormat="1" applyFont="1" applyFill="1" applyBorder="1" applyAlignment="1">
      <alignment horizontal="left" wrapText="1"/>
    </xf>
    <xf numFmtId="178" fontId="9" fillId="0" borderId="1" xfId="0" applyNumberFormat="1" applyFont="1" applyFill="1" applyBorder="1" applyAlignment="1">
      <alignment horizontal="center" wrapText="1"/>
    </xf>
    <xf numFmtId="178" fontId="0" fillId="0" borderId="0" xfId="0" applyNumberFormat="1" applyFont="1" applyFill="1" applyAlignment="1"/>
    <xf numFmtId="178" fontId="0" fillId="0" borderId="0" xfId="0" applyNumberFormat="1" applyFont="1" applyFill="1" applyBorder="1" applyAlignment="1"/>
    <xf numFmtId="178" fontId="10" fillId="0" borderId="1"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wrapText="1"/>
      <protection locked="0"/>
    </xf>
    <xf numFmtId="178" fontId="10" fillId="0" borderId="1"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protection locked="0"/>
    </xf>
    <xf numFmtId="178" fontId="10" fillId="0" borderId="7"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wrapText="1"/>
      <protection locked="0"/>
    </xf>
    <xf numFmtId="178" fontId="10" fillId="0" borderId="1" xfId="0" applyNumberFormat="1" applyFont="1" applyBorder="1" applyAlignment="1" applyProtection="1">
      <alignment horizontal="center" wrapText="1"/>
      <protection locked="0"/>
    </xf>
    <xf numFmtId="178" fontId="0" fillId="0" borderId="0" xfId="0" applyNumberFormat="1" applyAlignment="1">
      <alignment horizontal="center"/>
    </xf>
    <xf numFmtId="178" fontId="0" fillId="0" borderId="0" xfId="0" applyNumberFormat="1" applyAlignment="1"/>
    <xf numFmtId="178" fontId="15" fillId="0" borderId="5" xfId="0" applyNumberFormat="1" applyFont="1" applyFill="1" applyBorder="1" applyAlignment="1">
      <alignment horizontal="center" vertical="center"/>
    </xf>
    <xf numFmtId="178" fontId="13" fillId="3" borderId="1" xfId="0" applyNumberFormat="1" applyFont="1" applyFill="1" applyBorder="1" applyAlignment="1">
      <alignment horizontal="center" wrapText="1"/>
    </xf>
    <xf numFmtId="178" fontId="0" fillId="0" borderId="0" xfId="0" applyNumberFormat="1"/>
    <xf numFmtId="178" fontId="0" fillId="0" borderId="1" xfId="0" applyNumberFormat="1" applyBorder="1" applyAlignment="1">
      <alignment horizontal="center"/>
    </xf>
    <xf numFmtId="178" fontId="9" fillId="0" borderId="1" xfId="0" applyNumberFormat="1" applyFont="1" applyBorder="1" applyAlignment="1">
      <alignment horizontal="center"/>
    </xf>
    <xf numFmtId="178" fontId="0" fillId="0" borderId="4" xfId="0" applyNumberFormat="1" applyBorder="1" applyAlignment="1">
      <alignment horizontal="center"/>
    </xf>
    <xf numFmtId="178" fontId="0" fillId="0" borderId="33" xfId="0" applyNumberFormat="1" applyBorder="1" applyAlignment="1">
      <alignment horizontal="center"/>
    </xf>
    <xf numFmtId="178" fontId="0" fillId="0" borderId="4" xfId="0" applyNumberFormat="1" applyFont="1" applyFill="1" applyBorder="1" applyAlignment="1" applyProtection="1">
      <alignment horizontal="center" wrapText="1"/>
    </xf>
    <xf numFmtId="178" fontId="0" fillId="0" borderId="4" xfId="0" applyNumberFormat="1" applyFont="1" applyFill="1" applyBorder="1" applyAlignment="1">
      <alignment horizontal="center" wrapText="1"/>
    </xf>
    <xf numFmtId="178" fontId="0" fillId="0" borderId="33" xfId="0" applyNumberFormat="1" applyFont="1" applyFill="1" applyBorder="1" applyAlignment="1" applyProtection="1">
      <alignment horizontal="center" wrapText="1"/>
    </xf>
    <xf numFmtId="178" fontId="0" fillId="0" borderId="5" xfId="0" applyNumberFormat="1" applyBorder="1"/>
    <xf numFmtId="178" fontId="0" fillId="0" borderId="23" xfId="0" applyNumberFormat="1" applyBorder="1"/>
    <xf numFmtId="178" fontId="0" fillId="0" borderId="6" xfId="0" applyNumberFormat="1" applyBorder="1" applyAlignment="1">
      <alignment horizontal="center"/>
    </xf>
    <xf numFmtId="178" fontId="27" fillId="0" borderId="0" xfId="0" applyNumberFormat="1" applyFont="1" applyBorder="1" applyAlignment="1">
      <alignment horizontal="center" wrapText="1"/>
    </xf>
    <xf numFmtId="178" fontId="10" fillId="0" borderId="1"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wrapText="1"/>
      <protection locked="0"/>
    </xf>
    <xf numFmtId="178" fontId="10" fillId="0" borderId="1"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wrapText="1"/>
      <protection locked="0"/>
    </xf>
    <xf numFmtId="0" fontId="15" fillId="0" borderId="22" xfId="0" applyNumberFormat="1" applyFont="1" applyFill="1" applyBorder="1" applyAlignment="1" applyProtection="1">
      <alignment horizontal="center"/>
    </xf>
    <xf numFmtId="0" fontId="0" fillId="0" borderId="1" xfId="0" applyNumberFormat="1" applyFont="1" applyFill="1" applyBorder="1" applyAlignment="1" applyProtection="1">
      <alignment horizontal="center" wrapText="1"/>
    </xf>
    <xf numFmtId="0" fontId="0" fillId="0" borderId="8" xfId="0" applyNumberFormat="1" applyFont="1" applyFill="1" applyBorder="1" applyAlignment="1" applyProtection="1">
      <alignment horizontal="center" wrapText="1"/>
    </xf>
    <xf numFmtId="0" fontId="0" fillId="0" borderId="8" xfId="0" applyNumberFormat="1" applyFont="1" applyFill="1" applyBorder="1" applyAlignment="1">
      <alignment horizontal="center" wrapText="1"/>
    </xf>
    <xf numFmtId="0" fontId="0" fillId="0" borderId="8" xfId="0" applyNumberFormat="1" applyFill="1" applyBorder="1" applyAlignment="1">
      <alignment horizontal="center" wrapText="1"/>
    </xf>
    <xf numFmtId="0" fontId="0" fillId="0" borderId="8" xfId="0" applyNumberFormat="1" applyFont="1" applyFill="1" applyBorder="1" applyAlignment="1" applyProtection="1">
      <alignment horizontal="left" wrapText="1"/>
    </xf>
    <xf numFmtId="0" fontId="0" fillId="0" borderId="8" xfId="0" applyNumberFormat="1" applyFont="1" applyFill="1" applyBorder="1" applyAlignment="1">
      <alignment horizontal="center"/>
    </xf>
    <xf numFmtId="0" fontId="0" fillId="0" borderId="7" xfId="0" applyNumberFormat="1" applyFont="1" applyFill="1" applyBorder="1" applyAlignment="1">
      <alignment horizontal="center"/>
    </xf>
    <xf numFmtId="0" fontId="0" fillId="0" borderId="38" xfId="0" applyNumberFormat="1" applyFont="1" applyFill="1" applyBorder="1" applyAlignment="1">
      <alignment horizontal="center"/>
    </xf>
    <xf numFmtId="0" fontId="0" fillId="0" borderId="45" xfId="0" applyNumberFormat="1" applyFont="1" applyFill="1" applyBorder="1" applyAlignment="1">
      <alignment horizontal="center"/>
    </xf>
    <xf numFmtId="0" fontId="0" fillId="0" borderId="0" xfId="0" applyNumberFormat="1" applyFont="1" applyFill="1" applyBorder="1" applyAlignment="1">
      <alignment horizontal="center"/>
    </xf>
    <xf numFmtId="0" fontId="0" fillId="0" borderId="0" xfId="0" applyNumberFormat="1" applyFont="1" applyFill="1" applyAlignment="1">
      <alignment horizontal="center"/>
    </xf>
    <xf numFmtId="0" fontId="15" fillId="0" borderId="5" xfId="0" applyNumberFormat="1" applyFont="1" applyFill="1" applyBorder="1" applyAlignment="1" applyProtection="1">
      <alignment horizontal="center"/>
    </xf>
    <xf numFmtId="0" fontId="0" fillId="0" borderId="1" xfId="0" applyNumberFormat="1" applyFont="1" applyFill="1" applyBorder="1" applyAlignment="1">
      <alignment horizontal="center" wrapText="1"/>
    </xf>
    <xf numFmtId="0" fontId="0" fillId="0" borderId="1" xfId="0" applyNumberFormat="1" applyFill="1" applyBorder="1" applyAlignment="1" applyProtection="1">
      <alignment horizontal="left" wrapText="1"/>
    </xf>
    <xf numFmtId="0" fontId="0" fillId="0" borderId="1" xfId="0" applyNumberFormat="1" applyFont="1" applyFill="1" applyBorder="1" applyAlignment="1">
      <alignment horizontal="center"/>
    </xf>
    <xf numFmtId="0" fontId="0" fillId="0" borderId="4" xfId="0" applyNumberFormat="1" applyFont="1" applyFill="1" applyBorder="1" applyAlignment="1">
      <alignment horizontal="center"/>
    </xf>
    <xf numFmtId="0" fontId="0" fillId="0" borderId="2" xfId="0" applyNumberFormat="1" applyFont="1" applyFill="1" applyBorder="1" applyAlignment="1">
      <alignment horizontal="center"/>
    </xf>
    <xf numFmtId="0" fontId="15" fillId="4" borderId="5" xfId="0" applyNumberFormat="1" applyFont="1" applyFill="1" applyBorder="1" applyAlignment="1" applyProtection="1">
      <alignment horizontal="center"/>
    </xf>
    <xf numFmtId="0" fontId="0" fillId="4" borderId="1" xfId="0" applyNumberFormat="1" applyFont="1" applyFill="1" applyBorder="1" applyAlignment="1" applyProtection="1">
      <alignment horizontal="center" wrapText="1"/>
    </xf>
    <xf numFmtId="0" fontId="0" fillId="4" borderId="1" xfId="0" applyNumberFormat="1" applyFill="1" applyBorder="1" applyAlignment="1" applyProtection="1">
      <alignment horizontal="center" wrapText="1"/>
    </xf>
    <xf numFmtId="0" fontId="0" fillId="4" borderId="1" xfId="0" applyNumberFormat="1" applyFont="1" applyFill="1" applyBorder="1" applyAlignment="1">
      <alignment horizontal="center" wrapText="1"/>
    </xf>
    <xf numFmtId="0" fontId="0" fillId="4" borderId="1" xfId="0" applyNumberFormat="1" applyFont="1" applyFill="1" applyBorder="1" applyAlignment="1" applyProtection="1">
      <alignment horizontal="left" wrapText="1"/>
    </xf>
    <xf numFmtId="0" fontId="0" fillId="4" borderId="1" xfId="0" applyNumberFormat="1" applyFont="1" applyFill="1" applyBorder="1" applyAlignment="1">
      <alignment horizontal="center"/>
    </xf>
    <xf numFmtId="0" fontId="0" fillId="4" borderId="1" xfId="0" applyNumberFormat="1" applyFill="1" applyBorder="1" applyAlignment="1">
      <alignment horizontal="center"/>
    </xf>
    <xf numFmtId="0" fontId="0" fillId="4" borderId="4" xfId="0" applyNumberFormat="1" applyFont="1" applyFill="1" applyBorder="1" applyAlignment="1">
      <alignment horizontal="center"/>
    </xf>
    <xf numFmtId="0" fontId="0" fillId="4" borderId="2" xfId="0" applyNumberFormat="1" applyFont="1" applyFill="1" applyBorder="1" applyAlignment="1">
      <alignment horizontal="center"/>
    </xf>
    <xf numFmtId="0" fontId="0" fillId="4" borderId="0" xfId="0" applyNumberFormat="1" applyFont="1" applyFill="1" applyBorder="1" applyAlignment="1">
      <alignment horizontal="center"/>
    </xf>
    <xf numFmtId="0" fontId="0" fillId="4" borderId="0" xfId="0" applyNumberFormat="1" applyFont="1" applyFill="1" applyAlignment="1">
      <alignment horizontal="center"/>
    </xf>
    <xf numFmtId="0" fontId="0" fillId="4" borderId="1" xfId="0" applyNumberFormat="1" applyFill="1" applyBorder="1" applyAlignment="1">
      <alignment horizontal="center" wrapText="1"/>
    </xf>
    <xf numFmtId="0" fontId="0" fillId="4" borderId="1" xfId="0" applyNumberFormat="1" applyFill="1" applyBorder="1" applyAlignment="1" applyProtection="1">
      <alignment horizontal="left" wrapText="1"/>
    </xf>
    <xf numFmtId="0" fontId="0" fillId="0" borderId="1" xfId="0" applyNumberFormat="1" applyFont="1" applyFill="1" applyBorder="1" applyAlignment="1" applyProtection="1">
      <alignment horizontal="left" wrapText="1"/>
    </xf>
    <xf numFmtId="0" fontId="0" fillId="0" borderId="1" xfId="0" applyNumberFormat="1" applyFill="1" applyBorder="1" applyAlignment="1">
      <alignment horizontal="center"/>
    </xf>
    <xf numFmtId="0" fontId="0" fillId="4" borderId="1" xfId="0" applyNumberFormat="1" applyFill="1" applyBorder="1" applyAlignment="1">
      <alignment horizontal="left" wrapText="1"/>
    </xf>
    <xf numFmtId="0" fontId="0" fillId="4" borderId="1" xfId="0" applyNumberFormat="1" applyFont="1" applyFill="1" applyBorder="1" applyAlignment="1">
      <alignment horizontal="left" wrapText="1"/>
    </xf>
    <xf numFmtId="0" fontId="0" fillId="0" borderId="1" xfId="0" applyNumberFormat="1" applyFont="1" applyFill="1" applyBorder="1" applyAlignment="1" applyProtection="1">
      <alignment horizontal="center"/>
    </xf>
    <xf numFmtId="0" fontId="0" fillId="0" borderId="1" xfId="0" applyNumberFormat="1" applyFont="1" applyFill="1" applyBorder="1" applyAlignment="1">
      <alignment horizontal="left" wrapText="1"/>
    </xf>
    <xf numFmtId="0" fontId="0" fillId="0" borderId="4" xfId="0" applyNumberFormat="1" applyFont="1" applyFill="1" applyBorder="1" applyAlignment="1" applyProtection="1">
      <alignment horizontal="center"/>
    </xf>
    <xf numFmtId="0" fontId="0" fillId="0" borderId="2" xfId="0" applyNumberFormat="1" applyFont="1" applyFill="1" applyBorder="1" applyAlignment="1" applyProtection="1">
      <alignment horizontal="center"/>
    </xf>
    <xf numFmtId="0" fontId="0" fillId="0" borderId="0" xfId="0" applyNumberFormat="1" applyFont="1" applyFill="1" applyBorder="1" applyAlignment="1" applyProtection="1">
      <alignment horizontal="center"/>
    </xf>
    <xf numFmtId="0" fontId="0" fillId="0" borderId="0" xfId="0" applyNumberFormat="1" applyFont="1" applyFill="1" applyAlignment="1" applyProtection="1">
      <alignment horizontal="center"/>
    </xf>
    <xf numFmtId="0" fontId="0" fillId="0" borderId="1" xfId="0" applyNumberFormat="1" applyFill="1" applyBorder="1" applyAlignment="1">
      <alignment horizontal="center" wrapText="1"/>
    </xf>
    <xf numFmtId="0" fontId="0" fillId="0" borderId="1" xfId="0" applyNumberFormat="1" applyFill="1" applyBorder="1" applyAlignment="1" applyProtection="1">
      <alignment horizontal="center"/>
    </xf>
    <xf numFmtId="0" fontId="0" fillId="0" borderId="4" xfId="0" applyNumberFormat="1" applyFill="1" applyBorder="1" applyAlignment="1" applyProtection="1">
      <alignment horizontal="center"/>
    </xf>
    <xf numFmtId="0" fontId="0" fillId="0" borderId="1" xfId="0" applyNumberFormat="1" applyFill="1" applyBorder="1" applyAlignment="1" applyProtection="1">
      <alignment horizontal="center" wrapText="1"/>
    </xf>
    <xf numFmtId="0" fontId="0" fillId="0" borderId="1" xfId="0" quotePrefix="1" applyNumberFormat="1" applyFont="1" applyFill="1" applyBorder="1" applyAlignment="1">
      <alignment horizontal="center" wrapText="1"/>
    </xf>
    <xf numFmtId="0" fontId="0" fillId="4" borderId="1" xfId="0" applyNumberFormat="1" applyFont="1" applyFill="1" applyBorder="1" applyAlignment="1" applyProtection="1">
      <alignment horizontal="center"/>
    </xf>
    <xf numFmtId="0" fontId="0" fillId="4" borderId="1" xfId="0" applyNumberFormat="1" applyFill="1" applyBorder="1" applyAlignment="1" applyProtection="1">
      <alignment horizontal="center"/>
    </xf>
    <xf numFmtId="0" fontId="0" fillId="4" borderId="4" xfId="0" applyNumberFormat="1" applyFont="1" applyFill="1" applyBorder="1" applyAlignment="1" applyProtection="1">
      <alignment horizontal="center"/>
    </xf>
    <xf numFmtId="0" fontId="0" fillId="4" borderId="2" xfId="0" applyNumberFormat="1" applyFont="1" applyFill="1" applyBorder="1" applyAlignment="1" applyProtection="1">
      <alignment horizontal="center"/>
    </xf>
    <xf numFmtId="0" fontId="0" fillId="4" borderId="0" xfId="0" applyNumberFormat="1" applyFont="1" applyFill="1" applyBorder="1" applyAlignment="1" applyProtection="1">
      <alignment horizontal="center"/>
    </xf>
    <xf numFmtId="0" fontId="0" fillId="4" borderId="0" xfId="0" applyNumberFormat="1" applyFont="1" applyFill="1" applyAlignment="1" applyProtection="1">
      <alignment horizontal="center"/>
    </xf>
    <xf numFmtId="0" fontId="0" fillId="4" borderId="1" xfId="2" applyNumberFormat="1" applyFont="1" applyFill="1" applyBorder="1" applyAlignment="1" applyProtection="1">
      <alignment horizontal="center" wrapText="1"/>
    </xf>
    <xf numFmtId="0" fontId="0" fillId="4" borderId="1" xfId="2" applyNumberFormat="1" applyFont="1" applyFill="1" applyBorder="1" applyAlignment="1">
      <alignment horizontal="center" wrapText="1"/>
    </xf>
    <xf numFmtId="0" fontId="0" fillId="4" borderId="1" xfId="2" applyNumberFormat="1" applyFont="1" applyFill="1" applyBorder="1" applyAlignment="1">
      <alignment horizontal="left" wrapText="1"/>
    </xf>
    <xf numFmtId="0" fontId="0" fillId="4" borderId="1" xfId="0" applyNumberFormat="1" applyFill="1" applyBorder="1" applyAlignment="1">
      <alignment horizontal="left"/>
    </xf>
    <xf numFmtId="0" fontId="11" fillId="4" borderId="1" xfId="0" applyNumberFormat="1" applyFont="1" applyFill="1" applyBorder="1" applyAlignment="1">
      <alignment horizontal="center" wrapText="1"/>
    </xf>
    <xf numFmtId="0" fontId="11" fillId="4" borderId="1" xfId="5" applyNumberFormat="1" applyFont="1" applyFill="1" applyBorder="1" applyAlignment="1">
      <alignment horizontal="left" wrapText="1"/>
    </xf>
    <xf numFmtId="0" fontId="11" fillId="4" borderId="1" xfId="5" applyNumberFormat="1" applyFont="1" applyFill="1" applyBorder="1" applyAlignment="1">
      <alignment horizontal="center" wrapText="1"/>
    </xf>
    <xf numFmtId="0" fontId="50" fillId="4" borderId="1" xfId="5" applyNumberFormat="1" applyFont="1" applyFill="1" applyBorder="1" applyAlignment="1">
      <alignment horizontal="center" wrapText="1"/>
    </xf>
    <xf numFmtId="0" fontId="11" fillId="4" borderId="1" xfId="0" applyNumberFormat="1" applyFont="1" applyFill="1" applyBorder="1" applyAlignment="1">
      <alignment horizontal="center"/>
    </xf>
    <xf numFmtId="0" fontId="11" fillId="4" borderId="1" xfId="0" applyNumberFormat="1" applyFont="1" applyFill="1" applyBorder="1" applyAlignment="1"/>
    <xf numFmtId="0" fontId="11" fillId="4" borderId="4" xfId="0" applyNumberFormat="1" applyFont="1" applyFill="1" applyBorder="1" applyAlignment="1"/>
    <xf numFmtId="0" fontId="11" fillId="4" borderId="2" xfId="0" applyNumberFormat="1" applyFont="1" applyFill="1" applyBorder="1" applyAlignment="1"/>
    <xf numFmtId="0" fontId="11" fillId="4" borderId="0" xfId="0" applyNumberFormat="1" applyFont="1" applyFill="1" applyBorder="1" applyAlignment="1"/>
    <xf numFmtId="0" fontId="55" fillId="4" borderId="0" xfId="0" applyNumberFormat="1" applyFont="1" applyFill="1" applyAlignment="1">
      <alignment horizontal="center"/>
    </xf>
    <xf numFmtId="0" fontId="55" fillId="4" borderId="0" xfId="0" applyNumberFormat="1" applyFont="1" applyFill="1" applyAlignment="1">
      <alignment wrapText="1"/>
    </xf>
    <xf numFmtId="0" fontId="15" fillId="4" borderId="1" xfId="0" applyNumberFormat="1" applyFont="1" applyFill="1" applyBorder="1" applyAlignment="1" applyProtection="1">
      <alignment horizontal="center"/>
    </xf>
    <xf numFmtId="0" fontId="0" fillId="4" borderId="1" xfId="0" applyNumberFormat="1" applyFill="1" applyBorder="1" applyAlignment="1" applyProtection="1">
      <alignment horizontal="left" vertical="center" wrapText="1"/>
    </xf>
    <xf numFmtId="0" fontId="0" fillId="4" borderId="4" xfId="0" applyNumberFormat="1" applyFont="1" applyFill="1" applyBorder="1" applyAlignment="1">
      <alignment horizontal="center" wrapText="1"/>
    </xf>
    <xf numFmtId="0" fontId="0" fillId="4" borderId="2" xfId="0" applyNumberFormat="1" applyFont="1" applyFill="1" applyBorder="1" applyAlignment="1">
      <alignment horizontal="center" wrapText="1"/>
    </xf>
    <xf numFmtId="0" fontId="0" fillId="4" borderId="0" xfId="0" applyNumberFormat="1" applyFont="1" applyFill="1" applyBorder="1" applyAlignment="1">
      <alignment horizontal="center" wrapText="1"/>
    </xf>
    <xf numFmtId="0" fontId="21" fillId="4" borderId="1" xfId="0" applyNumberFormat="1" applyFont="1" applyFill="1" applyBorder="1" applyAlignment="1">
      <alignment horizontal="center" wrapText="1"/>
    </xf>
    <xf numFmtId="0" fontId="0" fillId="4" borderId="2" xfId="0" applyNumberFormat="1" applyFill="1" applyBorder="1" applyAlignment="1">
      <alignment horizontal="center" wrapText="1"/>
    </xf>
    <xf numFmtId="0" fontId="9" fillId="0" borderId="1" xfId="0" applyNumberFormat="1" applyFont="1" applyFill="1" applyBorder="1" applyAlignment="1" applyProtection="1">
      <alignment horizontal="center" wrapText="1"/>
    </xf>
    <xf numFmtId="0" fontId="9" fillId="0" borderId="1" xfId="0" applyNumberFormat="1" applyFont="1" applyFill="1" applyBorder="1" applyAlignment="1">
      <alignment horizontal="center" wrapText="1"/>
    </xf>
    <xf numFmtId="0" fontId="15" fillId="0" borderId="5" xfId="0" applyNumberFormat="1" applyFont="1" applyFill="1" applyBorder="1" applyAlignment="1" applyProtection="1">
      <alignment horizontal="center" wrapText="1"/>
    </xf>
    <xf numFmtId="0" fontId="0" fillId="0" borderId="4" xfId="0" applyNumberFormat="1" applyFont="1" applyFill="1" applyBorder="1" applyAlignment="1">
      <alignment horizontal="center" wrapText="1"/>
    </xf>
    <xf numFmtId="0" fontId="0" fillId="0" borderId="2" xfId="0" applyNumberFormat="1" applyFont="1" applyFill="1" applyBorder="1" applyAlignment="1">
      <alignment horizontal="center" wrapText="1"/>
    </xf>
    <xf numFmtId="0" fontId="0" fillId="0" borderId="0" xfId="0" applyNumberFormat="1" applyFont="1" applyFill="1" applyBorder="1" applyAlignment="1">
      <alignment horizontal="center" wrapText="1"/>
    </xf>
    <xf numFmtId="0" fontId="0" fillId="0" borderId="0" xfId="0" applyNumberFormat="1" applyFont="1" applyFill="1" applyAlignment="1">
      <alignment horizontal="center" wrapText="1"/>
    </xf>
    <xf numFmtId="0" fontId="0" fillId="0" borderId="1" xfId="6" applyNumberFormat="1" applyFont="1" applyFill="1" applyBorder="1" applyAlignment="1">
      <alignment horizontal="center" wrapText="1"/>
    </xf>
    <xf numFmtId="0" fontId="0" fillId="0" borderId="1" xfId="6" applyNumberFormat="1" applyFont="1" applyFill="1" applyBorder="1" applyAlignment="1">
      <alignment horizontal="center"/>
    </xf>
    <xf numFmtId="0" fontId="0" fillId="0" borderId="1" xfId="81" applyNumberFormat="1" applyFont="1" applyFill="1" applyBorder="1" applyAlignment="1" applyProtection="1">
      <alignment horizontal="left" wrapText="1"/>
    </xf>
    <xf numFmtId="0" fontId="0" fillId="0" borderId="1" xfId="0" applyNumberFormat="1" applyFill="1" applyBorder="1" applyAlignment="1">
      <alignment horizontal="left" wrapText="1"/>
    </xf>
    <xf numFmtId="0" fontId="0" fillId="0" borderId="0" xfId="0" applyNumberFormat="1" applyFont="1" applyFill="1" applyAlignment="1"/>
    <xf numFmtId="0" fontId="57" fillId="0" borderId="1" xfId="0" applyNumberFormat="1" applyFont="1" applyFill="1" applyBorder="1" applyAlignment="1">
      <alignment readingOrder="1"/>
    </xf>
    <xf numFmtId="0" fontId="15" fillId="0" borderId="1" xfId="121" applyNumberFormat="1" applyFont="1" applyFill="1" applyBorder="1" applyAlignment="1" applyProtection="1">
      <alignment horizontal="center"/>
    </xf>
    <xf numFmtId="0" fontId="0" fillId="0" borderId="1" xfId="121" applyNumberFormat="1" applyFont="1" applyFill="1" applyBorder="1" applyAlignment="1">
      <alignment horizontal="center" wrapText="1"/>
    </xf>
    <xf numFmtId="0" fontId="6" fillId="0" borderId="1" xfId="121" applyNumberFormat="1" applyFill="1" applyBorder="1" applyAlignment="1">
      <alignment vertical="center"/>
    </xf>
    <xf numFmtId="0" fontId="6" fillId="0" borderId="1" xfId="121" applyNumberFormat="1" applyFill="1" applyBorder="1" applyAlignment="1">
      <alignment horizontal="left"/>
    </xf>
    <xf numFmtId="0" fontId="6" fillId="0" borderId="1" xfId="121" applyNumberFormat="1" applyFill="1" applyBorder="1" applyAlignment="1">
      <alignment horizontal="left" wrapText="1"/>
    </xf>
    <xf numFmtId="0" fontId="0" fillId="0" borderId="1" xfId="121" applyNumberFormat="1" applyFont="1" applyFill="1" applyBorder="1" applyAlignment="1" applyProtection="1">
      <alignment horizontal="center" wrapText="1"/>
    </xf>
    <xf numFmtId="0" fontId="6" fillId="0" borderId="1" xfId="121" applyNumberFormat="1" applyFill="1" applyBorder="1" applyAlignment="1">
      <alignment horizontal="center"/>
    </xf>
    <xf numFmtId="0" fontId="6" fillId="0" borderId="1" xfId="121" applyNumberFormat="1" applyFill="1" applyBorder="1" applyAlignment="1" applyProtection="1">
      <alignment horizontal="left" wrapText="1"/>
    </xf>
    <xf numFmtId="0" fontId="0" fillId="0" borderId="1" xfId="121" applyNumberFormat="1" applyFont="1" applyFill="1" applyBorder="1" applyAlignment="1"/>
    <xf numFmtId="0" fontId="15" fillId="0" borderId="1" xfId="126" applyNumberFormat="1" applyFont="1" applyFill="1" applyBorder="1" applyAlignment="1" applyProtection="1">
      <alignment horizontal="center"/>
    </xf>
    <xf numFmtId="0" fontId="0" fillId="0" borderId="1" xfId="126" applyNumberFormat="1" applyFont="1" applyFill="1" applyBorder="1" applyAlignment="1">
      <alignment horizontal="center" wrapText="1"/>
    </xf>
    <xf numFmtId="0" fontId="6" fillId="0" borderId="1" xfId="126" applyNumberFormat="1" applyFill="1" applyBorder="1" applyAlignment="1">
      <alignment vertical="center"/>
    </xf>
    <xf numFmtId="0" fontId="6" fillId="0" borderId="1" xfId="126" applyNumberFormat="1" applyFill="1" applyBorder="1" applyAlignment="1">
      <alignment horizontal="left"/>
    </xf>
    <xf numFmtId="0" fontId="6" fillId="0" borderId="1" xfId="126" applyNumberFormat="1" applyFill="1" applyBorder="1" applyAlignment="1">
      <alignment horizontal="left" wrapText="1"/>
    </xf>
    <xf numFmtId="0" fontId="0" fillId="0" borderId="1" xfId="126" applyNumberFormat="1" applyFont="1" applyFill="1" applyBorder="1" applyAlignment="1" applyProtection="1">
      <alignment horizontal="center" wrapText="1"/>
    </xf>
    <xf numFmtId="0" fontId="6" fillId="0" borderId="1" xfId="126" applyNumberFormat="1" applyFill="1" applyBorder="1" applyAlignment="1">
      <alignment horizontal="center"/>
    </xf>
    <xf numFmtId="0" fontId="6" fillId="0" borderId="1" xfId="126" applyNumberFormat="1" applyFill="1" applyBorder="1" applyAlignment="1">
      <alignment horizontal="center" vertical="center"/>
    </xf>
    <xf numFmtId="0" fontId="6" fillId="0" borderId="1" xfId="126" applyNumberFormat="1" applyFill="1" applyBorder="1" applyAlignment="1" applyProtection="1">
      <alignment horizontal="left" wrapText="1"/>
    </xf>
    <xf numFmtId="0" fontId="0" fillId="0" borderId="1" xfId="126" applyNumberFormat="1" applyFont="1" applyFill="1" applyBorder="1" applyAlignment="1">
      <alignment horizontal="center"/>
    </xf>
    <xf numFmtId="0" fontId="11" fillId="0" borderId="1" xfId="126" applyNumberFormat="1" applyFont="1" applyFill="1" applyBorder="1" applyAlignment="1">
      <alignment horizontal="center" wrapText="1"/>
    </xf>
    <xf numFmtId="0" fontId="11" fillId="0" borderId="1" xfId="126" applyNumberFormat="1" applyFont="1" applyFill="1" applyBorder="1" applyAlignment="1">
      <alignment wrapText="1"/>
    </xf>
    <xf numFmtId="0" fontId="0" fillId="0" borderId="1" xfId="5" applyNumberFormat="1" applyFont="1" applyFill="1" applyBorder="1" applyAlignment="1">
      <alignment horizontal="center" wrapText="1"/>
    </xf>
    <xf numFmtId="0" fontId="15" fillId="0" borderId="1" xfId="0" applyNumberFormat="1" applyFont="1" applyFill="1" applyBorder="1" applyAlignment="1" applyProtection="1">
      <alignment horizontal="center"/>
    </xf>
    <xf numFmtId="0" fontId="38" fillId="0" borderId="1" xfId="27" applyNumberFormat="1" applyFont="1" applyFill="1" applyBorder="1" applyAlignment="1" applyProtection="1">
      <alignment horizontal="left" vertical="center" wrapText="1"/>
    </xf>
    <xf numFmtId="0" fontId="0" fillId="0" borderId="1" xfId="0" applyNumberFormat="1" applyFont="1" applyFill="1" applyBorder="1" applyAlignment="1"/>
    <xf numFmtId="0" fontId="56" fillId="0" borderId="0" xfId="0" applyNumberFormat="1" applyFont="1" applyFill="1" applyAlignment="1">
      <alignment vertical="center" wrapText="1"/>
    </xf>
    <xf numFmtId="0" fontId="0" fillId="0" borderId="1" xfId="5" applyNumberFormat="1" applyFont="1" applyFill="1" applyBorder="1" applyAlignment="1">
      <alignment horizontal="left" wrapText="1"/>
    </xf>
    <xf numFmtId="0" fontId="11" fillId="0" borderId="1" xfId="0" applyNumberFormat="1" applyFont="1" applyFill="1" applyBorder="1" applyAlignment="1">
      <alignment horizontal="center" wrapText="1"/>
    </xf>
    <xf numFmtId="0" fontId="11" fillId="0" borderId="1" xfId="0" applyNumberFormat="1" applyFont="1" applyFill="1" applyBorder="1" applyAlignment="1">
      <alignment wrapText="1"/>
    </xf>
    <xf numFmtId="0" fontId="11" fillId="0" borderId="0" xfId="0" applyNumberFormat="1" applyFont="1" applyFill="1" applyBorder="1" applyAlignment="1">
      <alignment wrapText="1"/>
    </xf>
    <xf numFmtId="0" fontId="0" fillId="0" borderId="0" xfId="0" applyNumberFormat="1" applyFont="1" applyFill="1" applyBorder="1" applyAlignment="1"/>
    <xf numFmtId="0" fontId="0" fillId="0" borderId="1" xfId="16" applyNumberFormat="1" applyFont="1" applyFill="1" applyBorder="1" applyAlignment="1">
      <alignment horizontal="center"/>
    </xf>
    <xf numFmtId="0" fontId="0" fillId="0" borderId="1" xfId="16" applyNumberFormat="1" applyFont="1" applyFill="1" applyBorder="1" applyAlignment="1"/>
    <xf numFmtId="0" fontId="0" fillId="0" borderId="0" xfId="16" applyNumberFormat="1" applyFont="1" applyFill="1" applyBorder="1" applyAlignment="1"/>
    <xf numFmtId="0" fontId="0" fillId="0" borderId="0" xfId="16" applyNumberFormat="1" applyFont="1" applyFill="1" applyAlignment="1"/>
    <xf numFmtId="0" fontId="0" fillId="0" borderId="1" xfId="16" applyNumberFormat="1" applyFont="1" applyFill="1" applyBorder="1" applyAlignment="1">
      <alignment horizontal="center" wrapText="1"/>
    </xf>
    <xf numFmtId="0" fontId="0" fillId="0" borderId="1" xfId="16" applyNumberFormat="1" applyFont="1" applyFill="1" applyBorder="1" applyAlignment="1">
      <alignment horizontal="left" wrapText="1"/>
    </xf>
    <xf numFmtId="0" fontId="0" fillId="0" borderId="1" xfId="2" applyNumberFormat="1" applyFont="1" applyFill="1" applyBorder="1" applyAlignment="1">
      <alignment horizontal="center" wrapText="1"/>
    </xf>
    <xf numFmtId="0" fontId="0" fillId="0" borderId="1" xfId="2" applyNumberFormat="1" applyFont="1" applyFill="1" applyBorder="1" applyAlignment="1" applyProtection="1">
      <alignment horizontal="center" wrapText="1"/>
    </xf>
    <xf numFmtId="0" fontId="0" fillId="0" borderId="1" xfId="2" applyNumberFormat="1" applyFont="1" applyFill="1" applyBorder="1" applyAlignment="1">
      <alignment horizontal="left" wrapText="1"/>
    </xf>
    <xf numFmtId="0" fontId="55" fillId="0" borderId="0" xfId="0" applyNumberFormat="1" applyFont="1" applyFill="1"/>
    <xf numFmtId="0" fontId="0" fillId="0" borderId="1" xfId="0" applyNumberFormat="1" applyFill="1" applyBorder="1" applyAlignment="1">
      <alignment wrapText="1"/>
    </xf>
    <xf numFmtId="0" fontId="0" fillId="0" borderId="1" xfId="0" applyNumberFormat="1" applyFill="1" applyBorder="1" applyAlignment="1">
      <alignment horizontal="left" vertical="center"/>
    </xf>
    <xf numFmtId="0" fontId="0" fillId="0" borderId="1" xfId="0" applyNumberFormat="1" applyFill="1" applyBorder="1" applyAlignment="1">
      <alignment horizontal="left" vertical="center" wrapText="1"/>
    </xf>
    <xf numFmtId="0" fontId="0" fillId="0" borderId="4" xfId="0" applyNumberFormat="1" applyFill="1" applyBorder="1" applyAlignment="1">
      <alignment horizontal="center"/>
    </xf>
    <xf numFmtId="0" fontId="0" fillId="0" borderId="1" xfId="7" applyNumberFormat="1" applyFont="1" applyFill="1" applyBorder="1" applyAlignment="1">
      <alignment horizontal="center" wrapText="1"/>
    </xf>
    <xf numFmtId="0" fontId="0" fillId="0" borderId="2" xfId="0" applyNumberFormat="1" applyFill="1" applyBorder="1" applyAlignment="1">
      <alignment horizontal="center"/>
    </xf>
    <xf numFmtId="0" fontId="0" fillId="0" borderId="1" xfId="0" applyNumberFormat="1" applyFont="1" applyFill="1" applyBorder="1" applyAlignment="1">
      <alignment wrapText="1"/>
    </xf>
    <xf numFmtId="0" fontId="0" fillId="0" borderId="4" xfId="0" applyNumberFormat="1" applyFill="1" applyBorder="1" applyAlignment="1">
      <alignment horizontal="center" wrapText="1"/>
    </xf>
    <xf numFmtId="0" fontId="11" fillId="0" borderId="1" xfId="28" applyNumberFormat="1" applyFont="1" applyFill="1" applyBorder="1" applyAlignment="1">
      <alignment horizontal="left" wrapText="1"/>
    </xf>
    <xf numFmtId="0" fontId="0" fillId="0" borderId="1" xfId="0" applyNumberFormat="1" applyFont="1" applyFill="1" applyBorder="1" applyAlignment="1">
      <alignment horizontal="center" vertical="center" wrapText="1"/>
    </xf>
    <xf numFmtId="0" fontId="0" fillId="0" borderId="1" xfId="0" applyNumberFormat="1" applyFill="1" applyBorder="1" applyAlignment="1">
      <alignment vertical="center" wrapText="1"/>
    </xf>
    <xf numFmtId="0" fontId="0" fillId="0" borderId="1" xfId="0" applyNumberFormat="1" applyFont="1" applyFill="1" applyBorder="1" applyAlignment="1">
      <alignment horizontal="center" vertical="center"/>
    </xf>
    <xf numFmtId="0" fontId="0" fillId="0" borderId="1" xfId="0" applyNumberFormat="1" applyFont="1" applyFill="1" applyBorder="1" applyAlignment="1">
      <alignment vertical="center" wrapText="1"/>
    </xf>
    <xf numFmtId="0" fontId="54" fillId="0" borderId="1" xfId="0" applyNumberFormat="1" applyFont="1" applyFill="1" applyBorder="1" applyAlignment="1">
      <alignment horizontal="center" wrapText="1"/>
    </xf>
    <xf numFmtId="0" fontId="0" fillId="0" borderId="3" xfId="0" applyNumberFormat="1" applyFont="1" applyFill="1" applyBorder="1" applyAlignment="1">
      <alignment horizontal="center" wrapText="1"/>
    </xf>
    <xf numFmtId="0" fontId="11" fillId="0" borderId="3" xfId="0" applyNumberFormat="1" applyFont="1" applyFill="1" applyBorder="1" applyAlignment="1" applyProtection="1">
      <alignment horizontal="center" wrapText="1"/>
    </xf>
    <xf numFmtId="0" fontId="0" fillId="0" borderId="3" xfId="0" applyNumberFormat="1" applyFill="1" applyBorder="1" applyAlignment="1">
      <alignment horizontal="center" wrapText="1"/>
    </xf>
    <xf numFmtId="0" fontId="11" fillId="0" borderId="3" xfId="0" applyNumberFormat="1" applyFont="1" applyFill="1" applyBorder="1" applyAlignment="1">
      <alignment horizontal="center" wrapText="1"/>
    </xf>
    <xf numFmtId="0" fontId="11" fillId="0" borderId="3" xfId="0" applyNumberFormat="1" applyFont="1" applyFill="1" applyBorder="1" applyAlignment="1">
      <alignment horizontal="center"/>
    </xf>
    <xf numFmtId="0" fontId="11" fillId="0" borderId="3" xfId="0" applyNumberFormat="1" applyFont="1" applyFill="1" applyBorder="1" applyAlignment="1" applyProtection="1">
      <alignment horizontal="center"/>
    </xf>
    <xf numFmtId="0" fontId="0" fillId="0" borderId="3" xfId="0" applyNumberFormat="1" applyFont="1" applyFill="1" applyBorder="1" applyAlignment="1">
      <alignment horizontal="left" wrapText="1"/>
    </xf>
    <xf numFmtId="0" fontId="0" fillId="0" borderId="3" xfId="0" applyNumberFormat="1" applyFont="1" applyFill="1" applyBorder="1" applyAlignment="1" applyProtection="1">
      <alignment horizontal="center" wrapText="1"/>
    </xf>
    <xf numFmtId="0" fontId="0" fillId="0" borderId="3" xfId="0" applyNumberFormat="1" applyFont="1" applyFill="1" applyBorder="1" applyAlignment="1" applyProtection="1">
      <alignment horizontal="center"/>
    </xf>
    <xf numFmtId="0" fontId="0" fillId="0" borderId="43" xfId="0" applyNumberFormat="1" applyFont="1" applyFill="1" applyBorder="1" applyAlignment="1" applyProtection="1">
      <alignment horizontal="center"/>
    </xf>
    <xf numFmtId="0" fontId="0" fillId="0" borderId="37" xfId="0" applyNumberFormat="1" applyFont="1" applyFill="1" applyBorder="1" applyAlignment="1" applyProtection="1">
      <alignment horizontal="center"/>
    </xf>
    <xf numFmtId="0" fontId="0" fillId="0" borderId="1" xfId="0" applyNumberFormat="1" applyFill="1" applyBorder="1" applyAlignment="1">
      <alignment horizontal="left"/>
    </xf>
    <xf numFmtId="0" fontId="6" fillId="0" borderId="1" xfId="0" applyNumberFormat="1" applyFont="1" applyFill="1" applyBorder="1" applyAlignment="1">
      <alignment horizontal="center"/>
    </xf>
    <xf numFmtId="0" fontId="0" fillId="0" borderId="1" xfId="0" applyNumberFormat="1" applyFont="1" applyFill="1" applyBorder="1" applyAlignment="1">
      <alignment horizontal="left" vertical="top" wrapText="1"/>
    </xf>
    <xf numFmtId="0" fontId="31" fillId="0" borderId="1" xfId="3" applyNumberFormat="1" applyFont="1" applyFill="1" applyBorder="1" applyAlignment="1">
      <alignment horizontal="center"/>
    </xf>
    <xf numFmtId="0" fontId="0" fillId="5" borderId="1" xfId="0" applyNumberFormat="1" applyFont="1" applyFill="1" applyBorder="1" applyAlignment="1">
      <alignment horizontal="center"/>
    </xf>
    <xf numFmtId="0" fontId="31" fillId="5" borderId="1" xfId="3" applyNumberFormat="1" applyFont="1" applyFill="1" applyBorder="1" applyAlignment="1">
      <alignment horizontal="center"/>
    </xf>
    <xf numFmtId="0" fontId="0" fillId="0" borderId="1" xfId="0" applyNumberFormat="1" applyFill="1" applyBorder="1" applyAlignment="1">
      <alignment horizontal="left" vertical="top" wrapText="1"/>
    </xf>
    <xf numFmtId="0" fontId="11" fillId="0" borderId="1" xfId="4" applyNumberFormat="1" applyFont="1" applyFill="1" applyBorder="1" applyAlignment="1" applyProtection="1">
      <alignment horizontal="center"/>
    </xf>
    <xf numFmtId="0" fontId="11" fillId="0" borderId="1" xfId="0" applyNumberFormat="1" applyFont="1" applyFill="1" applyBorder="1" applyAlignment="1" applyProtection="1">
      <alignment horizontal="center"/>
    </xf>
    <xf numFmtId="0" fontId="11" fillId="0" borderId="1" xfId="0" applyNumberFormat="1" applyFont="1" applyFill="1" applyBorder="1" applyAlignment="1">
      <alignment horizontal="left" wrapText="1"/>
    </xf>
    <xf numFmtId="0" fontId="11" fillId="0" borderId="1" xfId="0" applyNumberFormat="1" applyFont="1" applyFill="1" applyBorder="1" applyAlignment="1">
      <alignment horizontal="center"/>
    </xf>
    <xf numFmtId="0" fontId="11" fillId="0" borderId="4" xfId="0" applyNumberFormat="1" applyFont="1" applyFill="1" applyBorder="1" applyAlignment="1">
      <alignment horizontal="center"/>
    </xf>
    <xf numFmtId="0" fontId="11" fillId="0" borderId="2" xfId="0" applyNumberFormat="1" applyFont="1" applyFill="1" applyBorder="1" applyAlignment="1">
      <alignment horizontal="center"/>
    </xf>
    <xf numFmtId="0" fontId="11" fillId="0" borderId="0" xfId="0" applyNumberFormat="1" applyFont="1" applyFill="1" applyBorder="1" applyAlignment="1">
      <alignment horizontal="center"/>
    </xf>
    <xf numFmtId="0" fontId="0" fillId="0" borderId="0" xfId="0" applyNumberFormat="1" applyFill="1" applyAlignment="1">
      <alignment horizontal="center"/>
    </xf>
    <xf numFmtId="0" fontId="11" fillId="0" borderId="1" xfId="0" applyNumberFormat="1" applyFont="1" applyFill="1" applyBorder="1" applyAlignment="1">
      <alignment horizontal="left" vertical="center" wrapText="1"/>
    </xf>
    <xf numFmtId="0" fontId="14" fillId="0" borderId="1" xfId="0" applyNumberFormat="1" applyFont="1" applyFill="1" applyBorder="1" applyAlignment="1">
      <alignment horizontal="center" wrapText="1"/>
    </xf>
    <xf numFmtId="0" fontId="51"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0" fontId="14" fillId="0" borderId="4" xfId="0" applyNumberFormat="1" applyFont="1" applyFill="1" applyBorder="1" applyAlignment="1">
      <alignment horizontal="center"/>
    </xf>
    <xf numFmtId="0" fontId="14" fillId="0" borderId="2" xfId="0" applyNumberFormat="1" applyFont="1" applyFill="1" applyBorder="1" applyAlignment="1">
      <alignment horizontal="center"/>
    </xf>
    <xf numFmtId="0" fontId="14" fillId="0" borderId="0" xfId="0" applyNumberFormat="1" applyFont="1" applyFill="1" applyBorder="1" applyAlignment="1">
      <alignment horizontal="center"/>
    </xf>
    <xf numFmtId="0" fontId="14" fillId="0" borderId="0" xfId="0" applyNumberFormat="1" applyFont="1" applyFill="1" applyAlignment="1">
      <alignment horizontal="center"/>
    </xf>
    <xf numFmtId="0" fontId="9" fillId="0" borderId="1" xfId="0" applyNumberFormat="1" applyFont="1" applyFill="1" applyBorder="1" applyAlignment="1">
      <alignment horizontal="center"/>
    </xf>
    <xf numFmtId="0" fontId="44" fillId="0" borderId="1" xfId="0" applyNumberFormat="1" applyFont="1" applyFill="1" applyBorder="1" applyAlignment="1">
      <alignment horizontal="center" wrapText="1"/>
    </xf>
    <xf numFmtId="0" fontId="59" fillId="4" borderId="5" xfId="0" applyNumberFormat="1" applyFont="1" applyFill="1" applyBorder="1" applyAlignment="1" applyProtection="1">
      <alignment horizontal="center"/>
    </xf>
    <xf numFmtId="0" fontId="11" fillId="4" borderId="1" xfId="0" applyNumberFormat="1" applyFont="1" applyFill="1" applyBorder="1" applyAlignment="1" applyProtection="1">
      <alignment horizontal="center" wrapText="1"/>
    </xf>
    <xf numFmtId="0" fontId="11" fillId="4" borderId="1" xfId="0" applyNumberFormat="1" applyFont="1" applyFill="1" applyBorder="1" applyAlignment="1">
      <alignment wrapText="1"/>
    </xf>
    <xf numFmtId="0" fontId="11" fillId="4" borderId="0" xfId="0" applyNumberFormat="1" applyFont="1" applyFill="1" applyBorder="1" applyAlignment="1">
      <alignment horizontal="center"/>
    </xf>
    <xf numFmtId="0" fontId="11" fillId="0" borderId="1" xfId="0" applyNumberFormat="1" applyFont="1" applyFill="1" applyBorder="1" applyAlignment="1" applyProtection="1">
      <alignment horizontal="center" wrapText="1"/>
    </xf>
    <xf numFmtId="0" fontId="55" fillId="0" borderId="1" xfId="0" applyNumberFormat="1" applyFont="1" applyFill="1" applyBorder="1" applyAlignment="1">
      <alignment horizontal="center" wrapText="1"/>
    </xf>
    <xf numFmtId="0" fontId="11" fillId="0" borderId="1" xfId="0" applyNumberFormat="1" applyFont="1" applyFill="1" applyBorder="1" applyAlignment="1"/>
    <xf numFmtId="0" fontId="11" fillId="0" borderId="0" xfId="0" applyNumberFormat="1" applyFont="1" applyFill="1" applyBorder="1" applyAlignment="1" applyProtection="1">
      <alignment horizontal="center"/>
    </xf>
    <xf numFmtId="0" fontId="55" fillId="0" borderId="0" xfId="0" applyNumberFormat="1" applyFont="1" applyFill="1" applyAlignment="1">
      <alignment horizontal="center"/>
    </xf>
    <xf numFmtId="0" fontId="11" fillId="0" borderId="4" xfId="0" applyNumberFormat="1" applyFont="1" applyFill="1" applyBorder="1" applyAlignment="1" applyProtection="1">
      <alignment horizontal="center"/>
    </xf>
    <xf numFmtId="179" fontId="10" fillId="0" borderId="1" xfId="0" applyNumberFormat="1" applyFont="1" applyBorder="1" applyAlignment="1" applyProtection="1">
      <alignment horizontal="center" wrapText="1"/>
      <protection locked="0"/>
    </xf>
    <xf numFmtId="0" fontId="0" fillId="5" borderId="1" xfId="0" applyNumberFormat="1" applyFill="1" applyBorder="1" applyAlignment="1">
      <alignment horizontal="left" wrapText="1"/>
    </xf>
    <xf numFmtId="178" fontId="10" fillId="0" borderId="7" xfId="0" applyNumberFormat="1" applyFont="1" applyBorder="1" applyAlignment="1" applyProtection="1">
      <alignment horizontal="center" wrapText="1"/>
      <protection locked="0"/>
    </xf>
    <xf numFmtId="178" fontId="10" fillId="0" borderId="1"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wrapText="1"/>
      <protection locked="0"/>
    </xf>
    <xf numFmtId="178" fontId="10" fillId="0" borderId="1"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wrapText="1"/>
      <protection locked="0"/>
    </xf>
    <xf numFmtId="178" fontId="10" fillId="0" borderId="1" xfId="0" applyNumberFormat="1" applyFont="1" applyBorder="1" applyAlignment="1" applyProtection="1">
      <alignment horizontal="center" wrapText="1"/>
      <protection locked="0"/>
    </xf>
    <xf numFmtId="0" fontId="0" fillId="4" borderId="1" xfId="0" applyNumberFormat="1" applyFont="1" applyFill="1" applyBorder="1" applyAlignment="1">
      <alignment wrapText="1"/>
    </xf>
    <xf numFmtId="0" fontId="0" fillId="4" borderId="1" xfId="0" quotePrefix="1" applyNumberFormat="1" applyFont="1" applyFill="1" applyBorder="1" applyAlignment="1">
      <alignment horizontal="center" wrapText="1"/>
    </xf>
    <xf numFmtId="0" fontId="9" fillId="4" borderId="1" xfId="0" applyNumberFormat="1" applyFont="1" applyFill="1" applyBorder="1" applyAlignment="1" applyProtection="1">
      <alignment horizontal="center" wrapText="1"/>
    </xf>
    <xf numFmtId="0" fontId="9" fillId="4" borderId="1" xfId="0" applyNumberFormat="1" applyFont="1" applyFill="1" applyBorder="1" applyAlignment="1">
      <alignment horizontal="center" wrapText="1"/>
    </xf>
    <xf numFmtId="0" fontId="13" fillId="3" borderId="32" xfId="0" applyNumberFormat="1" applyFont="1" applyFill="1" applyBorder="1" applyAlignment="1">
      <alignment horizontal="center" wrapText="1"/>
    </xf>
    <xf numFmtId="0" fontId="0" fillId="0" borderId="0" xfId="0" applyNumberFormat="1" applyFont="1" applyAlignment="1">
      <alignment horizontal="center"/>
    </xf>
    <xf numFmtId="0" fontId="13" fillId="3" borderId="7" xfId="0" applyNumberFormat="1" applyFont="1" applyFill="1" applyBorder="1" applyAlignment="1">
      <alignment horizontal="center" wrapText="1"/>
    </xf>
    <xf numFmtId="0" fontId="13" fillId="3" borderId="0" xfId="0" applyNumberFormat="1" applyFont="1" applyFill="1" applyAlignment="1">
      <alignment horizontal="center"/>
    </xf>
    <xf numFmtId="0" fontId="0" fillId="0" borderId="0" xfId="0" applyNumberFormat="1" applyAlignment="1">
      <alignment horizontal="center"/>
    </xf>
    <xf numFmtId="0" fontId="15" fillId="0" borderId="5" xfId="0" applyNumberFormat="1" applyFont="1" applyFill="1" applyBorder="1" applyAlignment="1">
      <alignment horizontal="center" vertical="center"/>
    </xf>
    <xf numFmtId="0" fontId="6" fillId="0" borderId="1" xfId="0" applyNumberFormat="1" applyFont="1" applyFill="1" applyBorder="1" applyAlignment="1">
      <alignment horizontal="center" wrapText="1"/>
    </xf>
    <xf numFmtId="0" fontId="6" fillId="0" borderId="0" xfId="0" applyNumberFormat="1" applyFont="1" applyFill="1" applyAlignment="1"/>
    <xf numFmtId="0" fontId="14" fillId="0" borderId="1" xfId="0" applyNumberFormat="1" applyFont="1" applyFill="1" applyBorder="1" applyAlignment="1"/>
    <xf numFmtId="0" fontId="0" fillId="0" borderId="2" xfId="0" applyNumberFormat="1" applyFill="1" applyBorder="1" applyAlignment="1">
      <alignment horizontal="center" wrapText="1"/>
    </xf>
    <xf numFmtId="0" fontId="6" fillId="0" borderId="0" xfId="0" applyNumberFormat="1" applyFont="1" applyFill="1" applyAlignment="1">
      <alignment horizontal="center"/>
    </xf>
    <xf numFmtId="0" fontId="0" fillId="0" borderId="0" xfId="0" applyNumberFormat="1" applyAlignment="1"/>
    <xf numFmtId="178" fontId="10" fillId="0" borderId="3" xfId="0" applyNumberFormat="1" applyFont="1" applyFill="1" applyBorder="1" applyAlignment="1">
      <alignment horizontal="center" vertical="center"/>
    </xf>
    <xf numFmtId="178" fontId="10" fillId="0" borderId="32" xfId="0" applyNumberFormat="1" applyFont="1" applyFill="1" applyBorder="1" applyAlignment="1">
      <alignment horizontal="center" vertical="center"/>
    </xf>
    <xf numFmtId="178" fontId="10" fillId="0" borderId="7" xfId="0" applyNumberFormat="1" applyFont="1" applyFill="1" applyBorder="1" applyAlignment="1">
      <alignment horizontal="center" vertical="center"/>
    </xf>
    <xf numFmtId="178" fontId="10" fillId="0" borderId="3" xfId="0" applyNumberFormat="1" applyFont="1" applyFill="1" applyBorder="1" applyAlignment="1">
      <alignment horizontal="center"/>
    </xf>
    <xf numFmtId="178" fontId="10" fillId="0" borderId="7" xfId="0" applyNumberFormat="1" applyFont="1" applyFill="1" applyBorder="1" applyAlignment="1">
      <alignment horizontal="center"/>
    </xf>
    <xf numFmtId="178" fontId="25" fillId="0" borderId="0" xfId="0" applyNumberFormat="1" applyFont="1" applyAlignment="1">
      <alignment horizontal="center" vertical="center"/>
    </xf>
    <xf numFmtId="178" fontId="10" fillId="0" borderId="4" xfId="0" applyNumberFormat="1" applyFont="1" applyBorder="1" applyAlignment="1" applyProtection="1">
      <alignment horizontal="left" wrapText="1"/>
      <protection locked="0"/>
    </xf>
    <xf numFmtId="178" fontId="10" fillId="0" borderId="29" xfId="0" applyNumberFormat="1" applyFont="1" applyBorder="1" applyAlignment="1" applyProtection="1">
      <alignment horizontal="left" wrapText="1"/>
      <protection locked="0"/>
    </xf>
    <xf numFmtId="178" fontId="10" fillId="0" borderId="30" xfId="0" applyNumberFormat="1" applyFont="1" applyBorder="1" applyAlignment="1" applyProtection="1">
      <alignment horizontal="left" wrapText="1"/>
      <protection locked="0"/>
    </xf>
    <xf numFmtId="178" fontId="26" fillId="0" borderId="0" xfId="0" applyNumberFormat="1" applyFont="1" applyAlignment="1">
      <alignment horizontal="left" vertical="center"/>
    </xf>
    <xf numFmtId="178" fontId="10" fillId="0" borderId="1" xfId="0" applyNumberFormat="1" applyFont="1" applyBorder="1" applyAlignment="1" applyProtection="1">
      <alignment horizontal="left" wrapText="1"/>
      <protection locked="0"/>
    </xf>
    <xf numFmtId="178" fontId="10" fillId="0" borderId="4" xfId="0" applyNumberFormat="1" applyFont="1" applyBorder="1" applyAlignment="1" applyProtection="1">
      <alignment horizontal="left" vertical="top" wrapText="1"/>
      <protection locked="0"/>
    </xf>
    <xf numFmtId="178" fontId="10" fillId="0" borderId="29" xfId="0" applyNumberFormat="1" applyFont="1" applyBorder="1" applyAlignment="1" applyProtection="1">
      <alignment horizontal="left" vertical="top" wrapText="1"/>
      <protection locked="0"/>
    </xf>
    <xf numFmtId="178" fontId="10" fillId="0" borderId="30" xfId="0" applyNumberFormat="1" applyFont="1" applyBorder="1" applyAlignment="1" applyProtection="1">
      <alignment horizontal="left" vertical="top" wrapText="1"/>
      <protection locked="0"/>
    </xf>
    <xf numFmtId="178" fontId="10" fillId="0" borderId="3" xfId="0" applyNumberFormat="1" applyFont="1" applyBorder="1" applyAlignment="1" applyProtection="1">
      <alignment horizontal="center" wrapText="1"/>
      <protection locked="0"/>
    </xf>
    <xf numFmtId="178" fontId="10" fillId="0" borderId="32" xfId="0" applyNumberFormat="1" applyFont="1" applyBorder="1" applyAlignment="1" applyProtection="1">
      <alignment horizontal="center" wrapText="1"/>
      <protection locked="0"/>
    </xf>
    <xf numFmtId="178" fontId="10" fillId="0" borderId="7" xfId="0" applyNumberFormat="1" applyFont="1" applyBorder="1" applyAlignment="1" applyProtection="1">
      <alignment horizontal="center" wrapText="1"/>
      <protection locked="0"/>
    </xf>
    <xf numFmtId="178" fontId="24" fillId="0" borderId="25" xfId="0" applyNumberFormat="1" applyFont="1" applyBorder="1" applyAlignment="1">
      <alignment horizontal="center"/>
    </xf>
    <xf numFmtId="178" fontId="10" fillId="2" borderId="1" xfId="0" applyNumberFormat="1" applyFont="1" applyFill="1" applyBorder="1" applyAlignment="1">
      <alignment horizontal="center" wrapText="1"/>
    </xf>
    <xf numFmtId="178" fontId="10" fillId="0" borderId="1" xfId="0" applyNumberFormat="1" applyFont="1" applyBorder="1" applyAlignment="1" applyProtection="1">
      <alignment horizontal="center" wrapText="1"/>
      <protection locked="0"/>
    </xf>
    <xf numFmtId="178" fontId="24" fillId="2" borderId="25" xfId="0" applyNumberFormat="1" applyFont="1" applyFill="1" applyBorder="1" applyAlignment="1">
      <alignment horizontal="center"/>
    </xf>
    <xf numFmtId="178" fontId="22" fillId="0" borderId="24" xfId="0" applyNumberFormat="1" applyFont="1" applyBorder="1" applyAlignment="1">
      <alignment horizontal="center" vertical="center"/>
    </xf>
    <xf numFmtId="178" fontId="22" fillId="0" borderId="24" xfId="0" applyNumberFormat="1" applyFont="1" applyBorder="1" applyAlignment="1">
      <alignment horizontal="left" vertical="center"/>
    </xf>
    <xf numFmtId="178" fontId="0" fillId="2" borderId="25" xfId="0" applyNumberFormat="1" applyFont="1" applyFill="1" applyBorder="1" applyAlignment="1">
      <alignment horizontal="center"/>
    </xf>
    <xf numFmtId="178" fontId="0" fillId="0" borderId="25" xfId="0" applyNumberFormat="1" applyFont="1" applyBorder="1"/>
    <xf numFmtId="178" fontId="24" fillId="0" borderId="26" xfId="0" applyNumberFormat="1" applyFont="1" applyFill="1" applyBorder="1" applyAlignment="1">
      <alignment horizontal="left"/>
    </xf>
    <xf numFmtId="178" fontId="24" fillId="0" borderId="27" xfId="0" applyNumberFormat="1" applyFont="1" applyFill="1" applyBorder="1" applyAlignment="1">
      <alignment horizontal="left"/>
    </xf>
    <xf numFmtId="178" fontId="24" fillId="0" borderId="28" xfId="0" applyNumberFormat="1" applyFont="1" applyFill="1" applyBorder="1" applyAlignment="1">
      <alignment horizontal="left"/>
    </xf>
    <xf numFmtId="178" fontId="24" fillId="0" borderId="27" xfId="0" applyNumberFormat="1" applyFont="1" applyBorder="1" applyAlignment="1">
      <alignment horizontal="left"/>
    </xf>
    <xf numFmtId="178" fontId="24" fillId="0" borderId="28" xfId="0" applyNumberFormat="1" applyFont="1" applyBorder="1" applyAlignment="1">
      <alignment horizontal="left"/>
    </xf>
    <xf numFmtId="178" fontId="0" fillId="0" borderId="25" xfId="0" applyNumberFormat="1" applyFont="1" applyBorder="1" applyAlignment="1">
      <alignment horizontal="center" vertical="center"/>
    </xf>
    <xf numFmtId="178" fontId="10" fillId="0" borderId="3" xfId="0" applyNumberFormat="1" applyFont="1" applyBorder="1" applyAlignment="1">
      <alignment horizontal="center" wrapText="1"/>
    </xf>
    <xf numFmtId="178" fontId="10" fillId="0" borderId="7" xfId="0" applyNumberFormat="1" applyFont="1" applyBorder="1" applyAlignment="1">
      <alignment horizontal="center" wrapText="1"/>
    </xf>
    <xf numFmtId="178" fontId="10" fillId="0" borderId="3" xfId="0" applyNumberFormat="1" applyFont="1" applyBorder="1" applyAlignment="1">
      <alignment horizontal="center"/>
    </xf>
    <xf numFmtId="178" fontId="10" fillId="0" borderId="7" xfId="0" applyNumberFormat="1" applyFont="1" applyBorder="1" applyAlignment="1">
      <alignment horizontal="center"/>
    </xf>
    <xf numFmtId="178" fontId="10" fillId="0" borderId="3" xfId="0" applyNumberFormat="1" applyFont="1" applyBorder="1" applyAlignment="1" applyProtection="1">
      <alignment horizontal="center"/>
      <protection locked="0"/>
    </xf>
    <xf numFmtId="178" fontId="10" fillId="0" borderId="7" xfId="0" applyNumberFormat="1" applyFont="1" applyBorder="1" applyAlignment="1" applyProtection="1">
      <alignment horizontal="center"/>
      <protection locked="0"/>
    </xf>
    <xf numFmtId="178" fontId="10" fillId="0" borderId="38" xfId="0" applyNumberFormat="1" applyFont="1" applyBorder="1" applyAlignment="1" applyProtection="1">
      <alignment horizontal="left" wrapText="1"/>
      <protection locked="0"/>
    </xf>
    <xf numFmtId="178" fontId="10" fillId="0" borderId="39" xfId="0" applyNumberFormat="1" applyFont="1" applyBorder="1" applyAlignment="1" applyProtection="1">
      <alignment horizontal="left" wrapText="1"/>
      <protection locked="0"/>
    </xf>
    <xf numFmtId="178" fontId="10" fillId="0" borderId="40" xfId="0" applyNumberFormat="1" applyFont="1" applyBorder="1" applyAlignment="1" applyProtection="1">
      <alignment horizontal="left" wrapText="1"/>
      <protection locked="0"/>
    </xf>
    <xf numFmtId="0" fontId="13" fillId="3" borderId="8" xfId="0" applyNumberFormat="1" applyFont="1" applyFill="1" applyBorder="1" applyAlignment="1">
      <alignment horizontal="center" wrapText="1"/>
    </xf>
    <xf numFmtId="0" fontId="13" fillId="3" borderId="1" xfId="0" applyNumberFormat="1" applyFont="1" applyFill="1" applyBorder="1" applyAlignment="1">
      <alignment horizontal="center" wrapText="1"/>
    </xf>
    <xf numFmtId="0" fontId="13" fillId="3" borderId="22" xfId="0" applyNumberFormat="1" applyFont="1" applyFill="1" applyBorder="1" applyAlignment="1">
      <alignment horizontal="center" wrapText="1"/>
    </xf>
    <xf numFmtId="0" fontId="13" fillId="3" borderId="5" xfId="0" applyNumberFormat="1" applyFont="1" applyFill="1" applyBorder="1" applyAlignment="1">
      <alignment horizontal="center" wrapText="1"/>
    </xf>
    <xf numFmtId="0" fontId="13" fillId="3" borderId="31" xfId="0" applyNumberFormat="1" applyFont="1" applyFill="1" applyBorder="1" applyAlignment="1">
      <alignment horizontal="center" wrapText="1"/>
    </xf>
    <xf numFmtId="178" fontId="13" fillId="3" borderId="31" xfId="0" applyNumberFormat="1" applyFont="1" applyFill="1" applyBorder="1" applyAlignment="1">
      <alignment horizontal="center" wrapText="1"/>
    </xf>
    <xf numFmtId="178" fontId="13" fillId="3" borderId="41" xfId="0" applyNumberFormat="1" applyFont="1" applyFill="1" applyBorder="1" applyAlignment="1">
      <alignment horizontal="center" wrapText="1"/>
    </xf>
    <xf numFmtId="178" fontId="13" fillId="3" borderId="42" xfId="0" applyNumberFormat="1" applyFont="1" applyFill="1" applyBorder="1" applyAlignment="1">
      <alignment horizontal="center" wrapText="1"/>
    </xf>
    <xf numFmtId="178" fontId="13" fillId="3" borderId="22" xfId="0" applyNumberFormat="1" applyFont="1" applyFill="1" applyBorder="1" applyAlignment="1">
      <alignment horizontal="center" wrapText="1"/>
    </xf>
    <xf numFmtId="178" fontId="13" fillId="3" borderId="5" xfId="0" applyNumberFormat="1" applyFont="1" applyFill="1" applyBorder="1" applyAlignment="1">
      <alignment horizontal="center" wrapText="1"/>
    </xf>
    <xf numFmtId="178" fontId="20" fillId="0" borderId="0" xfId="0" applyNumberFormat="1" applyFont="1" applyBorder="1" applyAlignment="1">
      <alignment horizontal="left" wrapText="1"/>
    </xf>
    <xf numFmtId="178" fontId="13" fillId="3" borderId="8" xfId="0" applyNumberFormat="1" applyFont="1" applyFill="1" applyBorder="1" applyAlignment="1">
      <alignment horizontal="center" wrapText="1"/>
    </xf>
    <xf numFmtId="178" fontId="13" fillId="3" borderId="1" xfId="0" applyNumberFormat="1" applyFont="1" applyFill="1" applyBorder="1" applyAlignment="1">
      <alignment horizontal="center" wrapText="1"/>
    </xf>
    <xf numFmtId="178" fontId="11" fillId="0" borderId="3" xfId="0" applyNumberFormat="1" applyFont="1" applyFill="1" applyBorder="1" applyAlignment="1">
      <alignment horizontal="center" vertical="center" wrapText="1"/>
    </xf>
    <xf numFmtId="178" fontId="11" fillId="0" borderId="7" xfId="0" applyNumberFormat="1" applyFont="1" applyFill="1" applyBorder="1" applyAlignment="1">
      <alignment horizontal="center" vertical="center" wrapText="1"/>
    </xf>
    <xf numFmtId="178" fontId="6" fillId="0" borderId="3" xfId="0" applyNumberFormat="1" applyFont="1" applyFill="1" applyBorder="1" applyAlignment="1">
      <alignment horizontal="center" vertical="center" wrapText="1"/>
    </xf>
    <xf numFmtId="178" fontId="6" fillId="0" borderId="7" xfId="0" applyNumberFormat="1" applyFont="1" applyFill="1" applyBorder="1" applyAlignment="1">
      <alignment horizontal="center" vertical="center" wrapText="1"/>
    </xf>
    <xf numFmtId="178" fontId="0" fillId="0" borderId="5" xfId="0" applyNumberFormat="1" applyFont="1" applyFill="1" applyBorder="1" applyAlignment="1">
      <alignment horizontal="center" vertical="center"/>
    </xf>
    <xf numFmtId="178" fontId="0" fillId="0" borderId="1" xfId="0" applyNumberFormat="1" applyFill="1" applyBorder="1" applyAlignment="1">
      <alignment horizontal="left" vertical="center" wrapText="1"/>
    </xf>
    <xf numFmtId="178" fontId="47" fillId="0" borderId="0" xfId="0" applyNumberFormat="1" applyFont="1" applyFill="1" applyBorder="1" applyAlignment="1">
      <alignment horizontal="center" wrapText="1"/>
    </xf>
    <xf numFmtId="178" fontId="45" fillId="0" borderId="0" xfId="0" applyNumberFormat="1" applyFont="1" applyFill="1" applyBorder="1" applyAlignment="1">
      <alignment horizontal="center" wrapText="1"/>
    </xf>
    <xf numFmtId="0" fontId="13" fillId="3" borderId="22" xfId="0" applyNumberFormat="1" applyFont="1" applyFill="1" applyBorder="1" applyAlignment="1" applyProtection="1">
      <alignment horizontal="center" wrapText="1"/>
      <protection locked="0"/>
    </xf>
    <xf numFmtId="0" fontId="13" fillId="3" borderId="8" xfId="0" applyNumberFormat="1" applyFont="1" applyFill="1" applyBorder="1" applyAlignment="1" applyProtection="1">
      <alignment horizontal="center" wrapText="1"/>
      <protection locked="0"/>
    </xf>
    <xf numFmtId="0" fontId="13" fillId="3" borderId="34" xfId="0" applyNumberFormat="1" applyFont="1" applyFill="1" applyBorder="1" applyAlignment="1" applyProtection="1">
      <alignment horizontal="center" wrapText="1"/>
      <protection locked="0"/>
    </xf>
    <xf numFmtId="0" fontId="13" fillId="3" borderId="34" xfId="0" applyNumberFormat="1" applyFont="1" applyFill="1" applyBorder="1" applyAlignment="1" applyProtection="1">
      <alignment horizontal="left" wrapText="1"/>
      <protection locked="0"/>
    </xf>
    <xf numFmtId="0" fontId="13" fillId="3" borderId="1" xfId="0" applyNumberFormat="1" applyFont="1" applyFill="1" applyBorder="1" applyAlignment="1" applyProtection="1">
      <alignment horizontal="center" wrapText="1"/>
      <protection locked="0"/>
    </xf>
    <xf numFmtId="0" fontId="13" fillId="3" borderId="3" xfId="0" applyNumberFormat="1" applyFont="1" applyFill="1" applyBorder="1" applyAlignment="1" applyProtection="1">
      <alignment horizontal="center" wrapText="1"/>
      <protection locked="0"/>
    </xf>
    <xf numFmtId="0" fontId="13" fillId="3" borderId="0" xfId="0" applyNumberFormat="1" applyFont="1" applyFill="1" applyBorder="1" applyAlignment="1" applyProtection="1">
      <alignment horizontal="center"/>
      <protection locked="0"/>
    </xf>
    <xf numFmtId="0" fontId="13" fillId="3" borderId="30" xfId="0" applyNumberFormat="1" applyFont="1" applyFill="1" applyBorder="1" applyAlignment="1" applyProtection="1">
      <alignment horizontal="center"/>
      <protection locked="0"/>
    </xf>
    <xf numFmtId="0" fontId="13" fillId="3" borderId="1" xfId="0" applyNumberFormat="1" applyFont="1" applyFill="1" applyBorder="1" applyAlignment="1" applyProtection="1">
      <alignment horizontal="center"/>
      <protection locked="0"/>
    </xf>
    <xf numFmtId="0" fontId="13" fillId="3" borderId="35" xfId="0" applyNumberFormat="1" applyFont="1" applyFill="1" applyBorder="1" applyAlignment="1" applyProtection="1">
      <alignment horizontal="center" wrapText="1"/>
      <protection locked="0"/>
    </xf>
    <xf numFmtId="0" fontId="13" fillId="3" borderId="32" xfId="0" applyNumberFormat="1" applyFont="1" applyFill="1" applyBorder="1" applyAlignment="1" applyProtection="1">
      <alignment horizontal="center" wrapText="1"/>
      <protection locked="0"/>
    </xf>
    <xf numFmtId="0" fontId="13" fillId="3" borderId="32" xfId="0" applyNumberFormat="1" applyFont="1" applyFill="1" applyBorder="1" applyAlignment="1" applyProtection="1">
      <alignment horizontal="left" wrapText="1"/>
      <protection locked="0"/>
    </xf>
    <xf numFmtId="0" fontId="13" fillId="3" borderId="32" xfId="0" applyNumberFormat="1" applyFont="1" applyFill="1" applyBorder="1" applyAlignment="1" applyProtection="1">
      <alignment horizontal="center" wrapText="1"/>
      <protection locked="0"/>
    </xf>
    <xf numFmtId="0" fontId="15" fillId="0" borderId="5" xfId="0" applyNumberFormat="1" applyFont="1" applyFill="1" applyBorder="1" applyAlignment="1" applyProtection="1">
      <alignment horizontal="center"/>
      <protection locked="0"/>
    </xf>
    <xf numFmtId="0" fontId="0" fillId="0" borderId="1" xfId="0" applyNumberFormat="1" applyFont="1" applyFill="1" applyBorder="1" applyAlignment="1" applyProtection="1">
      <alignment horizontal="center" wrapText="1"/>
      <protection locked="0"/>
    </xf>
    <xf numFmtId="0" fontId="0" fillId="0" borderId="1" xfId="2" applyNumberFormat="1" applyFont="1" applyFill="1" applyBorder="1" applyAlignment="1" applyProtection="1">
      <alignment horizontal="center" wrapText="1"/>
      <protection locked="0"/>
    </xf>
    <xf numFmtId="0" fontId="0" fillId="0" borderId="1" xfId="0" applyNumberFormat="1" applyFill="1" applyBorder="1" applyAlignment="1" applyProtection="1">
      <alignment horizontal="center" wrapText="1"/>
      <protection locked="0"/>
    </xf>
    <xf numFmtId="0" fontId="0" fillId="0" borderId="1" xfId="0" applyNumberFormat="1" applyFont="1" applyFill="1" applyBorder="1" applyAlignment="1" applyProtection="1">
      <alignment horizontal="center"/>
      <protection locked="0"/>
    </xf>
    <xf numFmtId="0" fontId="0" fillId="0" borderId="1" xfId="0" applyNumberFormat="1" applyFill="1" applyBorder="1" applyAlignment="1" applyProtection="1">
      <alignment horizontal="center"/>
      <protection locked="0"/>
    </xf>
    <xf numFmtId="0" fontId="0" fillId="0" borderId="1" xfId="0" applyNumberFormat="1" applyFont="1" applyFill="1" applyBorder="1" applyAlignment="1" applyProtection="1">
      <alignment horizontal="left" wrapText="1"/>
      <protection locked="0"/>
    </xf>
    <xf numFmtId="0" fontId="0" fillId="0" borderId="1" xfId="8" applyNumberFormat="1" applyFont="1" applyFill="1" applyBorder="1" applyAlignment="1" applyProtection="1">
      <alignment horizontal="center" wrapText="1"/>
      <protection locked="0"/>
    </xf>
    <xf numFmtId="0" fontId="0" fillId="0" borderId="4" xfId="0" applyNumberFormat="1" applyFont="1" applyFill="1" applyBorder="1" applyAlignment="1" applyProtection="1">
      <alignment horizontal="center"/>
      <protection locked="0"/>
    </xf>
    <xf numFmtId="0" fontId="0" fillId="0" borderId="2"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horizontal="center"/>
      <protection locked="0"/>
    </xf>
    <xf numFmtId="0" fontId="0" fillId="0" borderId="0" xfId="0" applyNumberFormat="1" applyFont="1" applyFill="1" applyAlignment="1" applyProtection="1">
      <alignment horizontal="center"/>
      <protection locked="0"/>
    </xf>
    <xf numFmtId="0" fontId="11" fillId="0" borderId="1" xfId="0" applyNumberFormat="1" applyFont="1" applyFill="1" applyBorder="1" applyAlignment="1" applyProtection="1">
      <alignment horizontal="center" wrapText="1"/>
      <protection locked="0"/>
    </xf>
    <xf numFmtId="0" fontId="11" fillId="0" borderId="1" xfId="0" applyNumberFormat="1" applyFont="1" applyFill="1" applyBorder="1" applyAlignment="1" applyProtection="1">
      <alignment horizontal="center"/>
      <protection locked="0"/>
    </xf>
    <xf numFmtId="0" fontId="0" fillId="0" borderId="1" xfId="0" applyNumberFormat="1" applyFont="1" applyFill="1" applyBorder="1" applyAlignment="1" applyProtection="1">
      <alignment wrapText="1"/>
      <protection locked="0"/>
    </xf>
    <xf numFmtId="0" fontId="11" fillId="0" borderId="0" xfId="0" applyNumberFormat="1" applyFont="1" applyFill="1" applyBorder="1" applyAlignment="1" applyProtection="1">
      <alignment horizontal="center"/>
      <protection locked="0"/>
    </xf>
    <xf numFmtId="0" fontId="0" fillId="0" borderId="6" xfId="0" applyNumberFormat="1" applyFont="1" applyFill="1" applyBorder="1" applyAlignment="1" applyProtection="1">
      <alignment horizontal="center" wrapText="1"/>
      <protection locked="0"/>
    </xf>
    <xf numFmtId="0" fontId="11" fillId="0" borderId="6" xfId="0" applyNumberFormat="1" applyFont="1" applyFill="1" applyBorder="1" applyAlignment="1" applyProtection="1">
      <alignment horizontal="center" wrapText="1"/>
      <protection locked="0"/>
    </xf>
    <xf numFmtId="0" fontId="0" fillId="0" borderId="6" xfId="0" applyNumberFormat="1" applyFill="1" applyBorder="1" applyAlignment="1" applyProtection="1">
      <alignment horizontal="center" wrapText="1"/>
      <protection locked="0"/>
    </xf>
    <xf numFmtId="0" fontId="11" fillId="0" borderId="6" xfId="0" applyNumberFormat="1" applyFont="1" applyFill="1" applyBorder="1" applyAlignment="1" applyProtection="1">
      <alignment horizontal="center"/>
      <protection locked="0"/>
    </xf>
    <xf numFmtId="0" fontId="0" fillId="0" borderId="6" xfId="0" applyNumberFormat="1" applyFont="1" applyFill="1" applyBorder="1" applyAlignment="1" applyProtection="1">
      <alignment horizontal="left" wrapText="1"/>
      <protection locked="0"/>
    </xf>
    <xf numFmtId="0" fontId="0" fillId="0" borderId="6" xfId="0" applyNumberFormat="1" applyFont="1" applyFill="1" applyBorder="1" applyAlignment="1" applyProtection="1">
      <alignment wrapText="1"/>
      <protection locked="0"/>
    </xf>
    <xf numFmtId="0" fontId="0" fillId="0" borderId="6" xfId="0" applyNumberFormat="1" applyFill="1" applyBorder="1" applyAlignment="1" applyProtection="1">
      <alignment horizontal="center"/>
      <protection locked="0"/>
    </xf>
    <xf numFmtId="0" fontId="0" fillId="0" borderId="6" xfId="0" applyNumberFormat="1" applyFont="1" applyFill="1" applyBorder="1" applyAlignment="1" applyProtection="1">
      <alignment horizontal="center"/>
      <protection locked="0"/>
    </xf>
    <xf numFmtId="0" fontId="0" fillId="0" borderId="44" xfId="0" applyNumberFormat="1" applyFont="1" applyFill="1" applyBorder="1" applyAlignment="1" applyProtection="1">
      <alignment horizontal="center"/>
      <protection locked="0"/>
    </xf>
    <xf numFmtId="0" fontId="0" fillId="0" borderId="36" xfId="0" applyNumberFormat="1" applyFont="1" applyFill="1" applyBorder="1" applyAlignment="1" applyProtection="1">
      <alignment horizontal="center"/>
      <protection locked="0"/>
    </xf>
    <xf numFmtId="0" fontId="15" fillId="0" borderId="0" xfId="0" applyNumberFormat="1" applyFont="1" applyFill="1" applyBorder="1" applyAlignment="1" applyProtection="1">
      <alignment horizontal="center"/>
      <protection locked="0"/>
    </xf>
    <xf numFmtId="0" fontId="39" fillId="0" borderId="0" xfId="0" applyNumberFormat="1" applyFont="1" applyFill="1" applyAlignment="1" applyProtection="1">
      <alignment horizontal="center"/>
      <protection locked="0"/>
    </xf>
    <xf numFmtId="0" fontId="39" fillId="0" borderId="0" xfId="0" applyNumberFormat="1" applyFont="1" applyFill="1" applyBorder="1" applyAlignment="1" applyProtection="1">
      <alignment horizontal="center"/>
      <protection locked="0"/>
    </xf>
    <xf numFmtId="0" fontId="0"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left" wrapText="1"/>
      <protection locked="0"/>
    </xf>
    <xf numFmtId="0" fontId="40" fillId="0" borderId="0" xfId="0" applyNumberFormat="1" applyFont="1" applyFill="1" applyBorder="1" applyAlignment="1" applyProtection="1">
      <alignment horizontal="center"/>
      <protection locked="0"/>
    </xf>
    <xf numFmtId="0" fontId="39" fillId="0" borderId="0" xfId="0" applyNumberFormat="1" applyFont="1" applyFill="1" applyAlignment="1" applyProtection="1">
      <alignment horizontal="left"/>
      <protection locked="0"/>
    </xf>
    <xf numFmtId="0" fontId="41" fillId="0" borderId="0" xfId="0" applyNumberFormat="1" applyFont="1" applyFill="1" applyBorder="1" applyAlignment="1" applyProtection="1">
      <alignment horizontal="center"/>
      <protection locked="0"/>
    </xf>
    <xf numFmtId="0" fontId="0" fillId="0" borderId="0" xfId="0" applyNumberFormat="1" applyFont="1" applyFill="1" applyAlignment="1" applyProtection="1">
      <alignment horizontal="left"/>
      <protection locked="0"/>
    </xf>
    <xf numFmtId="0" fontId="0" fillId="0" borderId="33" xfId="0" applyNumberFormat="1" applyFont="1" applyFill="1" applyBorder="1" applyAlignment="1" applyProtection="1">
      <alignment horizontal="center"/>
      <protection locked="0"/>
    </xf>
    <xf numFmtId="0" fontId="0" fillId="5" borderId="1" xfId="0" applyNumberFormat="1" applyFont="1" applyFill="1" applyBorder="1" applyAlignment="1">
      <alignment horizontal="center" wrapText="1"/>
    </xf>
    <xf numFmtId="0" fontId="15" fillId="5" borderId="5" xfId="0" applyNumberFormat="1" applyFont="1" applyFill="1" applyBorder="1" applyAlignment="1" applyProtection="1">
      <alignment horizontal="center"/>
    </xf>
    <xf numFmtId="0" fontId="0" fillId="5" borderId="1" xfId="0" applyNumberFormat="1" applyFont="1" applyFill="1" applyBorder="1" applyAlignment="1" applyProtection="1">
      <alignment horizontal="center" wrapText="1"/>
    </xf>
    <xf numFmtId="0" fontId="0" fillId="5" borderId="1" xfId="0" applyNumberFormat="1" applyFill="1" applyBorder="1" applyAlignment="1">
      <alignment horizontal="center" wrapText="1"/>
    </xf>
    <xf numFmtId="0" fontId="0" fillId="5" borderId="1" xfId="0" applyNumberFormat="1" applyFill="1" applyBorder="1" applyAlignment="1" applyProtection="1">
      <alignment horizontal="center" wrapText="1"/>
    </xf>
    <xf numFmtId="0" fontId="0" fillId="5" borderId="1" xfId="0" applyNumberFormat="1" applyFont="1" applyFill="1" applyBorder="1" applyAlignment="1" applyProtection="1">
      <alignment horizontal="left" wrapText="1"/>
    </xf>
    <xf numFmtId="0" fontId="0" fillId="5" borderId="4" xfId="0" applyNumberFormat="1" applyFont="1" applyFill="1" applyBorder="1" applyAlignment="1">
      <alignment horizontal="center"/>
    </xf>
    <xf numFmtId="0" fontId="0" fillId="5" borderId="2" xfId="0" applyNumberFormat="1" applyFont="1" applyFill="1" applyBorder="1" applyAlignment="1">
      <alignment horizontal="center"/>
    </xf>
    <xf numFmtId="0" fontId="0" fillId="5" borderId="0" xfId="0" applyNumberFormat="1" applyFont="1" applyFill="1" applyBorder="1" applyAlignment="1">
      <alignment horizontal="center"/>
    </xf>
    <xf numFmtId="0" fontId="0" fillId="5" borderId="0" xfId="0" applyNumberFormat="1" applyFont="1" applyFill="1" applyAlignment="1">
      <alignment horizontal="center"/>
    </xf>
    <xf numFmtId="0" fontId="0" fillId="5" borderId="1" xfId="0" applyNumberFormat="1" applyFont="1" applyFill="1" applyBorder="1" applyAlignment="1" applyProtection="1">
      <alignment horizontal="center"/>
    </xf>
    <xf numFmtId="0" fontId="0" fillId="5" borderId="1" xfId="0" applyNumberFormat="1" applyFill="1" applyBorder="1" applyAlignment="1" applyProtection="1">
      <alignment horizontal="left" wrapText="1"/>
    </xf>
    <xf numFmtId="0" fontId="0" fillId="5" borderId="1" xfId="0" applyNumberFormat="1" applyFill="1" applyBorder="1" applyAlignment="1" applyProtection="1">
      <alignment horizontal="center"/>
    </xf>
    <xf numFmtId="0" fontId="0" fillId="5" borderId="4" xfId="0" applyNumberFormat="1" applyFill="1" applyBorder="1" applyAlignment="1" applyProtection="1">
      <alignment horizontal="center"/>
    </xf>
    <xf numFmtId="0" fontId="0" fillId="5" borderId="2" xfId="0" applyNumberFormat="1" applyFill="1" applyBorder="1" applyAlignment="1" applyProtection="1">
      <alignment horizontal="center"/>
    </xf>
    <xf numFmtId="0" fontId="0" fillId="5" borderId="0" xfId="0" applyNumberFormat="1" applyFont="1" applyFill="1" applyBorder="1" applyAlignment="1" applyProtection="1">
      <alignment horizontal="center"/>
    </xf>
    <xf numFmtId="0" fontId="0" fillId="5" borderId="0" xfId="0" applyNumberFormat="1" applyFont="1" applyFill="1" applyAlignment="1" applyProtection="1">
      <alignment horizontal="center"/>
    </xf>
    <xf numFmtId="0" fontId="0" fillId="5" borderId="1" xfId="0" applyNumberFormat="1" applyFill="1" applyBorder="1" applyAlignment="1">
      <alignment horizontal="center"/>
    </xf>
    <xf numFmtId="0" fontId="0" fillId="5" borderId="4" xfId="0" applyNumberFormat="1" applyFont="1" applyFill="1" applyBorder="1" applyAlignment="1" applyProtection="1">
      <alignment horizontal="center"/>
    </xf>
    <xf numFmtId="0" fontId="0" fillId="5" borderId="2" xfId="0" applyNumberFormat="1" applyFont="1" applyFill="1" applyBorder="1" applyAlignment="1" applyProtection="1">
      <alignment horizontal="center"/>
    </xf>
    <xf numFmtId="0" fontId="15" fillId="5" borderId="1" xfId="0" applyNumberFormat="1" applyFont="1" applyFill="1" applyBorder="1" applyAlignment="1" applyProtection="1">
      <alignment horizontal="center"/>
    </xf>
    <xf numFmtId="0" fontId="0" fillId="5" borderId="1" xfId="0" applyNumberFormat="1" applyFont="1" applyFill="1" applyBorder="1" applyAlignment="1"/>
    <xf numFmtId="0" fontId="0" fillId="5" borderId="1" xfId="0" applyNumberFormat="1" applyFill="1" applyBorder="1" applyAlignment="1"/>
    <xf numFmtId="0" fontId="0" fillId="5" borderId="0" xfId="0" applyNumberFormat="1" applyFont="1" applyFill="1" applyAlignment="1"/>
    <xf numFmtId="0" fontId="9" fillId="5" borderId="1" xfId="0" applyNumberFormat="1" applyFont="1" applyFill="1" applyBorder="1" applyAlignment="1" applyProtection="1">
      <alignment horizontal="center" wrapText="1"/>
    </xf>
    <xf numFmtId="0" fontId="11" fillId="5" borderId="1" xfId="0" applyNumberFormat="1" applyFont="1" applyFill="1" applyBorder="1" applyAlignment="1">
      <alignment wrapText="1"/>
    </xf>
    <xf numFmtId="0" fontId="11" fillId="5" borderId="1" xfId="0" applyNumberFormat="1" applyFont="1" applyFill="1" applyBorder="1" applyAlignment="1">
      <alignment horizontal="center" wrapText="1"/>
    </xf>
    <xf numFmtId="0" fontId="11" fillId="5" borderId="0" xfId="0" applyNumberFormat="1" applyFont="1" applyFill="1" applyBorder="1" applyAlignment="1">
      <alignment wrapText="1"/>
    </xf>
    <xf numFmtId="0" fontId="62" fillId="5" borderId="5" xfId="0" applyNumberFormat="1" applyFont="1" applyFill="1" applyBorder="1" applyAlignment="1" applyProtection="1">
      <alignment horizontal="center"/>
    </xf>
    <xf numFmtId="0" fontId="13" fillId="5" borderId="1" xfId="0" applyNumberFormat="1" applyFont="1" applyFill="1" applyBorder="1" applyAlignment="1" applyProtection="1">
      <alignment horizontal="center" wrapText="1"/>
    </xf>
    <xf numFmtId="0" fontId="13" fillId="5" borderId="1" xfId="0" applyNumberFormat="1" applyFont="1" applyFill="1" applyBorder="1" applyAlignment="1">
      <alignment horizontal="center" wrapText="1"/>
    </xf>
    <xf numFmtId="0" fontId="13" fillId="5" borderId="1" xfId="0" applyNumberFormat="1" applyFont="1" applyFill="1" applyBorder="1" applyAlignment="1" applyProtection="1">
      <alignment horizontal="left" wrapText="1"/>
    </xf>
    <xf numFmtId="0" fontId="13" fillId="5" borderId="1" xfId="0" applyNumberFormat="1" applyFont="1" applyFill="1" applyBorder="1" applyAlignment="1">
      <alignment horizontal="center"/>
    </xf>
    <xf numFmtId="0" fontId="13" fillId="5" borderId="4" xfId="0" applyNumberFormat="1" applyFont="1" applyFill="1" applyBorder="1" applyAlignment="1">
      <alignment horizontal="center"/>
    </xf>
    <xf numFmtId="0" fontId="13" fillId="5" borderId="2" xfId="0" applyNumberFormat="1" applyFont="1" applyFill="1" applyBorder="1" applyAlignment="1">
      <alignment horizontal="center"/>
    </xf>
    <xf numFmtId="0" fontId="13" fillId="5" borderId="0" xfId="0" applyNumberFormat="1" applyFont="1" applyFill="1" applyBorder="1" applyAlignment="1">
      <alignment horizontal="center"/>
    </xf>
    <xf numFmtId="0" fontId="13" fillId="5" borderId="0" xfId="0" applyNumberFormat="1" applyFont="1" applyFill="1" applyAlignment="1">
      <alignment horizontal="center"/>
    </xf>
    <xf numFmtId="0" fontId="56" fillId="5" borderId="0" xfId="0" applyNumberFormat="1" applyFont="1" applyFill="1" applyAlignment="1">
      <alignment wrapText="1"/>
    </xf>
    <xf numFmtId="0" fontId="9" fillId="5" borderId="1" xfId="0" applyNumberFormat="1" applyFont="1" applyFill="1" applyBorder="1" applyAlignment="1">
      <alignment horizontal="center" wrapText="1"/>
    </xf>
    <xf numFmtId="0" fontId="38" fillId="5" borderId="1" xfId="27" applyNumberFormat="1" applyFont="1" applyFill="1" applyBorder="1" applyAlignment="1" applyProtection="1">
      <alignment horizontal="left" vertical="center" wrapText="1"/>
    </xf>
    <xf numFmtId="0" fontId="57" fillId="5" borderId="0" xfId="0" applyNumberFormat="1" applyFont="1" applyFill="1" applyAlignment="1">
      <alignment readingOrder="1"/>
    </xf>
    <xf numFmtId="0" fontId="0" fillId="5" borderId="1" xfId="6" applyNumberFormat="1" applyFont="1" applyFill="1" applyBorder="1" applyAlignment="1">
      <alignment horizontal="center" wrapText="1"/>
    </xf>
    <xf numFmtId="0" fontId="0" fillId="5" borderId="1" xfId="6" applyNumberFormat="1" applyFont="1" applyFill="1" applyBorder="1" applyAlignment="1" applyProtection="1">
      <alignment horizontal="center" wrapText="1"/>
    </xf>
    <xf numFmtId="0" fontId="0" fillId="5" borderId="1" xfId="6" applyNumberFormat="1" applyFont="1" applyFill="1" applyBorder="1" applyAlignment="1" applyProtection="1">
      <alignment horizontal="left" wrapText="1"/>
    </xf>
    <xf numFmtId="0" fontId="0" fillId="5" borderId="1" xfId="6" applyNumberFormat="1" applyFont="1" applyFill="1" applyBorder="1" applyAlignment="1">
      <alignment horizontal="center"/>
    </xf>
    <xf numFmtId="0" fontId="0" fillId="5" borderId="4" xfId="6" applyNumberFormat="1" applyFont="1" applyFill="1" applyBorder="1" applyAlignment="1">
      <alignment horizontal="center"/>
    </xf>
    <xf numFmtId="0" fontId="0" fillId="5" borderId="2" xfId="6" applyNumberFormat="1" applyFont="1" applyFill="1" applyBorder="1" applyAlignment="1">
      <alignment horizontal="center"/>
    </xf>
    <xf numFmtId="0" fontId="0" fillId="5" borderId="0" xfId="6" applyNumberFormat="1" applyFont="1" applyFill="1" applyBorder="1" applyAlignment="1">
      <alignment horizontal="center"/>
    </xf>
    <xf numFmtId="0" fontId="0" fillId="5" borderId="0" xfId="6" applyNumberFormat="1" applyFont="1" applyFill="1" applyAlignment="1">
      <alignment horizontal="center"/>
    </xf>
    <xf numFmtId="0" fontId="0" fillId="5" borderId="1" xfId="0" applyNumberFormat="1" applyFont="1" applyFill="1" applyBorder="1" applyAlignment="1">
      <alignment horizontal="left" wrapText="1"/>
    </xf>
    <xf numFmtId="0" fontId="14" fillId="5" borderId="1" xfId="0" applyNumberFormat="1" applyFont="1" applyFill="1" applyBorder="1" applyAlignment="1">
      <alignment horizontal="center" wrapText="1"/>
    </xf>
    <xf numFmtId="0" fontId="0" fillId="5" borderId="1" xfId="0" quotePrefix="1" applyNumberFormat="1" applyFont="1" applyFill="1" applyBorder="1" applyAlignment="1">
      <alignment horizontal="center" wrapText="1"/>
    </xf>
    <xf numFmtId="0" fontId="51" fillId="5" borderId="1" xfId="0" applyNumberFormat="1" applyFont="1" applyFill="1" applyBorder="1" applyAlignment="1">
      <alignment horizontal="center"/>
    </xf>
    <xf numFmtId="0" fontId="14" fillId="5" borderId="1" xfId="0" applyNumberFormat="1" applyFont="1" applyFill="1" applyBorder="1" applyAlignment="1">
      <alignment horizontal="center"/>
    </xf>
    <xf numFmtId="0" fontId="14" fillId="5" borderId="4" xfId="0" applyNumberFormat="1" applyFont="1" applyFill="1" applyBorder="1" applyAlignment="1">
      <alignment horizontal="center"/>
    </xf>
    <xf numFmtId="0" fontId="14" fillId="5" borderId="2" xfId="0" applyNumberFormat="1" applyFont="1" applyFill="1" applyBorder="1" applyAlignment="1">
      <alignment horizontal="center"/>
    </xf>
    <xf numFmtId="0" fontId="14" fillId="5" borderId="0" xfId="0" applyNumberFormat="1" applyFont="1" applyFill="1" applyBorder="1" applyAlignment="1">
      <alignment horizontal="center"/>
    </xf>
    <xf numFmtId="0" fontId="14" fillId="5" borderId="0" xfId="0" applyNumberFormat="1" applyFont="1" applyFill="1" applyAlignment="1">
      <alignment horizontal="center"/>
    </xf>
  </cellXfs>
  <cellStyles count="134">
    <cellStyle name="Normal 18" xfId="9" xr:uid="{00000000-0005-0000-0000-000000000000}"/>
    <cellStyle name="Normal 18 2" xfId="50" xr:uid="{00000000-0005-0000-0000-000001000000}"/>
    <cellStyle name="Normal 18 2 2" xfId="64" xr:uid="{00000000-0005-0000-0000-000002000000}"/>
    <cellStyle name="Normal 18 2 3" xfId="107" xr:uid="{00000000-0005-0000-0000-000003000000}"/>
    <cellStyle name="Normal 18 2 4" xfId="102" xr:uid="{00000000-0005-0000-0000-000004000000}"/>
    <cellStyle name="Normal 18 3" xfId="41" xr:uid="{00000000-0005-0000-0000-000005000000}"/>
    <cellStyle name="Normal 5" xfId="10" xr:uid="{00000000-0005-0000-0000-000006000000}"/>
    <cellStyle name="Normal 5 2" xfId="72" xr:uid="{00000000-0005-0000-0000-000007000000}"/>
    <cellStyle name="Normal 5 3" xfId="49" xr:uid="{00000000-0005-0000-0000-000008000000}"/>
    <cellStyle name="Normal 5 4" xfId="101" xr:uid="{00000000-0005-0000-0000-000009000000}"/>
    <cellStyle name="Standard 2" xfId="7" xr:uid="{00000000-0005-0000-0000-00000A000000}"/>
    <cellStyle name="Standard 2 2" xfId="11" xr:uid="{00000000-0005-0000-0000-00000B000000}"/>
    <cellStyle name="Standard 2 2 2" xfId="48" xr:uid="{00000000-0005-0000-0000-00000C000000}"/>
    <cellStyle name="Standard 2 2 2 2" xfId="71" xr:uid="{00000000-0005-0000-0000-00000D000000}"/>
    <cellStyle name="Standard 2 2 2 3" xfId="106" xr:uid="{00000000-0005-0000-0000-00000E000000}"/>
    <cellStyle name="Standard 2 2 2 4" xfId="100" xr:uid="{00000000-0005-0000-0000-00000F000000}"/>
    <cellStyle name="Standard 2 2 3" xfId="56" xr:uid="{00000000-0005-0000-0000-000010000000}"/>
    <cellStyle name="Standard 2 2 4" xfId="40" xr:uid="{00000000-0005-0000-0000-000011000000}"/>
    <cellStyle name="Standard 2 2 5" xfId="94" xr:uid="{00000000-0005-0000-0000-000012000000}"/>
    <cellStyle name="Standard 2 3" xfId="24" xr:uid="{00000000-0005-0000-0000-000013000000}"/>
    <cellStyle name="Standard 2 3 2" xfId="62" xr:uid="{00000000-0005-0000-0000-000014000000}"/>
    <cellStyle name="Standard 2 4" xfId="33" xr:uid="{00000000-0005-0000-0000-000015000000}"/>
    <cellStyle name="Standard 2 5" xfId="87" xr:uid="{00000000-0005-0000-0000-000016000000}"/>
    <cellStyle name="Standard_tmp_CandisMatrix_1" xfId="4" xr:uid="{00000000-0005-0000-0000-000017000000}"/>
    <cellStyle name="常规" xfId="0" builtinId="0"/>
    <cellStyle name="常规 10" xfId="27" xr:uid="{00000000-0005-0000-0000-000019000000}"/>
    <cellStyle name="常规 10 2" xfId="52" xr:uid="{00000000-0005-0000-0000-00001A000000}"/>
    <cellStyle name="常规 10 3" xfId="43" xr:uid="{00000000-0005-0000-0000-00001B000000}"/>
    <cellStyle name="常规 10 4" xfId="95" xr:uid="{00000000-0005-0000-0000-00001C000000}"/>
    <cellStyle name="常规 11" xfId="73" xr:uid="{00000000-0005-0000-0000-00001D000000}"/>
    <cellStyle name="常规 12" xfId="28" xr:uid="{00000000-0005-0000-0000-00001E000000}"/>
    <cellStyle name="常规 13" xfId="112" xr:uid="{00000000-0005-0000-0000-00001F000000}"/>
    <cellStyle name="常规 14" xfId="81" xr:uid="{00000000-0005-0000-0000-000020000000}"/>
    <cellStyle name="常规 15" xfId="120" xr:uid="{00000000-0005-0000-0000-000021000000}"/>
    <cellStyle name="常规 16" xfId="121" xr:uid="{00000000-0005-0000-0000-000022000000}"/>
    <cellStyle name="常规 17" xfId="126" xr:uid="{00000000-0005-0000-0000-000023000000}"/>
    <cellStyle name="常规 2" xfId="3" xr:uid="{00000000-0005-0000-0000-000024000000}"/>
    <cellStyle name="常规 2 2" xfId="5" xr:uid="{00000000-0005-0000-0000-000025000000}"/>
    <cellStyle name="常规 2 2 2" xfId="22" xr:uid="{00000000-0005-0000-0000-000026000000}"/>
    <cellStyle name="常规 2 2 2 2" xfId="63" xr:uid="{00000000-0005-0000-0000-000027000000}"/>
    <cellStyle name="常规 2 2 2 3" xfId="46" xr:uid="{00000000-0005-0000-0000-000028000000}"/>
    <cellStyle name="常规 2 2 2 4" xfId="98" xr:uid="{00000000-0005-0000-0000-000029000000}"/>
    <cellStyle name="常规 2 2 3" xfId="58" xr:uid="{00000000-0005-0000-0000-00002A000000}"/>
    <cellStyle name="常规 2 2 4" xfId="32" xr:uid="{00000000-0005-0000-0000-00002B000000}"/>
    <cellStyle name="常规 2 2 5" xfId="85" xr:uid="{00000000-0005-0000-0000-00002C000000}"/>
    <cellStyle name="常规 2 3" xfId="12" xr:uid="{00000000-0005-0000-0000-00002D000000}"/>
    <cellStyle name="常规 2 3 2" xfId="70" xr:uid="{00000000-0005-0000-0000-00002E000000}"/>
    <cellStyle name="常规 2 3 3" xfId="45" xr:uid="{00000000-0005-0000-0000-00002F000000}"/>
    <cellStyle name="常规 2 3 4" xfId="97" xr:uid="{00000000-0005-0000-0000-000030000000}"/>
    <cellStyle name="常规 2 4" xfId="21" xr:uid="{00000000-0005-0000-0000-000031000000}"/>
    <cellStyle name="常规 2 4 2" xfId="59" xr:uid="{00000000-0005-0000-0000-000032000000}"/>
    <cellStyle name="常规 2 5" xfId="31" xr:uid="{00000000-0005-0000-0000-000033000000}"/>
    <cellStyle name="常规 2 6" xfId="84" xr:uid="{00000000-0005-0000-0000-000034000000}"/>
    <cellStyle name="常规 3" xfId="1" xr:uid="{00000000-0005-0000-0000-000035000000}"/>
    <cellStyle name="常规 3 2" xfId="19" xr:uid="{00000000-0005-0000-0000-000036000000}"/>
    <cellStyle name="常规 3 2 2" xfId="42" xr:uid="{00000000-0005-0000-0000-000037000000}"/>
    <cellStyle name="常规 3 2 3" xfId="115" xr:uid="{00000000-0005-0000-0000-000038000000}"/>
    <cellStyle name="常规 3 3" xfId="44" xr:uid="{00000000-0005-0000-0000-000039000000}"/>
    <cellStyle name="常规 3 3 2" xfId="55" xr:uid="{00000000-0005-0000-0000-00003A000000}"/>
    <cellStyle name="常规 3 3 3" xfId="104" xr:uid="{00000000-0005-0000-0000-00003B000000}"/>
    <cellStyle name="常规 3 3 4" xfId="96" xr:uid="{00000000-0005-0000-0000-00003C000000}"/>
    <cellStyle name="常规 3 4" xfId="60" xr:uid="{00000000-0005-0000-0000-00003D000000}"/>
    <cellStyle name="常规 3 5" xfId="29" xr:uid="{00000000-0005-0000-0000-00003E000000}"/>
    <cellStyle name="常规 3 6" xfId="82" xr:uid="{00000000-0005-0000-0000-00003F000000}"/>
    <cellStyle name="常规 4" xfId="2" xr:uid="{00000000-0005-0000-0000-000040000000}"/>
    <cellStyle name="常规 4 2" xfId="20" xr:uid="{00000000-0005-0000-0000-000041000000}"/>
    <cellStyle name="常规 4 2 2" xfId="68" xr:uid="{00000000-0005-0000-0000-000042000000}"/>
    <cellStyle name="常规 4 2 3" xfId="39" xr:uid="{00000000-0005-0000-0000-000043000000}"/>
    <cellStyle name="常规 4 2 4" xfId="93" xr:uid="{00000000-0005-0000-0000-000044000000}"/>
    <cellStyle name="常规 4 3" xfId="61" xr:uid="{00000000-0005-0000-0000-000045000000}"/>
    <cellStyle name="常规 4 4" xfId="30" xr:uid="{00000000-0005-0000-0000-000046000000}"/>
    <cellStyle name="常规 4 5" xfId="83" xr:uid="{00000000-0005-0000-0000-000047000000}"/>
    <cellStyle name="常规 5" xfId="8" xr:uid="{00000000-0005-0000-0000-000048000000}"/>
    <cellStyle name="常规 5 2" xfId="13" xr:uid="{00000000-0005-0000-0000-000049000000}"/>
    <cellStyle name="常规 5 2 2" xfId="69" xr:uid="{00000000-0005-0000-0000-00004A000000}"/>
    <cellStyle name="常规 5 2 2 2" xfId="75" xr:uid="{00000000-0005-0000-0000-00004B000000}"/>
    <cellStyle name="常规 5 2 2 2 2" xfId="80" xr:uid="{00000000-0005-0000-0000-00004C000000}"/>
    <cellStyle name="常规 5 2 2 2 2 2" xfId="119" xr:uid="{00000000-0005-0000-0000-00004D000000}"/>
    <cellStyle name="常规 5 2 2 2 2 3" xfId="133" xr:uid="{00000000-0005-0000-0000-00004E000000}"/>
    <cellStyle name="常规 5 2 2 2 3" xfId="111" xr:uid="{00000000-0005-0000-0000-00004F000000}"/>
    <cellStyle name="常规 5 2 2 2 4" xfId="128" xr:uid="{00000000-0005-0000-0000-000050000000}"/>
    <cellStyle name="常规 5 2 2 3" xfId="79" xr:uid="{00000000-0005-0000-0000-000051000000}"/>
    <cellStyle name="常规 5 2 2 3 2" xfId="118" xr:uid="{00000000-0005-0000-0000-000052000000}"/>
    <cellStyle name="常规 5 2 2 3 3" xfId="132" xr:uid="{00000000-0005-0000-0000-000053000000}"/>
    <cellStyle name="常规 5 2 2 4" xfId="110" xr:uid="{00000000-0005-0000-0000-000054000000}"/>
    <cellStyle name="常规 5 2 2 5" xfId="127" xr:uid="{00000000-0005-0000-0000-000055000000}"/>
    <cellStyle name="常规 5 2 3" xfId="57" xr:uid="{00000000-0005-0000-0000-000056000000}"/>
    <cellStyle name="常规 5 2 3 2" xfId="78" xr:uid="{00000000-0005-0000-0000-000057000000}"/>
    <cellStyle name="常规 5 2 3 2 2" xfId="117" xr:uid="{00000000-0005-0000-0000-000058000000}"/>
    <cellStyle name="常规 5 2 3 2 3" xfId="131" xr:uid="{00000000-0005-0000-0000-000059000000}"/>
    <cellStyle name="常规 5 2 3 3" xfId="109" xr:uid="{00000000-0005-0000-0000-00005A000000}"/>
    <cellStyle name="常规 5 2 3 4" xfId="125" xr:uid="{00000000-0005-0000-0000-00005B000000}"/>
    <cellStyle name="常规 5 2 4" xfId="47" xr:uid="{00000000-0005-0000-0000-00005C000000}"/>
    <cellStyle name="常规 5 2 4 2" xfId="77" xr:uid="{00000000-0005-0000-0000-00005D000000}"/>
    <cellStyle name="常规 5 2 4 2 2" xfId="116" xr:uid="{00000000-0005-0000-0000-00005E000000}"/>
    <cellStyle name="常规 5 2 4 2 3" xfId="130" xr:uid="{00000000-0005-0000-0000-00005F000000}"/>
    <cellStyle name="常规 5 2 4 3" xfId="105" xr:uid="{00000000-0005-0000-0000-000060000000}"/>
    <cellStyle name="常规 5 2 4 4" xfId="124" xr:uid="{00000000-0005-0000-0000-000061000000}"/>
    <cellStyle name="常规 5 2 5" xfId="113" xr:uid="{00000000-0005-0000-0000-000062000000}"/>
    <cellStyle name="常规 5 2 6" xfId="99" xr:uid="{00000000-0005-0000-0000-000063000000}"/>
    <cellStyle name="常规 5 2 7" xfId="123" xr:uid="{00000000-0005-0000-0000-000064000000}"/>
    <cellStyle name="常规 5 3" xfId="23" xr:uid="{00000000-0005-0000-0000-000065000000}"/>
    <cellStyle name="常规 5 3 2" xfId="54" xr:uid="{00000000-0005-0000-0000-000066000000}"/>
    <cellStyle name="常规 5 4" xfId="34" xr:uid="{00000000-0005-0000-0000-000067000000}"/>
    <cellStyle name="常规 5 5" xfId="88" xr:uid="{00000000-0005-0000-0000-000068000000}"/>
    <cellStyle name="常规 6" xfId="14" xr:uid="{00000000-0005-0000-0000-000069000000}"/>
    <cellStyle name="常规 6 2" xfId="26" xr:uid="{00000000-0005-0000-0000-00006A000000}"/>
    <cellStyle name="常规 6 2 2" xfId="66" xr:uid="{00000000-0005-0000-0000-00006B000000}"/>
    <cellStyle name="常规 6 3" xfId="35" xr:uid="{00000000-0005-0000-0000-00006C000000}"/>
    <cellStyle name="常规 6 4" xfId="89" xr:uid="{00000000-0005-0000-0000-00006D000000}"/>
    <cellStyle name="常规 7" xfId="17" xr:uid="{00000000-0005-0000-0000-00006E000000}"/>
    <cellStyle name="常规 7 2" xfId="25" xr:uid="{00000000-0005-0000-0000-00006F000000}"/>
    <cellStyle name="常规 7 2 2" xfId="67" xr:uid="{00000000-0005-0000-0000-000070000000}"/>
    <cellStyle name="常规 7 2 3" xfId="38" xr:uid="{00000000-0005-0000-0000-000071000000}"/>
    <cellStyle name="常规 7 2 4" xfId="92" xr:uid="{00000000-0005-0000-0000-000072000000}"/>
    <cellStyle name="常规 7 3" xfId="65" xr:uid="{00000000-0005-0000-0000-000073000000}"/>
    <cellStyle name="常规 7 4" xfId="36" xr:uid="{00000000-0005-0000-0000-000074000000}"/>
    <cellStyle name="常规 7 5" xfId="90" xr:uid="{00000000-0005-0000-0000-000075000000}"/>
    <cellStyle name="常规 8" xfId="18" xr:uid="{00000000-0005-0000-0000-000076000000}"/>
    <cellStyle name="常规 8 2" xfId="53" xr:uid="{00000000-0005-0000-0000-000077000000}"/>
    <cellStyle name="常规 8 3" xfId="37" xr:uid="{00000000-0005-0000-0000-000078000000}"/>
    <cellStyle name="常规 8 4" xfId="91" xr:uid="{00000000-0005-0000-0000-000079000000}"/>
    <cellStyle name="常规 9" xfId="51" xr:uid="{00000000-0005-0000-0000-00007A000000}"/>
    <cellStyle name="常规 9 2" xfId="74" xr:uid="{00000000-0005-0000-0000-00007B000000}"/>
    <cellStyle name="常规 9 3" xfId="108" xr:uid="{00000000-0005-0000-0000-00007C000000}"/>
    <cellStyle name="常规 9 4" xfId="103" xr:uid="{00000000-0005-0000-0000-00007D000000}"/>
    <cellStyle name="千位分隔" xfId="6" builtinId="3"/>
    <cellStyle name="千位分隔 2" xfId="16" xr:uid="{00000000-0005-0000-0000-00007F000000}"/>
    <cellStyle name="千位分隔 2 2" xfId="76" xr:uid="{00000000-0005-0000-0000-000080000000}"/>
    <cellStyle name="千位分隔 2 3" xfId="114" xr:uid="{00000000-0005-0000-0000-000081000000}"/>
    <cellStyle name="千位分隔 2 4" xfId="129" xr:uid="{00000000-0005-0000-0000-000082000000}"/>
    <cellStyle name="千位分隔 3" xfId="86" xr:uid="{00000000-0005-0000-0000-000083000000}"/>
    <cellStyle name="千位分隔 4" xfId="122" xr:uid="{00000000-0005-0000-0000-000084000000}"/>
    <cellStyle name="표준 4" xfId="15" xr:uid="{00000000-0005-0000-0000-000085000000}"/>
  </cellStyles>
  <dxfs count="71">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rgb="FFFF0000"/>
        </patternFill>
      </fill>
    </dxf>
    <dxf>
      <fill>
        <patternFill>
          <bgColor rgb="FFFFFF00"/>
        </patternFill>
      </fill>
    </dxf>
    <dxf>
      <fill>
        <patternFill>
          <bgColor rgb="FF00FF00"/>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1"/>
        </patternFill>
      </fill>
    </dxf>
    <dxf>
      <fill>
        <patternFill>
          <bgColor indexed="10"/>
        </patternFill>
      </fill>
      <border>
        <left style="thin">
          <color indexed="64"/>
        </left>
      </border>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ont>
        <condense val="0"/>
        <extend val="0"/>
        <color indexed="10"/>
      </font>
    </dxf>
    <dxf>
      <fill>
        <patternFill>
          <bgColor rgb="FFFF0000"/>
        </patternFill>
      </fill>
    </dxf>
    <dxf>
      <fill>
        <patternFill>
          <bgColor rgb="FFFFFF00"/>
        </patternFill>
      </fill>
    </dxf>
    <dxf>
      <fill>
        <patternFill>
          <bgColor rgb="FF00FF00"/>
        </patternFill>
      </fill>
    </dxf>
    <dxf>
      <fill>
        <patternFill>
          <bgColor indexed="11"/>
        </patternFill>
      </fill>
    </dxf>
    <dxf>
      <fill>
        <patternFill>
          <bgColor indexed="10"/>
        </patternFill>
      </fill>
      <border>
        <left style="thin">
          <color indexed="64"/>
        </left>
      </border>
    </dxf>
    <dxf>
      <fill>
        <patternFill>
          <fgColor indexed="10"/>
          <bgColor indexed="10"/>
        </patternFill>
      </fill>
    </dxf>
    <dxf>
      <fill>
        <patternFill>
          <fgColor indexed="10"/>
          <bgColor indexed="13"/>
        </patternFill>
      </fill>
    </dxf>
    <dxf>
      <fill>
        <patternFill>
          <fgColor indexed="10"/>
          <bgColor indexed="11"/>
        </patternFill>
      </fill>
    </dxf>
    <dxf>
      <fill>
        <patternFill>
          <bgColor indexed="10"/>
        </patternFill>
      </fill>
    </dxf>
    <dxf>
      <fill>
        <patternFill>
          <bgColor indexed="13"/>
        </patternFill>
      </fill>
    </dxf>
    <dxf>
      <fill>
        <patternFill>
          <bgColor indexed="1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19048</xdr:colOff>
      <xdr:row>0</xdr:row>
      <xdr:rowOff>19049</xdr:rowOff>
    </xdr:from>
    <xdr:to>
      <xdr:col>2</xdr:col>
      <xdr:colOff>876300</xdr:colOff>
      <xdr:row>0</xdr:row>
      <xdr:rowOff>553748</xdr:rowOff>
    </xdr:to>
    <xdr:pic>
      <xdr:nvPicPr>
        <xdr:cNvPr id="3" name="Picture 1">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srcRect l="33698" t="34427" r="38042" b="58925"/>
        <a:stretch>
          <a:fillRect/>
        </a:stretch>
      </xdr:blipFill>
      <xdr:spPr bwMode="auto">
        <a:xfrm>
          <a:off x="19048" y="19049"/>
          <a:ext cx="2524127" cy="534699"/>
        </a:xfrm>
        <a:prstGeom prst="rect">
          <a:avLst/>
        </a:prstGeom>
        <a:noFill/>
        <a:ln w="9525">
          <a:noFill/>
          <a:miter lim="800000"/>
          <a:headEnd/>
          <a:tailEnd/>
        </a:ln>
      </xdr:spPr>
    </xdr:pic>
    <xdr:clientData/>
  </xdr:twoCellAnchor>
  <xdr:twoCellAnchor editAs="oneCell">
    <xdr:from>
      <xdr:col>6</xdr:col>
      <xdr:colOff>1219200</xdr:colOff>
      <xdr:row>0</xdr:row>
      <xdr:rowOff>1</xdr:rowOff>
    </xdr:from>
    <xdr:to>
      <xdr:col>8</xdr:col>
      <xdr:colOff>857250</xdr:colOff>
      <xdr:row>0</xdr:row>
      <xdr:rowOff>714375</xdr:rowOff>
    </xdr:to>
    <xdr:pic>
      <xdr:nvPicPr>
        <xdr:cNvPr id="4" name="图片 3" descr="C:\Documents and Settings\CY3536\桌面\Drawing1-Model2 拷贝.jpg">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2" cstate="print"/>
        <a:srcRect/>
        <a:stretch>
          <a:fillRect/>
        </a:stretch>
      </xdr:blipFill>
      <xdr:spPr bwMode="auto">
        <a:xfrm>
          <a:off x="9772650" y="1"/>
          <a:ext cx="1905000" cy="714374"/>
        </a:xfrm>
        <a:prstGeom prst="rect">
          <a:avLst/>
        </a:prstGeom>
        <a:noFill/>
        <a:ln w="9525">
          <a:noFill/>
          <a:miter lim="800000"/>
          <a:headEnd/>
          <a:tailEnd/>
        </a:ln>
      </xdr:spPr>
    </xdr:pic>
    <xdr:clientData/>
  </xdr:twoCellAnchor>
  <xdr:twoCellAnchor>
    <xdr:from>
      <xdr:col>0</xdr:col>
      <xdr:colOff>19048</xdr:colOff>
      <xdr:row>0</xdr:row>
      <xdr:rowOff>19049</xdr:rowOff>
    </xdr:from>
    <xdr:to>
      <xdr:col>2</xdr:col>
      <xdr:colOff>876300</xdr:colOff>
      <xdr:row>0</xdr:row>
      <xdr:rowOff>553748</xdr:rowOff>
    </xdr:to>
    <xdr:pic>
      <xdr:nvPicPr>
        <xdr:cNvPr id="5" name="Picture 1">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srcRect l="33698" t="34427" r="38042" b="58925"/>
        <a:stretch>
          <a:fillRect/>
        </a:stretch>
      </xdr:blipFill>
      <xdr:spPr bwMode="auto">
        <a:xfrm>
          <a:off x="19048" y="19049"/>
          <a:ext cx="2552702" cy="534699"/>
        </a:xfrm>
        <a:prstGeom prst="rect">
          <a:avLst/>
        </a:prstGeom>
        <a:noFill/>
        <a:ln w="9525">
          <a:noFill/>
          <a:miter lim="800000"/>
          <a:headEnd/>
          <a:tailEnd/>
        </a:ln>
      </xdr:spPr>
    </xdr:pic>
    <xdr:clientData/>
  </xdr:twoCellAnchor>
  <xdr:twoCellAnchor editAs="oneCell">
    <xdr:from>
      <xdr:col>6</xdr:col>
      <xdr:colOff>1219200</xdr:colOff>
      <xdr:row>0</xdr:row>
      <xdr:rowOff>1</xdr:rowOff>
    </xdr:from>
    <xdr:to>
      <xdr:col>8</xdr:col>
      <xdr:colOff>857251</xdr:colOff>
      <xdr:row>0</xdr:row>
      <xdr:rowOff>714375</xdr:rowOff>
    </xdr:to>
    <xdr:pic>
      <xdr:nvPicPr>
        <xdr:cNvPr id="6" name="图片 5" descr="C:\Documents and Settings\CY3536\桌面\Drawing1-Model2 拷贝.jpg">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2" cstate="print"/>
        <a:srcRect/>
        <a:stretch>
          <a:fillRect/>
        </a:stretch>
      </xdr:blipFill>
      <xdr:spPr bwMode="auto">
        <a:xfrm>
          <a:off x="10039350" y="1"/>
          <a:ext cx="1905001" cy="714374"/>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64848</xdr:colOff>
      <xdr:row>11</xdr:row>
      <xdr:rowOff>33477</xdr:rowOff>
    </xdr:from>
    <xdr:to>
      <xdr:col>3</xdr:col>
      <xdr:colOff>790575</xdr:colOff>
      <xdr:row>14</xdr:row>
      <xdr:rowOff>669371</xdr:rowOff>
    </xdr:to>
    <xdr:pic>
      <xdr:nvPicPr>
        <xdr:cNvPr id="2" name="图片 1" descr="1.bmp">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stretch>
          <a:fillRect/>
        </a:stretch>
      </xdr:blipFill>
      <xdr:spPr>
        <a:xfrm>
          <a:off x="3084273" y="3519627"/>
          <a:ext cx="6507402" cy="3255269"/>
        </a:xfrm>
        <a:prstGeom prst="rect">
          <a:avLst/>
        </a:prstGeom>
      </xdr:spPr>
    </xdr:pic>
    <xdr:clientData/>
  </xdr:twoCellAnchor>
  <xdr:twoCellAnchor editAs="oneCell">
    <xdr:from>
      <xdr:col>3</xdr:col>
      <xdr:colOff>714375</xdr:colOff>
      <xdr:row>26</xdr:row>
      <xdr:rowOff>226852</xdr:rowOff>
    </xdr:from>
    <xdr:to>
      <xdr:col>3</xdr:col>
      <xdr:colOff>3990975</xdr:colOff>
      <xdr:row>27</xdr:row>
      <xdr:rowOff>838199</xdr:rowOff>
    </xdr:to>
    <xdr:pic>
      <xdr:nvPicPr>
        <xdr:cNvPr id="4" name="图片 3" descr="分辨率图.jpg">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stretch>
          <a:fillRect/>
        </a:stretch>
      </xdr:blipFill>
      <xdr:spPr>
        <a:xfrm>
          <a:off x="9515475" y="14114302"/>
          <a:ext cx="3276600" cy="1773397"/>
        </a:xfrm>
        <a:prstGeom prst="rect">
          <a:avLst/>
        </a:prstGeom>
      </xdr:spPr>
    </xdr:pic>
    <xdr:clientData/>
  </xdr:twoCellAnchor>
  <xdr:twoCellAnchor editAs="oneCell">
    <xdr:from>
      <xdr:col>3</xdr:col>
      <xdr:colOff>130623</xdr:colOff>
      <xdr:row>16</xdr:row>
      <xdr:rowOff>66675</xdr:rowOff>
    </xdr:from>
    <xdr:to>
      <xdr:col>3</xdr:col>
      <xdr:colOff>3819525</xdr:colOff>
      <xdr:row>17</xdr:row>
      <xdr:rowOff>946255</xdr:rowOff>
    </xdr:to>
    <xdr:pic>
      <xdr:nvPicPr>
        <xdr:cNvPr id="5" name="图片 4" descr="10221.bmp">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3" cstate="print"/>
        <a:srcRect/>
        <a:stretch>
          <a:fillRect/>
        </a:stretch>
      </xdr:blipFill>
      <xdr:spPr bwMode="auto">
        <a:xfrm>
          <a:off x="8931723" y="7658100"/>
          <a:ext cx="3688902" cy="1974955"/>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38"/>
  <sheetViews>
    <sheetView zoomScaleNormal="100" workbookViewId="0">
      <pane ySplit="12" topLeftCell="A32" activePane="bottomLeft" state="frozen"/>
      <selection pane="bottomLeft" activeCell="C34" sqref="C34:E34"/>
    </sheetView>
  </sheetViews>
  <sheetFormatPr baseColWidth="10" defaultColWidth="9.1640625" defaultRowHeight="13"/>
  <cols>
    <col min="1" max="1" width="9.6640625" style="77" customWidth="1"/>
    <col min="2" max="2" width="20.83203125" style="77" customWidth="1"/>
    <col min="3" max="3" width="20.33203125" style="77" customWidth="1"/>
    <col min="4" max="4" width="25.5" style="77" customWidth="1"/>
    <col min="5" max="5" width="53.5" style="77" customWidth="1"/>
    <col min="6" max="6" width="21.6640625" style="77" bestFit="1" customWidth="1"/>
    <col min="7" max="7" width="19.5" style="77" customWidth="1"/>
    <col min="8" max="8" width="14.5" style="77" customWidth="1"/>
    <col min="9" max="9" width="13" style="77" customWidth="1"/>
    <col min="10" max="12" width="9.1640625" style="77"/>
    <col min="13" max="14" width="9.1640625" style="77" customWidth="1"/>
    <col min="15" max="16384" width="9.1640625" style="77"/>
  </cols>
  <sheetData>
    <row r="1" spans="1:9" s="52" customFormat="1" ht="60.75" customHeight="1" thickBot="1">
      <c r="B1" s="53"/>
      <c r="D1" s="362" t="s">
        <v>170</v>
      </c>
      <c r="E1" s="362"/>
      <c r="F1" s="362"/>
      <c r="G1" s="53"/>
      <c r="H1" s="361"/>
      <c r="I1" s="361"/>
    </row>
    <row r="2" spans="1:9" s="52" customFormat="1" ht="24.75" customHeight="1" thickBot="1">
      <c r="A2" s="54" t="s">
        <v>171</v>
      </c>
      <c r="B2" s="55" t="s">
        <v>3055</v>
      </c>
      <c r="C2" s="56" t="s">
        <v>172</v>
      </c>
      <c r="D2" s="368" t="s">
        <v>3056</v>
      </c>
      <c r="E2" s="369"/>
      <c r="F2" s="57" t="s">
        <v>173</v>
      </c>
      <c r="G2" s="365" t="s">
        <v>174</v>
      </c>
      <c r="H2" s="366"/>
      <c r="I2" s="367"/>
    </row>
    <row r="3" spans="1:9" s="52" customFormat="1" ht="24.75" customHeight="1" thickBot="1">
      <c r="A3" s="54" t="s">
        <v>175</v>
      </c>
      <c r="B3" s="357" t="s">
        <v>640</v>
      </c>
      <c r="C3" s="357"/>
      <c r="D3" s="54" t="s">
        <v>176</v>
      </c>
      <c r="E3" s="357" t="s">
        <v>640</v>
      </c>
      <c r="F3" s="357"/>
      <c r="G3" s="56" t="s">
        <v>177</v>
      </c>
      <c r="H3" s="357" t="s">
        <v>178</v>
      </c>
      <c r="I3" s="357"/>
    </row>
    <row r="4" spans="1:9" s="52" customFormat="1" ht="14" thickBot="1"/>
    <row r="5" spans="1:9" s="52" customFormat="1" ht="14" thickBot="1">
      <c r="A5" s="58" t="s">
        <v>179</v>
      </c>
      <c r="B5" s="360" t="s">
        <v>13</v>
      </c>
      <c r="C5" s="360"/>
      <c r="D5" s="360" t="s">
        <v>180</v>
      </c>
      <c r="E5" s="360"/>
      <c r="F5" s="360"/>
      <c r="G5" s="363" t="s">
        <v>181</v>
      </c>
      <c r="H5" s="364"/>
      <c r="I5" s="364"/>
    </row>
    <row r="6" spans="1:9" s="52" customFormat="1" ht="33.75" hidden="1" customHeight="1" thickBot="1">
      <c r="A6" s="59" t="s">
        <v>14</v>
      </c>
      <c r="B6" s="357" t="s">
        <v>182</v>
      </c>
      <c r="C6" s="357"/>
      <c r="D6" s="370"/>
      <c r="E6" s="370"/>
      <c r="F6" s="370"/>
      <c r="G6" s="357"/>
      <c r="H6" s="357"/>
      <c r="I6" s="357"/>
    </row>
    <row r="7" spans="1:9" s="52" customFormat="1" ht="33.75" hidden="1" customHeight="1" thickBot="1">
      <c r="A7" s="59" t="s">
        <v>15</v>
      </c>
      <c r="B7" s="357" t="s">
        <v>183</v>
      </c>
      <c r="C7" s="357"/>
      <c r="D7" s="370"/>
      <c r="E7" s="370"/>
      <c r="F7" s="370"/>
      <c r="G7" s="357"/>
      <c r="H7" s="357"/>
      <c r="I7" s="357"/>
    </row>
    <row r="8" spans="1:9" s="52" customFormat="1" ht="33.75" hidden="1" customHeight="1" thickBot="1">
      <c r="A8" s="59" t="s">
        <v>16</v>
      </c>
      <c r="B8" s="357" t="s">
        <v>184</v>
      </c>
      <c r="C8" s="357"/>
      <c r="D8" s="370"/>
      <c r="E8" s="370"/>
      <c r="F8" s="370"/>
      <c r="G8" s="357"/>
      <c r="H8" s="357"/>
      <c r="I8" s="357"/>
    </row>
    <row r="9" spans="1:9" s="52" customFormat="1" hidden="1">
      <c r="A9" s="60"/>
    </row>
    <row r="10" spans="1:9" s="52" customFormat="1" hidden="1"/>
    <row r="11" spans="1:9" s="52" customFormat="1" ht="16" hidden="1">
      <c r="A11" s="61" t="s">
        <v>0</v>
      </c>
      <c r="B11" s="61"/>
      <c r="C11" s="62"/>
      <c r="D11" s="62"/>
      <c r="E11" s="62"/>
      <c r="F11" s="63"/>
      <c r="G11" s="64"/>
      <c r="H11" s="64"/>
    </row>
    <row r="12" spans="1:9" s="52" customFormat="1" ht="24">
      <c r="A12" s="65" t="s">
        <v>1</v>
      </c>
      <c r="B12" s="65" t="s">
        <v>2</v>
      </c>
      <c r="C12" s="358" t="s">
        <v>185</v>
      </c>
      <c r="D12" s="358"/>
      <c r="E12" s="358"/>
      <c r="F12" s="65" t="s">
        <v>186</v>
      </c>
      <c r="G12" s="65" t="s">
        <v>187</v>
      </c>
      <c r="H12" s="65" t="s">
        <v>188</v>
      </c>
      <c r="I12" s="66" t="s">
        <v>189</v>
      </c>
    </row>
    <row r="13" spans="1:9" s="71" customFormat="1" ht="45" customHeight="1">
      <c r="A13" s="67" t="s">
        <v>1977</v>
      </c>
      <c r="B13" s="78">
        <v>42753</v>
      </c>
      <c r="C13" s="359" t="s">
        <v>1978</v>
      </c>
      <c r="D13" s="359"/>
      <c r="E13" s="359"/>
      <c r="F13" s="68" t="s">
        <v>1979</v>
      </c>
      <c r="G13" s="69" t="s">
        <v>1980</v>
      </c>
      <c r="H13" s="70" t="s">
        <v>1981</v>
      </c>
      <c r="I13" s="70" t="s">
        <v>1982</v>
      </c>
    </row>
    <row r="14" spans="1:9" s="72" customFormat="1" ht="254.25" customHeight="1">
      <c r="A14" s="343" t="s">
        <v>2084</v>
      </c>
      <c r="B14" s="78">
        <v>42769</v>
      </c>
      <c r="C14" s="346" t="s">
        <v>2107</v>
      </c>
      <c r="D14" s="347"/>
      <c r="E14" s="348"/>
      <c r="F14" s="354" t="s">
        <v>2058</v>
      </c>
      <c r="G14" s="371" t="s">
        <v>1988</v>
      </c>
      <c r="H14" s="371" t="s">
        <v>2102</v>
      </c>
      <c r="I14" s="373" t="s">
        <v>2103</v>
      </c>
    </row>
    <row r="15" spans="1:9" s="72" customFormat="1" ht="294.75" customHeight="1">
      <c r="A15" s="344"/>
      <c r="B15" s="78"/>
      <c r="C15" s="346" t="s">
        <v>2113</v>
      </c>
      <c r="D15" s="347"/>
      <c r="E15" s="348"/>
      <c r="F15" s="356"/>
      <c r="G15" s="372"/>
      <c r="H15" s="372"/>
      <c r="I15" s="374"/>
    </row>
    <row r="16" spans="1:9" s="72" customFormat="1" ht="267" customHeight="1">
      <c r="A16" s="67" t="s">
        <v>2193</v>
      </c>
      <c r="B16" s="78">
        <v>42802</v>
      </c>
      <c r="C16" s="346" t="s">
        <v>2305</v>
      </c>
      <c r="D16" s="347"/>
      <c r="E16" s="348"/>
      <c r="F16" s="73" t="s">
        <v>2302</v>
      </c>
      <c r="G16" s="74" t="s">
        <v>2298</v>
      </c>
      <c r="H16" s="74" t="s">
        <v>2299</v>
      </c>
      <c r="I16" s="75" t="s">
        <v>2300</v>
      </c>
    </row>
    <row r="17" spans="1:9" s="72" customFormat="1" ht="394.5" customHeight="1">
      <c r="A17" s="340" t="s">
        <v>2304</v>
      </c>
      <c r="B17" s="78">
        <v>42807</v>
      </c>
      <c r="C17" s="346" t="s">
        <v>2448</v>
      </c>
      <c r="D17" s="347"/>
      <c r="E17" s="348"/>
      <c r="F17" s="354" t="s">
        <v>2446</v>
      </c>
      <c r="G17" s="354" t="s">
        <v>2334</v>
      </c>
      <c r="H17" s="354" t="s">
        <v>2327</v>
      </c>
      <c r="I17" s="375" t="s">
        <v>2326</v>
      </c>
    </row>
    <row r="18" spans="1:9" s="72" customFormat="1" ht="127.5" customHeight="1">
      <c r="A18" s="341"/>
      <c r="B18" s="78"/>
      <c r="C18" s="346" t="s">
        <v>2445</v>
      </c>
      <c r="D18" s="347"/>
      <c r="E18" s="348"/>
      <c r="F18" s="355"/>
      <c r="G18" s="355"/>
      <c r="H18" s="355"/>
      <c r="I18" s="376"/>
    </row>
    <row r="19" spans="1:9" s="72" customFormat="1" ht="293.25" customHeight="1">
      <c r="A19" s="342"/>
      <c r="B19" s="78"/>
      <c r="C19" s="346" t="s">
        <v>2449</v>
      </c>
      <c r="D19" s="347"/>
      <c r="E19" s="348"/>
      <c r="F19" s="356"/>
      <c r="G19" s="356"/>
      <c r="H19" s="356"/>
      <c r="I19" s="75"/>
    </row>
    <row r="20" spans="1:9" s="72" customFormat="1" ht="257.25" customHeight="1">
      <c r="A20" s="67" t="s">
        <v>2470</v>
      </c>
      <c r="B20" s="78">
        <v>42899</v>
      </c>
      <c r="C20" s="346" t="s">
        <v>2582</v>
      </c>
      <c r="D20" s="347"/>
      <c r="E20" s="348"/>
      <c r="F20" s="74" t="s">
        <v>2581</v>
      </c>
      <c r="G20" s="74" t="s">
        <v>2469</v>
      </c>
      <c r="H20" s="74" t="s">
        <v>2698</v>
      </c>
      <c r="I20" s="75"/>
    </row>
    <row r="21" spans="1:9" s="72" customFormat="1" ht="184.5" customHeight="1">
      <c r="A21" s="67" t="s">
        <v>2583</v>
      </c>
      <c r="B21" s="78">
        <v>42912</v>
      </c>
      <c r="C21" s="350" t="s">
        <v>2610</v>
      </c>
      <c r="D21" s="350"/>
      <c r="E21" s="350"/>
      <c r="F21" s="69" t="s">
        <v>2584</v>
      </c>
      <c r="G21" s="74" t="s">
        <v>2586</v>
      </c>
      <c r="H21" s="79" t="s">
        <v>2596</v>
      </c>
      <c r="I21" s="70" t="s">
        <v>2585</v>
      </c>
    </row>
    <row r="22" spans="1:9" s="72" customFormat="1" ht="164.25" customHeight="1">
      <c r="A22" s="67" t="s">
        <v>2619</v>
      </c>
      <c r="B22" s="78">
        <v>42926</v>
      </c>
      <c r="C22" s="377" t="s">
        <v>2679</v>
      </c>
      <c r="D22" s="378"/>
      <c r="E22" s="379"/>
      <c r="F22" s="74" t="s">
        <v>2668</v>
      </c>
      <c r="G22" s="80" t="s">
        <v>2586</v>
      </c>
      <c r="H22" s="82" t="s">
        <v>2618</v>
      </c>
      <c r="I22" s="75" t="s">
        <v>2612</v>
      </c>
    </row>
    <row r="23" spans="1:9" s="72" customFormat="1" ht="261.75" customHeight="1">
      <c r="A23" s="84" t="s">
        <v>2700</v>
      </c>
      <c r="B23" s="78">
        <v>42958</v>
      </c>
      <c r="C23" s="346" t="s">
        <v>3054</v>
      </c>
      <c r="D23" s="347"/>
      <c r="E23" s="348"/>
      <c r="F23" s="85" t="s">
        <v>2721</v>
      </c>
      <c r="G23" s="74" t="s">
        <v>2699</v>
      </c>
      <c r="H23" s="83" t="s">
        <v>2701</v>
      </c>
      <c r="I23" s="75"/>
    </row>
    <row r="24" spans="1:9" s="72" customFormat="1" ht="72" customHeight="1">
      <c r="A24" s="84" t="s">
        <v>2720</v>
      </c>
      <c r="B24" s="78">
        <v>42988</v>
      </c>
      <c r="C24" s="346" t="s">
        <v>2764</v>
      </c>
      <c r="D24" s="347"/>
      <c r="E24" s="348"/>
      <c r="F24" s="80" t="s">
        <v>2747</v>
      </c>
      <c r="G24" s="80" t="s">
        <v>2761</v>
      </c>
      <c r="H24" s="99" t="s">
        <v>2765</v>
      </c>
      <c r="I24" s="81" t="s">
        <v>2762</v>
      </c>
    </row>
    <row r="25" spans="1:9" s="72" customFormat="1" ht="66" customHeight="1">
      <c r="A25" s="84" t="s">
        <v>2766</v>
      </c>
      <c r="B25" s="78">
        <v>43022</v>
      </c>
      <c r="C25" s="346" t="s">
        <v>2828</v>
      </c>
      <c r="D25" s="347"/>
      <c r="E25" s="348"/>
      <c r="F25" s="80" t="s">
        <v>2799</v>
      </c>
      <c r="G25" s="100" t="s">
        <v>2586</v>
      </c>
      <c r="H25" s="101" t="s">
        <v>2800</v>
      </c>
      <c r="I25" s="102" t="s">
        <v>190</v>
      </c>
    </row>
    <row r="26" spans="1:9" s="72" customFormat="1" ht="79.5" customHeight="1">
      <c r="A26" s="84" t="s">
        <v>2830</v>
      </c>
      <c r="B26" s="78">
        <v>43066</v>
      </c>
      <c r="C26" s="346" t="s">
        <v>2891</v>
      </c>
      <c r="D26" s="347"/>
      <c r="E26" s="348"/>
      <c r="F26" s="68" t="s">
        <v>2881</v>
      </c>
      <c r="G26" s="103" t="s">
        <v>2586</v>
      </c>
      <c r="H26" s="76" t="s">
        <v>2893</v>
      </c>
      <c r="I26" s="76" t="s">
        <v>2892</v>
      </c>
    </row>
    <row r="27" spans="1:9" s="72" customFormat="1" ht="64.5" customHeight="1">
      <c r="A27" s="84" t="s">
        <v>2943</v>
      </c>
      <c r="B27" s="78">
        <v>43110</v>
      </c>
      <c r="C27" s="346" t="s">
        <v>2976</v>
      </c>
      <c r="D27" s="347"/>
      <c r="E27" s="348"/>
      <c r="F27" s="105" t="s">
        <v>2947</v>
      </c>
      <c r="G27" s="104" t="s">
        <v>2586</v>
      </c>
      <c r="H27" s="122" t="s">
        <v>2950</v>
      </c>
      <c r="I27" s="76" t="s">
        <v>190</v>
      </c>
    </row>
    <row r="28" spans="1:9" s="72" customFormat="1" ht="75" customHeight="1">
      <c r="A28" s="84" t="s">
        <v>2955</v>
      </c>
      <c r="B28" s="78">
        <v>43136</v>
      </c>
      <c r="C28" s="346" t="s">
        <v>2994</v>
      </c>
      <c r="D28" s="347"/>
      <c r="E28" s="348"/>
      <c r="F28" s="68" t="s">
        <v>2977</v>
      </c>
      <c r="G28" s="123" t="s">
        <v>2586</v>
      </c>
      <c r="H28" s="76" t="s">
        <v>2978</v>
      </c>
      <c r="I28" s="76" t="s">
        <v>190</v>
      </c>
    </row>
    <row r="29" spans="1:9" s="72" customFormat="1" ht="36" customHeight="1">
      <c r="A29" s="84" t="s">
        <v>2979</v>
      </c>
      <c r="B29" s="78">
        <v>43159</v>
      </c>
      <c r="C29" s="351" t="s">
        <v>2981</v>
      </c>
      <c r="D29" s="352"/>
      <c r="E29" s="353"/>
      <c r="F29" s="68" t="s">
        <v>2982</v>
      </c>
      <c r="G29" s="124" t="s">
        <v>2586</v>
      </c>
      <c r="H29" s="68" t="s">
        <v>2991</v>
      </c>
      <c r="I29" s="76" t="s">
        <v>190</v>
      </c>
    </row>
    <row r="30" spans="1:9" s="72" customFormat="1" ht="61.5" customHeight="1">
      <c r="A30" s="84" t="s">
        <v>2992</v>
      </c>
      <c r="B30" s="78">
        <v>43164</v>
      </c>
      <c r="C30" s="351" t="s">
        <v>2998</v>
      </c>
      <c r="D30" s="352"/>
      <c r="E30" s="353"/>
      <c r="F30" s="126" t="s">
        <v>2993</v>
      </c>
      <c r="G30" s="125" t="s">
        <v>2586</v>
      </c>
      <c r="H30" s="68" t="s">
        <v>2997</v>
      </c>
      <c r="I30" s="76" t="s">
        <v>190</v>
      </c>
    </row>
    <row r="31" spans="1:9" s="72" customFormat="1" ht="63.75" customHeight="1">
      <c r="A31" s="84" t="s">
        <v>3000</v>
      </c>
      <c r="B31" s="78">
        <v>43168</v>
      </c>
      <c r="C31" s="351" t="s">
        <v>3019</v>
      </c>
      <c r="D31" s="352"/>
      <c r="E31" s="353"/>
      <c r="F31" s="316" t="s">
        <v>3016</v>
      </c>
      <c r="G31" s="127" t="s">
        <v>3017</v>
      </c>
      <c r="H31" s="68" t="s">
        <v>3020</v>
      </c>
      <c r="I31" s="76" t="s">
        <v>190</v>
      </c>
    </row>
    <row r="32" spans="1:9" s="72" customFormat="1" ht="33" customHeight="1">
      <c r="A32" s="84" t="s">
        <v>3021</v>
      </c>
      <c r="B32" s="78">
        <v>43174</v>
      </c>
      <c r="C32" s="351" t="s">
        <v>3027</v>
      </c>
      <c r="D32" s="352"/>
      <c r="E32" s="353"/>
      <c r="F32" s="316" t="s">
        <v>3022</v>
      </c>
      <c r="G32" s="318" t="s">
        <v>3017</v>
      </c>
      <c r="H32" s="319" t="s">
        <v>3023</v>
      </c>
      <c r="I32" s="76"/>
    </row>
    <row r="33" spans="1:9" s="72" customFormat="1" ht="95.25" customHeight="1">
      <c r="A33" s="84" t="s">
        <v>3028</v>
      </c>
      <c r="B33" s="78">
        <v>43189</v>
      </c>
      <c r="C33" s="351" t="s">
        <v>3052</v>
      </c>
      <c r="D33" s="352"/>
      <c r="E33" s="353"/>
      <c r="F33" s="316" t="s">
        <v>3029</v>
      </c>
      <c r="G33" s="320" t="s">
        <v>2586</v>
      </c>
      <c r="H33" s="321" t="s">
        <v>3043</v>
      </c>
      <c r="I33" s="76"/>
    </row>
    <row r="34" spans="1:9" s="72" customFormat="1" ht="60" customHeight="1">
      <c r="A34" s="84" t="s">
        <v>3053</v>
      </c>
      <c r="B34" s="78">
        <v>43213</v>
      </c>
      <c r="C34" s="351" t="s">
        <v>3062</v>
      </c>
      <c r="D34" s="352"/>
      <c r="E34" s="353"/>
      <c r="F34" s="316" t="s">
        <v>3059</v>
      </c>
      <c r="G34" s="322" t="s">
        <v>2586</v>
      </c>
      <c r="H34" s="323" t="s">
        <v>3063</v>
      </c>
      <c r="I34" s="76"/>
    </row>
    <row r="35" spans="1:9" s="72" customFormat="1" ht="30.75" customHeight="1">
      <c r="A35" s="84"/>
      <c r="B35" s="78"/>
      <c r="C35" s="351"/>
      <c r="D35" s="352"/>
      <c r="E35" s="353"/>
      <c r="F35" s="316"/>
      <c r="G35" s="322"/>
      <c r="H35" s="323"/>
      <c r="I35" s="76"/>
    </row>
    <row r="36" spans="1:9" s="72" customFormat="1" ht="30.75" customHeight="1">
      <c r="A36" s="84"/>
      <c r="B36" s="78"/>
      <c r="C36" s="351"/>
      <c r="D36" s="352"/>
      <c r="E36" s="353"/>
      <c r="F36" s="316"/>
      <c r="G36" s="322"/>
      <c r="H36" s="323"/>
      <c r="I36" s="76"/>
    </row>
    <row r="37" spans="1:9" s="72" customFormat="1" ht="33" customHeight="1">
      <c r="A37" s="67"/>
      <c r="B37" s="67"/>
      <c r="C37" s="351"/>
      <c r="D37" s="352"/>
      <c r="E37" s="353"/>
      <c r="F37" s="68"/>
      <c r="G37" s="68"/>
      <c r="H37" s="68"/>
      <c r="I37" s="76"/>
    </row>
    <row r="38" spans="1:9">
      <c r="A38" s="349" t="s">
        <v>18</v>
      </c>
      <c r="B38" s="349"/>
      <c r="C38" s="349"/>
      <c r="G38" s="345" t="s">
        <v>17</v>
      </c>
      <c r="H38" s="345"/>
      <c r="I38" s="345"/>
    </row>
  </sheetData>
  <mergeCells count="57">
    <mergeCell ref="C34:E34"/>
    <mergeCell ref="C35:E35"/>
    <mergeCell ref="C36:E36"/>
    <mergeCell ref="D8:F8"/>
    <mergeCell ref="C14:E14"/>
    <mergeCell ref="C22:E22"/>
    <mergeCell ref="G6:I6"/>
    <mergeCell ref="G7:I7"/>
    <mergeCell ref="G17:G19"/>
    <mergeCell ref="D6:F6"/>
    <mergeCell ref="G8:I8"/>
    <mergeCell ref="C18:E18"/>
    <mergeCell ref="D7:F7"/>
    <mergeCell ref="F14:F15"/>
    <mergeCell ref="G14:G15"/>
    <mergeCell ref="H14:H15"/>
    <mergeCell ref="I14:I15"/>
    <mergeCell ref="I17:I18"/>
    <mergeCell ref="H1:I1"/>
    <mergeCell ref="D1:F1"/>
    <mergeCell ref="G5:I5"/>
    <mergeCell ref="G2:I2"/>
    <mergeCell ref="D2:E2"/>
    <mergeCell ref="H3:I3"/>
    <mergeCell ref="D5:F5"/>
    <mergeCell ref="B3:C3"/>
    <mergeCell ref="E3:F3"/>
    <mergeCell ref="C31:E31"/>
    <mergeCell ref="B8:C8"/>
    <mergeCell ref="C30:E30"/>
    <mergeCell ref="C29:E29"/>
    <mergeCell ref="B6:C6"/>
    <mergeCell ref="B7:C7"/>
    <mergeCell ref="C19:E19"/>
    <mergeCell ref="C12:E12"/>
    <mergeCell ref="C13:E13"/>
    <mergeCell ref="C15:E15"/>
    <mergeCell ref="C16:E16"/>
    <mergeCell ref="B5:C5"/>
    <mergeCell ref="C24:E24"/>
    <mergeCell ref="F17:F19"/>
    <mergeCell ref="A17:A19"/>
    <mergeCell ref="A14:A15"/>
    <mergeCell ref="G38:I38"/>
    <mergeCell ref="C20:E20"/>
    <mergeCell ref="A38:C38"/>
    <mergeCell ref="C28:E28"/>
    <mergeCell ref="C27:E27"/>
    <mergeCell ref="C26:E26"/>
    <mergeCell ref="C25:E25"/>
    <mergeCell ref="C21:E21"/>
    <mergeCell ref="C37:E37"/>
    <mergeCell ref="C32:E32"/>
    <mergeCell ref="C17:E17"/>
    <mergeCell ref="H17:H19"/>
    <mergeCell ref="C23:E23"/>
    <mergeCell ref="C33:E33"/>
  </mergeCells>
  <phoneticPr fontId="8" type="noConversion"/>
  <pageMargins left="0.74803149606299213" right="0.74803149606299213" top="0.98425196850393704" bottom="0.98425196850393704" header="0.51181102362204722" footer="0.51181102362204722"/>
  <pageSetup paperSize="9" scale="75"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outlinePr summaryBelow="0"/>
  </sheetPr>
  <dimension ref="A1:XFD1089"/>
  <sheetViews>
    <sheetView tabSelected="1" zoomScaleNormal="100" workbookViewId="0">
      <pane xSplit="9" ySplit="2" topLeftCell="Y168" activePane="bottomRight" state="frozenSplit"/>
      <selection pane="topRight" activeCell="F1" sqref="F1"/>
      <selection pane="bottomLeft" activeCell="A3" sqref="A3"/>
      <selection pane="bottomRight" activeCell="AH171" sqref="AH171"/>
    </sheetView>
  </sheetViews>
  <sheetFormatPr baseColWidth="10" defaultColWidth="9.1640625" defaultRowHeight="13"/>
  <cols>
    <col min="1" max="1" width="9.33203125" style="425" customWidth="1"/>
    <col min="2" max="2" width="6.6640625" style="425" customWidth="1"/>
    <col min="3" max="3" width="8.6640625" style="425" customWidth="1"/>
    <col min="4" max="4" width="11.5" style="425" customWidth="1"/>
    <col min="5" max="5" width="27.33203125" style="425" customWidth="1"/>
    <col min="6" max="6" width="30.6640625" style="425" customWidth="1"/>
    <col min="7" max="8" width="11.5" style="425" customWidth="1"/>
    <col min="9" max="9" width="8" style="425" customWidth="1"/>
    <col min="10" max="11" width="9" style="425" customWidth="1"/>
    <col min="12" max="12" width="28.33203125" style="425" customWidth="1"/>
    <col min="13" max="13" width="9" style="425" customWidth="1"/>
    <col min="14" max="14" width="11.83203125" style="425" customWidth="1"/>
    <col min="15" max="16" width="10.5" style="425" customWidth="1"/>
    <col min="17" max="17" width="11.33203125" style="425" customWidth="1"/>
    <col min="18" max="18" width="11" style="425" customWidth="1"/>
    <col min="19" max="19" width="9.5" style="425" customWidth="1"/>
    <col min="20" max="20" width="11.83203125" style="425" customWidth="1"/>
    <col min="21" max="21" width="14.5" style="425" customWidth="1"/>
    <col min="22" max="22" width="9.6640625" style="425" customWidth="1"/>
    <col min="23" max="24" width="8.6640625" style="425" customWidth="1"/>
    <col min="25" max="25" width="13.1640625" style="425" customWidth="1"/>
    <col min="26" max="26" width="13.83203125" style="425" customWidth="1"/>
    <col min="27" max="27" width="9.5" style="425" customWidth="1"/>
    <col min="28" max="31" width="9" style="425" customWidth="1"/>
    <col min="32" max="32" width="8.33203125" style="425" customWidth="1"/>
    <col min="33" max="33" width="11.5" style="425" customWidth="1"/>
    <col min="34" max="34" width="13" style="425" customWidth="1"/>
    <col min="35" max="35" width="6" style="425" customWidth="1"/>
    <col min="36" max="36" width="29" style="448" customWidth="1"/>
    <col min="37" max="37" width="14.33203125" style="425" customWidth="1"/>
    <col min="38" max="38" width="36.33203125" style="425" customWidth="1"/>
    <col min="39" max="46" width="11.5" style="425" customWidth="1"/>
    <col min="47" max="50" width="9.1640625" style="425"/>
    <col min="51" max="51" width="9.1640625" style="449"/>
    <col min="52" max="57" width="9.1640625" style="424"/>
    <col min="58" max="16384" width="9.1640625" style="425"/>
  </cols>
  <sheetData>
    <row r="1" spans="1:58" s="409" customFormat="1">
      <c r="A1" s="401" t="s">
        <v>5</v>
      </c>
      <c r="B1" s="402" t="s">
        <v>20</v>
      </c>
      <c r="C1" s="402" t="s">
        <v>38</v>
      </c>
      <c r="D1" s="402" t="s">
        <v>3</v>
      </c>
      <c r="E1" s="403" t="s">
        <v>44</v>
      </c>
      <c r="F1" s="402" t="s">
        <v>642</v>
      </c>
      <c r="G1" s="402" t="s">
        <v>50</v>
      </c>
      <c r="H1" s="402" t="s">
        <v>53</v>
      </c>
      <c r="I1" s="402" t="s">
        <v>31</v>
      </c>
      <c r="J1" s="402" t="s">
        <v>10</v>
      </c>
      <c r="K1" s="402" t="s">
        <v>62</v>
      </c>
      <c r="L1" s="402" t="s">
        <v>64</v>
      </c>
      <c r="M1" s="402" t="s">
        <v>67</v>
      </c>
      <c r="N1" s="402" t="s">
        <v>643</v>
      </c>
      <c r="O1" s="402" t="s">
        <v>644</v>
      </c>
      <c r="P1" s="402" t="s">
        <v>645</v>
      </c>
      <c r="Q1" s="402" t="s">
        <v>11</v>
      </c>
      <c r="R1" s="402" t="s">
        <v>79</v>
      </c>
      <c r="S1" s="402" t="s">
        <v>81</v>
      </c>
      <c r="T1" s="402" t="s">
        <v>646</v>
      </c>
      <c r="U1" s="402" t="s">
        <v>647</v>
      </c>
      <c r="V1" s="402" t="s">
        <v>648</v>
      </c>
      <c r="W1" s="402" t="s">
        <v>2614</v>
      </c>
      <c r="X1" s="402" t="s">
        <v>95</v>
      </c>
      <c r="Y1" s="402" t="s">
        <v>2348</v>
      </c>
      <c r="Z1" s="402" t="s">
        <v>649</v>
      </c>
      <c r="AA1" s="402" t="s">
        <v>650</v>
      </c>
      <c r="AB1" s="402" t="s">
        <v>106</v>
      </c>
      <c r="AC1" s="402" t="s">
        <v>651</v>
      </c>
      <c r="AD1" s="402" t="s">
        <v>112</v>
      </c>
      <c r="AE1" s="402" t="s">
        <v>652</v>
      </c>
      <c r="AF1" s="402" t="s">
        <v>2463</v>
      </c>
      <c r="AG1" s="402" t="s">
        <v>120</v>
      </c>
      <c r="AH1" s="402" t="s">
        <v>123</v>
      </c>
      <c r="AI1" s="402" t="s">
        <v>653</v>
      </c>
      <c r="AJ1" s="404" t="s">
        <v>161</v>
      </c>
      <c r="AK1" s="402" t="s">
        <v>167</v>
      </c>
      <c r="AL1" s="402" t="s">
        <v>4</v>
      </c>
      <c r="AM1" s="405" t="s">
        <v>3</v>
      </c>
      <c r="AN1" s="405"/>
      <c r="AO1" s="405"/>
      <c r="AP1" s="405"/>
      <c r="AQ1" s="405"/>
      <c r="AR1" s="405"/>
      <c r="AS1" s="405"/>
      <c r="AT1" s="405"/>
      <c r="AU1" s="405"/>
      <c r="AV1" s="406"/>
      <c r="AW1" s="406"/>
      <c r="AX1" s="406"/>
      <c r="AY1" s="407"/>
      <c r="AZ1" s="407"/>
      <c r="BA1" s="407"/>
      <c r="BB1" s="407"/>
      <c r="BC1" s="407"/>
      <c r="BD1" s="407"/>
      <c r="BE1" s="407"/>
      <c r="BF1" s="408"/>
    </row>
    <row r="2" spans="1:58" s="409" customFormat="1" ht="15" thickBot="1">
      <c r="A2" s="410"/>
      <c r="B2" s="406"/>
      <c r="C2" s="406"/>
      <c r="D2" s="406"/>
      <c r="E2" s="411"/>
      <c r="F2" s="406"/>
      <c r="G2" s="406"/>
      <c r="H2" s="406"/>
      <c r="I2" s="406"/>
      <c r="J2" s="406"/>
      <c r="K2" s="406"/>
      <c r="L2" s="406"/>
      <c r="M2" s="406"/>
      <c r="N2" s="406"/>
      <c r="O2" s="406"/>
      <c r="P2" s="406"/>
      <c r="Q2" s="406"/>
      <c r="R2" s="406"/>
      <c r="S2" s="406"/>
      <c r="T2" s="406"/>
      <c r="U2" s="406"/>
      <c r="V2" s="406"/>
      <c r="W2" s="406"/>
      <c r="X2" s="406"/>
      <c r="Y2" s="406"/>
      <c r="Z2" s="406"/>
      <c r="AA2" s="406"/>
      <c r="AB2" s="406"/>
      <c r="AC2" s="406"/>
      <c r="AD2" s="406"/>
      <c r="AE2" s="406"/>
      <c r="AF2" s="406"/>
      <c r="AG2" s="406"/>
      <c r="AH2" s="406"/>
      <c r="AI2" s="406"/>
      <c r="AJ2" s="412"/>
      <c r="AK2" s="406"/>
      <c r="AL2" s="406"/>
      <c r="AM2" s="413" t="s">
        <v>529</v>
      </c>
      <c r="AN2" s="413" t="s">
        <v>200</v>
      </c>
      <c r="AO2" s="413" t="s">
        <v>201</v>
      </c>
      <c r="AP2" s="413" t="s">
        <v>257</v>
      </c>
      <c r="AQ2" s="413" t="s">
        <v>654</v>
      </c>
      <c r="AR2" s="413" t="s">
        <v>258</v>
      </c>
      <c r="AS2" s="413" t="s">
        <v>259</v>
      </c>
      <c r="AT2" s="413" t="s">
        <v>2569</v>
      </c>
      <c r="AU2" s="413" t="s">
        <v>531</v>
      </c>
      <c r="AV2" s="409" t="s">
        <v>2938</v>
      </c>
      <c r="AW2" s="409" t="s">
        <v>2939</v>
      </c>
      <c r="AX2" s="409" t="s">
        <v>2572</v>
      </c>
      <c r="AY2" s="407"/>
      <c r="AZ2" s="407"/>
      <c r="BA2" s="407"/>
      <c r="BB2" s="407"/>
      <c r="BC2" s="407"/>
      <c r="BD2" s="407"/>
      <c r="BE2" s="407"/>
      <c r="BF2" s="408"/>
    </row>
    <row r="3" spans="1:58" s="139" customFormat="1" ht="44">
      <c r="A3" s="128" t="s">
        <v>6</v>
      </c>
      <c r="B3" s="129">
        <v>1</v>
      </c>
      <c r="C3" s="130" t="s">
        <v>191</v>
      </c>
      <c r="D3" s="130" t="s">
        <v>3083</v>
      </c>
      <c r="E3" s="131" t="s">
        <v>663</v>
      </c>
      <c r="F3" s="132" t="s">
        <v>664</v>
      </c>
      <c r="G3" s="131" t="s">
        <v>665</v>
      </c>
      <c r="H3" s="131" t="s">
        <v>666</v>
      </c>
      <c r="I3" s="131" t="s">
        <v>667</v>
      </c>
      <c r="J3" s="130" t="s">
        <v>668</v>
      </c>
      <c r="K3" s="130" t="s">
        <v>192</v>
      </c>
      <c r="L3" s="130" t="s">
        <v>669</v>
      </c>
      <c r="M3" s="130" t="s">
        <v>669</v>
      </c>
      <c r="N3" s="130">
        <v>10</v>
      </c>
      <c r="O3" s="130" t="s">
        <v>669</v>
      </c>
      <c r="P3" s="130">
        <v>10</v>
      </c>
      <c r="Q3" s="130">
        <v>8</v>
      </c>
      <c r="R3" s="131">
        <v>7</v>
      </c>
      <c r="S3" s="131">
        <v>0</v>
      </c>
      <c r="T3" s="131">
        <v>8</v>
      </c>
      <c r="U3" s="131" t="s">
        <v>670</v>
      </c>
      <c r="V3" s="131" t="s">
        <v>671</v>
      </c>
      <c r="W3" s="131" t="s">
        <v>665</v>
      </c>
      <c r="X3" s="131" t="s">
        <v>665</v>
      </c>
      <c r="Y3" s="131" t="s">
        <v>672</v>
      </c>
      <c r="Z3" s="130" t="s">
        <v>194</v>
      </c>
      <c r="AA3" s="131">
        <v>1</v>
      </c>
      <c r="AB3" s="131" t="s">
        <v>665</v>
      </c>
      <c r="AC3" s="131" t="s">
        <v>665</v>
      </c>
      <c r="AD3" s="131" t="s">
        <v>665</v>
      </c>
      <c r="AE3" s="131" t="s">
        <v>665</v>
      </c>
      <c r="AF3" s="131">
        <v>0</v>
      </c>
      <c r="AG3" s="131">
        <v>0</v>
      </c>
      <c r="AH3" s="131">
        <v>255</v>
      </c>
      <c r="AI3" s="131" t="s">
        <v>673</v>
      </c>
      <c r="AJ3" s="133" t="s">
        <v>2121</v>
      </c>
      <c r="AK3" s="131" t="s">
        <v>665</v>
      </c>
      <c r="AL3" s="131" t="s">
        <v>665</v>
      </c>
      <c r="AM3" s="134"/>
      <c r="AN3" s="134"/>
      <c r="AO3" s="134" t="s">
        <v>674</v>
      </c>
      <c r="AP3" s="134"/>
      <c r="AQ3" s="134"/>
      <c r="AR3" s="134"/>
      <c r="AS3" s="134" t="s">
        <v>674</v>
      </c>
      <c r="AT3" s="134"/>
      <c r="AU3" s="134"/>
      <c r="AV3" s="135"/>
      <c r="AW3" s="136"/>
      <c r="AX3" s="137"/>
      <c r="AY3" s="138"/>
      <c r="AZ3" s="138"/>
      <c r="BA3" s="138"/>
      <c r="BB3" s="138"/>
      <c r="BC3" s="138"/>
      <c r="BD3" s="138"/>
      <c r="BE3" s="138"/>
    </row>
    <row r="4" spans="1:58" s="139" customFormat="1" ht="45">
      <c r="A4" s="140" t="s">
        <v>6</v>
      </c>
      <c r="B4" s="129">
        <v>2</v>
      </c>
      <c r="C4" s="129" t="s">
        <v>191</v>
      </c>
      <c r="D4" s="129" t="s">
        <v>3085</v>
      </c>
      <c r="E4" s="141" t="s">
        <v>2722</v>
      </c>
      <c r="F4" s="141" t="s">
        <v>675</v>
      </c>
      <c r="G4" s="141" t="s">
        <v>665</v>
      </c>
      <c r="H4" s="141" t="s">
        <v>666</v>
      </c>
      <c r="I4" s="141" t="s">
        <v>667</v>
      </c>
      <c r="J4" s="129" t="s">
        <v>668</v>
      </c>
      <c r="K4" s="129" t="s">
        <v>192</v>
      </c>
      <c r="L4" s="129" t="s">
        <v>669</v>
      </c>
      <c r="M4" s="129" t="s">
        <v>669</v>
      </c>
      <c r="N4" s="129">
        <v>10</v>
      </c>
      <c r="O4" s="129" t="s">
        <v>669</v>
      </c>
      <c r="P4" s="129">
        <v>10</v>
      </c>
      <c r="Q4" s="129">
        <v>8</v>
      </c>
      <c r="R4" s="141">
        <v>15</v>
      </c>
      <c r="S4" s="141">
        <v>21</v>
      </c>
      <c r="T4" s="141">
        <v>11</v>
      </c>
      <c r="U4" s="141" t="s">
        <v>670</v>
      </c>
      <c r="V4" s="141" t="s">
        <v>671</v>
      </c>
      <c r="W4" s="141" t="s">
        <v>665</v>
      </c>
      <c r="X4" s="141" t="s">
        <v>665</v>
      </c>
      <c r="Y4" s="141" t="s">
        <v>676</v>
      </c>
      <c r="Z4" s="129" t="s">
        <v>194</v>
      </c>
      <c r="AA4" s="141">
        <v>0.5</v>
      </c>
      <c r="AB4" s="141" t="s">
        <v>665</v>
      </c>
      <c r="AC4" s="141" t="s">
        <v>665</v>
      </c>
      <c r="AD4" s="141" t="s">
        <v>665</v>
      </c>
      <c r="AE4" s="141" t="s">
        <v>665</v>
      </c>
      <c r="AF4" s="141">
        <v>-300</v>
      </c>
      <c r="AG4" s="129">
        <v>-300</v>
      </c>
      <c r="AH4" s="141">
        <v>300</v>
      </c>
      <c r="AI4" s="141" t="s">
        <v>196</v>
      </c>
      <c r="AJ4" s="142" t="s">
        <v>2381</v>
      </c>
      <c r="AK4" s="141" t="s">
        <v>665</v>
      </c>
      <c r="AL4" s="141" t="s">
        <v>2983</v>
      </c>
      <c r="AM4" s="143" t="s">
        <v>2716</v>
      </c>
      <c r="AN4" s="143"/>
      <c r="AO4" s="143"/>
      <c r="AP4" s="143"/>
      <c r="AQ4" s="143"/>
      <c r="AR4" s="143"/>
      <c r="AS4" s="143" t="s">
        <v>677</v>
      </c>
      <c r="AT4" s="143"/>
      <c r="AU4" s="143"/>
      <c r="AV4" s="143"/>
      <c r="AW4" s="144"/>
      <c r="AX4" s="145"/>
      <c r="AY4" s="138"/>
      <c r="AZ4" s="138"/>
      <c r="BA4" s="138"/>
      <c r="BB4" s="138"/>
      <c r="BC4" s="138"/>
      <c r="BD4" s="138"/>
      <c r="BE4" s="138"/>
    </row>
    <row r="5" spans="1:58" s="156" customFormat="1" ht="30">
      <c r="A5" s="146" t="s">
        <v>6</v>
      </c>
      <c r="B5" s="129">
        <v>3</v>
      </c>
      <c r="C5" s="147" t="s">
        <v>191</v>
      </c>
      <c r="D5" s="147" t="s">
        <v>3086</v>
      </c>
      <c r="E5" s="148" t="s">
        <v>1996</v>
      </c>
      <c r="F5" s="147" t="s">
        <v>678</v>
      </c>
      <c r="G5" s="149" t="s">
        <v>665</v>
      </c>
      <c r="H5" s="149" t="s">
        <v>666</v>
      </c>
      <c r="I5" s="149" t="s">
        <v>667</v>
      </c>
      <c r="J5" s="147" t="s">
        <v>668</v>
      </c>
      <c r="K5" s="147" t="s">
        <v>668</v>
      </c>
      <c r="L5" s="147" t="s">
        <v>669</v>
      </c>
      <c r="M5" s="147" t="s">
        <v>669</v>
      </c>
      <c r="N5" s="147">
        <v>10</v>
      </c>
      <c r="O5" s="147" t="s">
        <v>669</v>
      </c>
      <c r="P5" s="147">
        <v>10</v>
      </c>
      <c r="Q5" s="147">
        <v>8</v>
      </c>
      <c r="R5" s="147">
        <v>20</v>
      </c>
      <c r="S5" s="147">
        <v>20</v>
      </c>
      <c r="T5" s="147">
        <v>1</v>
      </c>
      <c r="U5" s="149" t="s">
        <v>670</v>
      </c>
      <c r="V5" s="149" t="s">
        <v>671</v>
      </c>
      <c r="W5" s="147" t="s">
        <v>669</v>
      </c>
      <c r="X5" s="147">
        <v>500</v>
      </c>
      <c r="Y5" s="147" t="s">
        <v>679</v>
      </c>
      <c r="Z5" s="147" t="s">
        <v>194</v>
      </c>
      <c r="AA5" s="147">
        <v>1</v>
      </c>
      <c r="AB5" s="147" t="s">
        <v>669</v>
      </c>
      <c r="AC5" s="147" t="s">
        <v>669</v>
      </c>
      <c r="AD5" s="147" t="s">
        <v>669</v>
      </c>
      <c r="AE5" s="147" t="s">
        <v>669</v>
      </c>
      <c r="AF5" s="147">
        <v>0</v>
      </c>
      <c r="AG5" s="147">
        <v>0</v>
      </c>
      <c r="AH5" s="147">
        <v>1</v>
      </c>
      <c r="AI5" s="147" t="s">
        <v>669</v>
      </c>
      <c r="AJ5" s="150" t="s">
        <v>197</v>
      </c>
      <c r="AK5" s="149" t="s">
        <v>665</v>
      </c>
      <c r="AL5" s="149" t="s">
        <v>590</v>
      </c>
      <c r="AM5" s="151" t="s">
        <v>677</v>
      </c>
      <c r="AN5" s="151"/>
      <c r="AO5" s="151" t="s">
        <v>677</v>
      </c>
      <c r="AP5" s="151"/>
      <c r="AQ5" s="151"/>
      <c r="AR5" s="151"/>
      <c r="AS5" s="152" t="s">
        <v>1995</v>
      </c>
      <c r="AT5" s="151"/>
      <c r="AU5" s="151"/>
      <c r="AV5" s="151"/>
      <c r="AW5" s="153"/>
      <c r="AX5" s="154"/>
      <c r="AY5" s="155"/>
      <c r="AZ5" s="155"/>
      <c r="BA5" s="155"/>
      <c r="BB5" s="155"/>
      <c r="BC5" s="155"/>
      <c r="BD5" s="155"/>
      <c r="BE5" s="155"/>
    </row>
    <row r="6" spans="1:58" s="156" customFormat="1" ht="142">
      <c r="A6" s="146" t="s">
        <v>6</v>
      </c>
      <c r="B6" s="129">
        <v>4</v>
      </c>
      <c r="C6" s="147" t="s">
        <v>191</v>
      </c>
      <c r="D6" s="147" t="s">
        <v>3084</v>
      </c>
      <c r="E6" s="157" t="s">
        <v>2118</v>
      </c>
      <c r="F6" s="149" t="s">
        <v>680</v>
      </c>
      <c r="G6" s="149" t="s">
        <v>665</v>
      </c>
      <c r="H6" s="149" t="s">
        <v>666</v>
      </c>
      <c r="I6" s="149" t="s">
        <v>667</v>
      </c>
      <c r="J6" s="147" t="s">
        <v>668</v>
      </c>
      <c r="K6" s="147" t="s">
        <v>192</v>
      </c>
      <c r="L6" s="147" t="s">
        <v>669</v>
      </c>
      <c r="M6" s="147" t="s">
        <v>669</v>
      </c>
      <c r="N6" s="147">
        <v>10</v>
      </c>
      <c r="O6" s="147" t="s">
        <v>669</v>
      </c>
      <c r="P6" s="147">
        <v>10</v>
      </c>
      <c r="Q6" s="147">
        <v>8</v>
      </c>
      <c r="R6" s="149">
        <v>19</v>
      </c>
      <c r="S6" s="149">
        <v>16</v>
      </c>
      <c r="T6" s="149">
        <v>4</v>
      </c>
      <c r="U6" s="149" t="s">
        <v>670</v>
      </c>
      <c r="V6" s="149" t="s">
        <v>671</v>
      </c>
      <c r="W6" s="149" t="s">
        <v>665</v>
      </c>
      <c r="X6" s="149" t="s">
        <v>665</v>
      </c>
      <c r="Y6" s="147" t="s">
        <v>679</v>
      </c>
      <c r="Z6" s="147" t="s">
        <v>194</v>
      </c>
      <c r="AA6" s="149">
        <v>1</v>
      </c>
      <c r="AB6" s="149" t="s">
        <v>665</v>
      </c>
      <c r="AC6" s="149" t="s">
        <v>665</v>
      </c>
      <c r="AD6" s="149" t="s">
        <v>665</v>
      </c>
      <c r="AE6" s="149" t="s">
        <v>665</v>
      </c>
      <c r="AF6" s="149">
        <v>0</v>
      </c>
      <c r="AG6" s="147">
        <v>0</v>
      </c>
      <c r="AH6" s="149">
        <v>14</v>
      </c>
      <c r="AI6" s="147" t="s">
        <v>198</v>
      </c>
      <c r="AJ6" s="158" t="s">
        <v>2382</v>
      </c>
      <c r="AK6" s="149" t="s">
        <v>665</v>
      </c>
      <c r="AL6" s="149" t="s">
        <v>590</v>
      </c>
      <c r="AM6" s="151" t="s">
        <v>677</v>
      </c>
      <c r="AN6" s="151"/>
      <c r="AO6" s="151"/>
      <c r="AP6" s="151"/>
      <c r="AQ6" s="151"/>
      <c r="AR6" s="151"/>
      <c r="AS6" s="151" t="s">
        <v>677</v>
      </c>
      <c r="AT6" s="151"/>
      <c r="AU6" s="151"/>
      <c r="AV6" s="151"/>
      <c r="AW6" s="153"/>
      <c r="AX6" s="154"/>
      <c r="AY6" s="155"/>
      <c r="AZ6" s="155"/>
      <c r="BA6" s="155"/>
      <c r="BB6" s="155"/>
      <c r="BC6" s="155"/>
      <c r="BD6" s="155"/>
      <c r="BE6" s="155"/>
    </row>
    <row r="7" spans="1:58" s="156" customFormat="1" ht="30">
      <c r="A7" s="146" t="s">
        <v>6</v>
      </c>
      <c r="B7" s="129">
        <v>5</v>
      </c>
      <c r="C7" s="147" t="s">
        <v>191</v>
      </c>
      <c r="D7" s="147" t="s">
        <v>3087</v>
      </c>
      <c r="E7" s="149" t="s">
        <v>681</v>
      </c>
      <c r="F7" s="149" t="s">
        <v>682</v>
      </c>
      <c r="G7" s="149" t="s">
        <v>665</v>
      </c>
      <c r="H7" s="149" t="s">
        <v>666</v>
      </c>
      <c r="I7" s="149" t="s">
        <v>667</v>
      </c>
      <c r="J7" s="147" t="s">
        <v>668</v>
      </c>
      <c r="K7" s="147" t="s">
        <v>192</v>
      </c>
      <c r="L7" s="147" t="s">
        <v>669</v>
      </c>
      <c r="M7" s="147" t="s">
        <v>669</v>
      </c>
      <c r="N7" s="147">
        <v>10</v>
      </c>
      <c r="O7" s="147" t="s">
        <v>669</v>
      </c>
      <c r="P7" s="147">
        <v>10</v>
      </c>
      <c r="Q7" s="147">
        <v>8</v>
      </c>
      <c r="R7" s="149">
        <v>31</v>
      </c>
      <c r="S7" s="149">
        <v>31</v>
      </c>
      <c r="T7" s="149">
        <v>1</v>
      </c>
      <c r="U7" s="149" t="s">
        <v>670</v>
      </c>
      <c r="V7" s="149" t="s">
        <v>671</v>
      </c>
      <c r="W7" s="149" t="s">
        <v>665</v>
      </c>
      <c r="X7" s="149" t="s">
        <v>665</v>
      </c>
      <c r="Y7" s="147" t="s">
        <v>679</v>
      </c>
      <c r="Z7" s="147" t="s">
        <v>194</v>
      </c>
      <c r="AA7" s="149">
        <v>1</v>
      </c>
      <c r="AB7" s="147" t="s">
        <v>669</v>
      </c>
      <c r="AC7" s="147" t="s">
        <v>669</v>
      </c>
      <c r="AD7" s="147" t="s">
        <v>669</v>
      </c>
      <c r="AE7" s="147" t="s">
        <v>669</v>
      </c>
      <c r="AF7" s="149">
        <v>0</v>
      </c>
      <c r="AG7" s="147">
        <v>0</v>
      </c>
      <c r="AH7" s="149">
        <v>1</v>
      </c>
      <c r="AI7" s="147" t="s">
        <v>198</v>
      </c>
      <c r="AJ7" s="150" t="s">
        <v>683</v>
      </c>
      <c r="AK7" s="147" t="s">
        <v>665</v>
      </c>
      <c r="AL7" s="149" t="s">
        <v>665</v>
      </c>
      <c r="AM7" s="151"/>
      <c r="AN7" s="151"/>
      <c r="AO7" s="151" t="s">
        <v>677</v>
      </c>
      <c r="AP7" s="151"/>
      <c r="AQ7" s="151"/>
      <c r="AR7" s="151"/>
      <c r="AS7" s="152" t="s">
        <v>1995</v>
      </c>
      <c r="AT7" s="151"/>
      <c r="AU7" s="151"/>
      <c r="AV7" s="151"/>
      <c r="AW7" s="153"/>
      <c r="AX7" s="154"/>
      <c r="AY7" s="155"/>
      <c r="AZ7" s="155"/>
      <c r="BA7" s="155"/>
      <c r="BB7" s="155"/>
      <c r="BC7" s="155"/>
      <c r="BD7" s="155"/>
      <c r="BE7" s="155"/>
    </row>
    <row r="8" spans="1:58" s="139" customFormat="1" ht="58">
      <c r="A8" s="140" t="s">
        <v>6</v>
      </c>
      <c r="B8" s="129">
        <v>6</v>
      </c>
      <c r="C8" s="129" t="s">
        <v>191</v>
      </c>
      <c r="D8" s="129" t="s">
        <v>3088</v>
      </c>
      <c r="E8" s="129" t="s">
        <v>686</v>
      </c>
      <c r="F8" s="129" t="s">
        <v>687</v>
      </c>
      <c r="G8" s="141" t="s">
        <v>665</v>
      </c>
      <c r="H8" s="141" t="s">
        <v>666</v>
      </c>
      <c r="I8" s="141" t="s">
        <v>667</v>
      </c>
      <c r="J8" s="129" t="s">
        <v>668</v>
      </c>
      <c r="K8" s="129" t="s">
        <v>668</v>
      </c>
      <c r="L8" s="129" t="s">
        <v>669</v>
      </c>
      <c r="M8" s="129" t="s">
        <v>669</v>
      </c>
      <c r="N8" s="129">
        <v>10</v>
      </c>
      <c r="O8" s="129" t="s">
        <v>669</v>
      </c>
      <c r="P8" s="129">
        <v>10</v>
      </c>
      <c r="Q8" s="129">
        <v>8</v>
      </c>
      <c r="R8" s="129">
        <v>28</v>
      </c>
      <c r="S8" s="129">
        <v>27</v>
      </c>
      <c r="T8" s="129">
        <v>2</v>
      </c>
      <c r="U8" s="141" t="s">
        <v>670</v>
      </c>
      <c r="V8" s="141" t="s">
        <v>671</v>
      </c>
      <c r="W8" s="129" t="s">
        <v>669</v>
      </c>
      <c r="X8" s="129">
        <v>500</v>
      </c>
      <c r="Y8" s="129" t="s">
        <v>679</v>
      </c>
      <c r="Z8" s="129" t="s">
        <v>194</v>
      </c>
      <c r="AA8" s="129">
        <v>1</v>
      </c>
      <c r="AB8" s="129" t="s">
        <v>669</v>
      </c>
      <c r="AC8" s="129" t="s">
        <v>669</v>
      </c>
      <c r="AD8" s="129" t="s">
        <v>669</v>
      </c>
      <c r="AE8" s="129" t="s">
        <v>669</v>
      </c>
      <c r="AF8" s="129">
        <v>0</v>
      </c>
      <c r="AG8" s="129">
        <v>0</v>
      </c>
      <c r="AH8" s="129">
        <v>3</v>
      </c>
      <c r="AI8" s="129" t="s">
        <v>669</v>
      </c>
      <c r="AJ8" s="159" t="s">
        <v>688</v>
      </c>
      <c r="AK8" s="141" t="s">
        <v>665</v>
      </c>
      <c r="AL8" s="141" t="s">
        <v>2723</v>
      </c>
      <c r="AM8" s="143" t="s">
        <v>677</v>
      </c>
      <c r="AN8" s="143"/>
      <c r="AO8" s="143" t="s">
        <v>677</v>
      </c>
      <c r="AP8" s="143" t="s">
        <v>677</v>
      </c>
      <c r="AQ8" s="143"/>
      <c r="AR8" s="143"/>
      <c r="AS8" s="160" t="s">
        <v>1995</v>
      </c>
      <c r="AT8" s="143"/>
      <c r="AU8" s="143"/>
      <c r="AV8" s="143"/>
      <c r="AW8" s="144"/>
      <c r="AX8" s="145"/>
      <c r="AY8" s="138"/>
      <c r="AZ8" s="138"/>
      <c r="BA8" s="138"/>
      <c r="BB8" s="138"/>
      <c r="BC8" s="138"/>
      <c r="BD8" s="138"/>
      <c r="BE8" s="138"/>
    </row>
    <row r="9" spans="1:58" s="139" customFormat="1" ht="30">
      <c r="A9" s="140" t="s">
        <v>6</v>
      </c>
      <c r="B9" s="129">
        <v>7</v>
      </c>
      <c r="C9" s="129" t="s">
        <v>191</v>
      </c>
      <c r="D9" s="129" t="s">
        <v>3089</v>
      </c>
      <c r="E9" s="159" t="s">
        <v>2911</v>
      </c>
      <c r="F9" s="159" t="s">
        <v>2912</v>
      </c>
      <c r="G9" s="141" t="s">
        <v>804</v>
      </c>
      <c r="H9" s="141" t="s">
        <v>2434</v>
      </c>
      <c r="I9" s="141" t="s">
        <v>2913</v>
      </c>
      <c r="J9" s="129" t="s">
        <v>2914</v>
      </c>
      <c r="K9" s="129" t="s">
        <v>2914</v>
      </c>
      <c r="L9" s="129" t="s">
        <v>2915</v>
      </c>
      <c r="M9" s="129" t="s">
        <v>2915</v>
      </c>
      <c r="N9" s="129">
        <v>10</v>
      </c>
      <c r="O9" s="129" t="s">
        <v>2915</v>
      </c>
      <c r="P9" s="129">
        <v>10</v>
      </c>
      <c r="Q9" s="129">
        <v>8</v>
      </c>
      <c r="R9" s="129">
        <v>26</v>
      </c>
      <c r="S9" s="129">
        <v>26</v>
      </c>
      <c r="T9" s="129">
        <v>1</v>
      </c>
      <c r="U9" s="141" t="s">
        <v>2916</v>
      </c>
      <c r="V9" s="141" t="s">
        <v>2917</v>
      </c>
      <c r="W9" s="129" t="s">
        <v>2915</v>
      </c>
      <c r="X9" s="129">
        <v>500</v>
      </c>
      <c r="Y9" s="129" t="s">
        <v>2918</v>
      </c>
      <c r="Z9" s="129" t="s">
        <v>194</v>
      </c>
      <c r="AA9" s="129">
        <v>1</v>
      </c>
      <c r="AB9" s="129" t="s">
        <v>2915</v>
      </c>
      <c r="AC9" s="129" t="s">
        <v>2915</v>
      </c>
      <c r="AD9" s="129" t="s">
        <v>2915</v>
      </c>
      <c r="AE9" s="129" t="s">
        <v>2915</v>
      </c>
      <c r="AF9" s="129">
        <v>0</v>
      </c>
      <c r="AG9" s="129">
        <v>0</v>
      </c>
      <c r="AH9" s="129">
        <v>1</v>
      </c>
      <c r="AI9" s="129" t="s">
        <v>2915</v>
      </c>
      <c r="AJ9" s="159" t="s">
        <v>2919</v>
      </c>
      <c r="AK9" s="141"/>
      <c r="AL9" s="141"/>
      <c r="AM9" s="143"/>
      <c r="AN9" s="143"/>
      <c r="AO9" s="143"/>
      <c r="AP9" s="143"/>
      <c r="AQ9" s="143"/>
      <c r="AR9" s="143"/>
      <c r="AS9" s="160" t="s">
        <v>2929</v>
      </c>
      <c r="AT9" s="143"/>
      <c r="AU9" s="143"/>
      <c r="AV9" s="143"/>
      <c r="AW9" s="144"/>
      <c r="AX9" s="145"/>
      <c r="AY9" s="138"/>
      <c r="AZ9" s="138"/>
      <c r="BA9" s="138"/>
      <c r="BB9" s="138"/>
      <c r="BC9" s="138"/>
      <c r="BD9" s="138"/>
      <c r="BE9" s="138"/>
    </row>
    <row r="10" spans="1:58" s="139" customFormat="1" ht="30">
      <c r="A10" s="140" t="s">
        <v>6</v>
      </c>
      <c r="B10" s="129">
        <v>8</v>
      </c>
      <c r="C10" s="129" t="s">
        <v>191</v>
      </c>
      <c r="D10" s="129" t="s">
        <v>3090</v>
      </c>
      <c r="E10" s="129" t="s">
        <v>2715</v>
      </c>
      <c r="F10" s="129" t="s">
        <v>689</v>
      </c>
      <c r="G10" s="141" t="s">
        <v>665</v>
      </c>
      <c r="H10" s="141" t="s">
        <v>666</v>
      </c>
      <c r="I10" s="141" t="s">
        <v>667</v>
      </c>
      <c r="J10" s="129" t="s">
        <v>668</v>
      </c>
      <c r="K10" s="129" t="s">
        <v>668</v>
      </c>
      <c r="L10" s="129" t="s">
        <v>669</v>
      </c>
      <c r="M10" s="129" t="s">
        <v>669</v>
      </c>
      <c r="N10" s="129">
        <v>10</v>
      </c>
      <c r="O10" s="129" t="s">
        <v>669</v>
      </c>
      <c r="P10" s="129">
        <v>10</v>
      </c>
      <c r="Q10" s="129">
        <v>8</v>
      </c>
      <c r="R10" s="129">
        <v>25</v>
      </c>
      <c r="S10" s="129">
        <v>25</v>
      </c>
      <c r="T10" s="129">
        <v>1</v>
      </c>
      <c r="U10" s="141" t="s">
        <v>670</v>
      </c>
      <c r="V10" s="141" t="s">
        <v>671</v>
      </c>
      <c r="W10" s="129" t="s">
        <v>669</v>
      </c>
      <c r="X10" s="129" t="s">
        <v>669</v>
      </c>
      <c r="Y10" s="129" t="s">
        <v>679</v>
      </c>
      <c r="Z10" s="129" t="s">
        <v>194</v>
      </c>
      <c r="AA10" s="129">
        <v>1</v>
      </c>
      <c r="AB10" s="129" t="s">
        <v>669</v>
      </c>
      <c r="AC10" s="129" t="s">
        <v>669</v>
      </c>
      <c r="AD10" s="129" t="s">
        <v>669</v>
      </c>
      <c r="AE10" s="129" t="s">
        <v>669</v>
      </c>
      <c r="AF10" s="129">
        <v>0</v>
      </c>
      <c r="AG10" s="129">
        <v>0</v>
      </c>
      <c r="AH10" s="129">
        <v>1</v>
      </c>
      <c r="AI10" s="129" t="s">
        <v>669</v>
      </c>
      <c r="AJ10" s="159" t="s">
        <v>683</v>
      </c>
      <c r="AK10" s="141" t="s">
        <v>665</v>
      </c>
      <c r="AL10" s="141" t="s">
        <v>2723</v>
      </c>
      <c r="AM10" s="143" t="s">
        <v>2717</v>
      </c>
      <c r="AN10" s="143"/>
      <c r="AO10" s="143"/>
      <c r="AP10" s="143"/>
      <c r="AQ10" s="143"/>
      <c r="AR10" s="143"/>
      <c r="AS10" s="160" t="s">
        <v>1995</v>
      </c>
      <c r="AT10" s="143"/>
      <c r="AU10" s="143"/>
      <c r="AV10" s="143"/>
      <c r="AW10" s="144"/>
      <c r="AX10" s="145"/>
      <c r="AY10" s="138"/>
      <c r="AZ10" s="138"/>
      <c r="BA10" s="138"/>
      <c r="BB10" s="138"/>
      <c r="BC10" s="138"/>
      <c r="BD10" s="138"/>
      <c r="BE10" s="138"/>
    </row>
    <row r="11" spans="1:58" s="459" customFormat="1" ht="58">
      <c r="A11" s="451" t="s">
        <v>6</v>
      </c>
      <c r="B11" s="452">
        <v>9</v>
      </c>
      <c r="C11" s="452" t="s">
        <v>191</v>
      </c>
      <c r="D11" s="452" t="s">
        <v>3086</v>
      </c>
      <c r="E11" s="452" t="s">
        <v>690</v>
      </c>
      <c r="F11" s="452" t="s">
        <v>691</v>
      </c>
      <c r="G11" s="450" t="s">
        <v>665</v>
      </c>
      <c r="H11" s="450" t="s">
        <v>666</v>
      </c>
      <c r="I11" s="450" t="s">
        <v>667</v>
      </c>
      <c r="J11" s="452" t="s">
        <v>668</v>
      </c>
      <c r="K11" s="452" t="s">
        <v>668</v>
      </c>
      <c r="L11" s="452" t="s">
        <v>669</v>
      </c>
      <c r="M11" s="452" t="s">
        <v>669</v>
      </c>
      <c r="N11" s="452">
        <v>10</v>
      </c>
      <c r="O11" s="452" t="s">
        <v>669</v>
      </c>
      <c r="P11" s="452">
        <v>10</v>
      </c>
      <c r="Q11" s="452">
        <v>8</v>
      </c>
      <c r="R11" s="452">
        <v>61</v>
      </c>
      <c r="S11" s="452">
        <v>60</v>
      </c>
      <c r="T11" s="452">
        <v>2</v>
      </c>
      <c r="U11" s="450" t="s">
        <v>670</v>
      </c>
      <c r="V11" s="450" t="s">
        <v>671</v>
      </c>
      <c r="W11" s="452" t="s">
        <v>669</v>
      </c>
      <c r="X11" s="452">
        <v>500</v>
      </c>
      <c r="Y11" s="450" t="s">
        <v>679</v>
      </c>
      <c r="Z11" s="452" t="s">
        <v>194</v>
      </c>
      <c r="AA11" s="452">
        <v>1</v>
      </c>
      <c r="AB11" s="452" t="s">
        <v>669</v>
      </c>
      <c r="AC11" s="452" t="s">
        <v>669</v>
      </c>
      <c r="AD11" s="452" t="s">
        <v>669</v>
      </c>
      <c r="AE11" s="452" t="s">
        <v>669</v>
      </c>
      <c r="AF11" s="452">
        <v>0</v>
      </c>
      <c r="AG11" s="452">
        <v>0</v>
      </c>
      <c r="AH11" s="452">
        <v>3</v>
      </c>
      <c r="AI11" s="452" t="s">
        <v>669</v>
      </c>
      <c r="AJ11" s="455" t="s">
        <v>692</v>
      </c>
      <c r="AK11" s="450" t="s">
        <v>665</v>
      </c>
      <c r="AL11" s="450" t="s">
        <v>2723</v>
      </c>
      <c r="AM11" s="285" t="s">
        <v>693</v>
      </c>
      <c r="AN11" s="285"/>
      <c r="AO11" s="285" t="s">
        <v>677</v>
      </c>
      <c r="AP11" s="285"/>
      <c r="AQ11" s="285"/>
      <c r="AR11" s="285"/>
      <c r="AS11" s="467" t="s">
        <v>1995</v>
      </c>
      <c r="AT11" s="285"/>
      <c r="AU11" s="285"/>
      <c r="AV11" s="285"/>
      <c r="AW11" s="456"/>
      <c r="AX11" s="457"/>
      <c r="AY11" s="458"/>
      <c r="AZ11" s="458"/>
      <c r="BA11" s="458"/>
      <c r="BB11" s="458"/>
      <c r="BC11" s="458"/>
      <c r="BD11" s="458"/>
      <c r="BE11" s="458"/>
    </row>
    <row r="12" spans="1:58" s="139" customFormat="1" ht="25">
      <c r="A12" s="140" t="s">
        <v>6</v>
      </c>
      <c r="B12" s="129">
        <v>10</v>
      </c>
      <c r="C12" s="129" t="s">
        <v>191</v>
      </c>
      <c r="D12" s="129" t="s">
        <v>3091</v>
      </c>
      <c r="E12" s="143" t="s">
        <v>694</v>
      </c>
      <c r="F12" s="129" t="s">
        <v>695</v>
      </c>
      <c r="G12" s="141" t="s">
        <v>665</v>
      </c>
      <c r="H12" s="141" t="s">
        <v>666</v>
      </c>
      <c r="I12" s="141" t="s">
        <v>667</v>
      </c>
      <c r="J12" s="129" t="s">
        <v>668</v>
      </c>
      <c r="K12" s="129" t="s">
        <v>668</v>
      </c>
      <c r="L12" s="129" t="s">
        <v>669</v>
      </c>
      <c r="M12" s="129" t="s">
        <v>669</v>
      </c>
      <c r="N12" s="129">
        <v>10</v>
      </c>
      <c r="O12" s="129" t="s">
        <v>669</v>
      </c>
      <c r="P12" s="129">
        <v>10</v>
      </c>
      <c r="Q12" s="129">
        <v>8</v>
      </c>
      <c r="R12" s="129">
        <v>59</v>
      </c>
      <c r="S12" s="129">
        <v>56</v>
      </c>
      <c r="T12" s="129">
        <v>4</v>
      </c>
      <c r="U12" s="141" t="s">
        <v>670</v>
      </c>
      <c r="V12" s="141" t="s">
        <v>671</v>
      </c>
      <c r="W12" s="129" t="s">
        <v>669</v>
      </c>
      <c r="X12" s="129">
        <v>500</v>
      </c>
      <c r="Y12" s="129" t="s">
        <v>679</v>
      </c>
      <c r="Z12" s="129" t="s">
        <v>194</v>
      </c>
      <c r="AA12" s="129">
        <v>1</v>
      </c>
      <c r="AB12" s="129" t="s">
        <v>669</v>
      </c>
      <c r="AC12" s="129" t="s">
        <v>669</v>
      </c>
      <c r="AD12" s="129" t="s">
        <v>669</v>
      </c>
      <c r="AE12" s="129" t="s">
        <v>669</v>
      </c>
      <c r="AF12" s="129">
        <v>0</v>
      </c>
      <c r="AG12" s="129">
        <v>0</v>
      </c>
      <c r="AH12" s="129">
        <v>15</v>
      </c>
      <c r="AI12" s="129" t="s">
        <v>665</v>
      </c>
      <c r="AJ12" s="159" t="s">
        <v>2123</v>
      </c>
      <c r="AK12" s="141" t="s">
        <v>665</v>
      </c>
      <c r="AL12" s="141" t="s">
        <v>665</v>
      </c>
      <c r="AM12" s="143"/>
      <c r="AN12" s="143"/>
      <c r="AO12" s="143" t="s">
        <v>677</v>
      </c>
      <c r="AP12" s="143"/>
      <c r="AQ12" s="143"/>
      <c r="AR12" s="143"/>
      <c r="AS12" s="143" t="s">
        <v>674</v>
      </c>
      <c r="AT12" s="143"/>
      <c r="AU12" s="143"/>
      <c r="AV12" s="143"/>
      <c r="AW12" s="144"/>
      <c r="AX12" s="145"/>
      <c r="AY12" s="138"/>
      <c r="AZ12" s="138"/>
      <c r="BA12" s="138"/>
      <c r="BB12" s="138"/>
      <c r="BC12" s="138"/>
      <c r="BD12" s="138"/>
      <c r="BE12" s="138"/>
    </row>
    <row r="13" spans="1:58" s="156" customFormat="1" ht="30">
      <c r="A13" s="146" t="s">
        <v>6</v>
      </c>
      <c r="B13" s="129">
        <v>11</v>
      </c>
      <c r="C13" s="147" t="s">
        <v>2431</v>
      </c>
      <c r="D13" s="157" t="s">
        <v>3092</v>
      </c>
      <c r="E13" s="157" t="s">
        <v>2432</v>
      </c>
      <c r="F13" s="161" t="s">
        <v>2433</v>
      </c>
      <c r="G13" s="149" t="s">
        <v>2401</v>
      </c>
      <c r="H13" s="149" t="s">
        <v>2434</v>
      </c>
      <c r="I13" s="149" t="s">
        <v>2435</v>
      </c>
      <c r="J13" s="149" t="s">
        <v>192</v>
      </c>
      <c r="K13" s="149" t="s">
        <v>192</v>
      </c>
      <c r="L13" s="149" t="s">
        <v>2401</v>
      </c>
      <c r="M13" s="149" t="s">
        <v>2401</v>
      </c>
      <c r="N13" s="147">
        <v>10</v>
      </c>
      <c r="O13" s="149" t="s">
        <v>2401</v>
      </c>
      <c r="P13" s="147">
        <v>10</v>
      </c>
      <c r="Q13" s="149">
        <v>8</v>
      </c>
      <c r="R13" s="149">
        <v>55</v>
      </c>
      <c r="S13" s="149">
        <v>48</v>
      </c>
      <c r="T13" s="149">
        <v>8</v>
      </c>
      <c r="U13" s="149" t="s">
        <v>2436</v>
      </c>
      <c r="V13" s="149" t="s">
        <v>2407</v>
      </c>
      <c r="W13" s="147" t="s">
        <v>2401</v>
      </c>
      <c r="X13" s="149" t="s">
        <v>2401</v>
      </c>
      <c r="Y13" s="149" t="s">
        <v>2410</v>
      </c>
      <c r="Z13" s="149" t="s">
        <v>2437</v>
      </c>
      <c r="AA13" s="149">
        <v>0.39369999999999999</v>
      </c>
      <c r="AB13" s="149" t="s">
        <v>2401</v>
      </c>
      <c r="AC13" s="149" t="s">
        <v>2401</v>
      </c>
      <c r="AD13" s="149" t="s">
        <v>2401</v>
      </c>
      <c r="AE13" s="149" t="s">
        <v>2401</v>
      </c>
      <c r="AF13" s="149">
        <v>0</v>
      </c>
      <c r="AG13" s="149">
        <v>0</v>
      </c>
      <c r="AH13" s="149">
        <v>100.3935</v>
      </c>
      <c r="AI13" s="149" t="s">
        <v>2438</v>
      </c>
      <c r="AJ13" s="162" t="s">
        <v>2439</v>
      </c>
      <c r="AK13" s="149" t="s">
        <v>2401</v>
      </c>
      <c r="AL13" s="149" t="s">
        <v>2723</v>
      </c>
      <c r="AM13" s="151" t="s">
        <v>677</v>
      </c>
      <c r="AN13" s="151"/>
      <c r="AO13" s="151"/>
      <c r="AP13" s="151"/>
      <c r="AQ13" s="151"/>
      <c r="AR13" s="152" t="s">
        <v>2397</v>
      </c>
      <c r="AS13" s="151"/>
      <c r="AT13" s="151"/>
      <c r="AU13" s="151"/>
      <c r="AV13" s="151"/>
      <c r="AW13" s="153"/>
      <c r="AX13" s="154"/>
      <c r="AY13" s="155"/>
      <c r="AZ13" s="155"/>
      <c r="BA13" s="155"/>
      <c r="BB13" s="155"/>
      <c r="BC13" s="155"/>
      <c r="BD13" s="155"/>
      <c r="BE13" s="155"/>
    </row>
    <row r="14" spans="1:58" s="139" customFormat="1" ht="44">
      <c r="A14" s="140" t="s">
        <v>6</v>
      </c>
      <c r="B14" s="129">
        <v>12</v>
      </c>
      <c r="C14" s="129" t="s">
        <v>191</v>
      </c>
      <c r="D14" s="129" t="s">
        <v>3093</v>
      </c>
      <c r="E14" s="141" t="s">
        <v>696</v>
      </c>
      <c r="F14" s="141" t="s">
        <v>664</v>
      </c>
      <c r="G14" s="141" t="s">
        <v>665</v>
      </c>
      <c r="H14" s="141" t="s">
        <v>697</v>
      </c>
      <c r="I14" s="141" t="s">
        <v>698</v>
      </c>
      <c r="J14" s="129" t="s">
        <v>668</v>
      </c>
      <c r="K14" s="129" t="s">
        <v>192</v>
      </c>
      <c r="L14" s="129" t="s">
        <v>669</v>
      </c>
      <c r="M14" s="129" t="s">
        <v>669</v>
      </c>
      <c r="N14" s="129">
        <v>50</v>
      </c>
      <c r="O14" s="129" t="s">
        <v>669</v>
      </c>
      <c r="P14" s="129" t="s">
        <v>669</v>
      </c>
      <c r="Q14" s="129">
        <v>8</v>
      </c>
      <c r="R14" s="141">
        <v>7</v>
      </c>
      <c r="S14" s="141">
        <v>0</v>
      </c>
      <c r="T14" s="141">
        <v>8</v>
      </c>
      <c r="U14" s="141" t="s">
        <v>670</v>
      </c>
      <c r="V14" s="141" t="s">
        <v>671</v>
      </c>
      <c r="W14" s="141" t="s">
        <v>665</v>
      </c>
      <c r="X14" s="141" t="s">
        <v>665</v>
      </c>
      <c r="Y14" s="141" t="s">
        <v>672</v>
      </c>
      <c r="Z14" s="129" t="s">
        <v>194</v>
      </c>
      <c r="AA14" s="141">
        <v>1</v>
      </c>
      <c r="AB14" s="141" t="s">
        <v>665</v>
      </c>
      <c r="AC14" s="141" t="s">
        <v>665</v>
      </c>
      <c r="AD14" s="141" t="s">
        <v>665</v>
      </c>
      <c r="AE14" s="141" t="s">
        <v>665</v>
      </c>
      <c r="AF14" s="141">
        <v>0</v>
      </c>
      <c r="AG14" s="141">
        <v>0</v>
      </c>
      <c r="AH14" s="141">
        <v>255</v>
      </c>
      <c r="AI14" s="141" t="s">
        <v>673</v>
      </c>
      <c r="AJ14" s="159" t="s">
        <v>2121</v>
      </c>
      <c r="AK14" s="141" t="s">
        <v>665</v>
      </c>
      <c r="AL14" s="141" t="s">
        <v>590</v>
      </c>
      <c r="AM14" s="143" t="s">
        <v>677</v>
      </c>
      <c r="AN14" s="143"/>
      <c r="AO14" s="143"/>
      <c r="AP14" s="143"/>
      <c r="AQ14" s="143"/>
      <c r="AR14" s="143" t="s">
        <v>677</v>
      </c>
      <c r="AS14" s="143"/>
      <c r="AT14" s="143"/>
      <c r="AU14" s="143"/>
      <c r="AV14" s="143"/>
      <c r="AW14" s="144"/>
      <c r="AX14" s="145"/>
      <c r="AY14" s="138"/>
      <c r="AZ14" s="138"/>
      <c r="BA14" s="138"/>
      <c r="BB14" s="138"/>
      <c r="BC14" s="138"/>
      <c r="BD14" s="138"/>
      <c r="BE14" s="138"/>
    </row>
    <row r="15" spans="1:58" s="168" customFormat="1" ht="44">
      <c r="A15" s="140" t="s">
        <v>6</v>
      </c>
      <c r="B15" s="129">
        <v>13</v>
      </c>
      <c r="C15" s="129" t="s">
        <v>699</v>
      </c>
      <c r="D15" s="129" t="s">
        <v>3061</v>
      </c>
      <c r="E15" s="141" t="s">
        <v>700</v>
      </c>
      <c r="F15" s="141" t="s">
        <v>701</v>
      </c>
      <c r="G15" s="141" t="s">
        <v>665</v>
      </c>
      <c r="H15" s="141" t="s">
        <v>697</v>
      </c>
      <c r="I15" s="141" t="s">
        <v>698</v>
      </c>
      <c r="J15" s="129" t="s">
        <v>668</v>
      </c>
      <c r="K15" s="129" t="s">
        <v>668</v>
      </c>
      <c r="L15" s="129" t="s">
        <v>669</v>
      </c>
      <c r="M15" s="129" t="s">
        <v>669</v>
      </c>
      <c r="N15" s="129">
        <v>50</v>
      </c>
      <c r="O15" s="129" t="s">
        <v>669</v>
      </c>
      <c r="P15" s="129" t="s">
        <v>669</v>
      </c>
      <c r="Q15" s="129">
        <v>8</v>
      </c>
      <c r="R15" s="163">
        <v>15</v>
      </c>
      <c r="S15" s="163">
        <v>8</v>
      </c>
      <c r="T15" s="129">
        <v>8</v>
      </c>
      <c r="U15" s="141" t="s">
        <v>670</v>
      </c>
      <c r="V15" s="141" t="s">
        <v>671</v>
      </c>
      <c r="W15" s="141" t="s">
        <v>665</v>
      </c>
      <c r="X15" s="141" t="s">
        <v>665</v>
      </c>
      <c r="Y15" s="141" t="s">
        <v>672</v>
      </c>
      <c r="Z15" s="129" t="s">
        <v>665</v>
      </c>
      <c r="AA15" s="129">
        <v>50</v>
      </c>
      <c r="AB15" s="141" t="s">
        <v>665</v>
      </c>
      <c r="AC15" s="141" t="s">
        <v>665</v>
      </c>
      <c r="AD15" s="141" t="s">
        <v>665</v>
      </c>
      <c r="AE15" s="141" t="s">
        <v>665</v>
      </c>
      <c r="AF15" s="129">
        <v>0</v>
      </c>
      <c r="AG15" s="129">
        <v>0</v>
      </c>
      <c r="AH15" s="129">
        <v>12700</v>
      </c>
      <c r="AI15" s="129" t="s">
        <v>702</v>
      </c>
      <c r="AJ15" s="164" t="s">
        <v>2124</v>
      </c>
      <c r="AK15" s="141" t="s">
        <v>703</v>
      </c>
      <c r="AL15" s="141" t="s">
        <v>2724</v>
      </c>
      <c r="AM15" s="163" t="s">
        <v>705</v>
      </c>
      <c r="AN15" s="163"/>
      <c r="AO15" s="163"/>
      <c r="AP15" s="163"/>
      <c r="AQ15" s="163"/>
      <c r="AR15" s="163"/>
      <c r="AS15" s="163"/>
      <c r="AT15" s="163"/>
      <c r="AU15" s="163"/>
      <c r="AV15" s="163"/>
      <c r="AW15" s="165"/>
      <c r="AX15" s="166"/>
      <c r="AY15" s="167"/>
      <c r="AZ15" s="167"/>
      <c r="BA15" s="167"/>
      <c r="BB15" s="167"/>
      <c r="BC15" s="167"/>
      <c r="BD15" s="167"/>
      <c r="BE15" s="167"/>
    </row>
    <row r="16" spans="1:58" s="466" customFormat="1" ht="128">
      <c r="A16" s="451" t="s">
        <v>6</v>
      </c>
      <c r="B16" s="452">
        <v>14</v>
      </c>
      <c r="C16" s="452" t="s">
        <v>706</v>
      </c>
      <c r="D16" s="452" t="s">
        <v>3094</v>
      </c>
      <c r="E16" s="450" t="s">
        <v>707</v>
      </c>
      <c r="F16" s="450" t="s">
        <v>708</v>
      </c>
      <c r="G16" s="450" t="s">
        <v>665</v>
      </c>
      <c r="H16" s="450" t="s">
        <v>709</v>
      </c>
      <c r="I16" s="450" t="s">
        <v>710</v>
      </c>
      <c r="J16" s="452" t="s">
        <v>711</v>
      </c>
      <c r="K16" s="452" t="s">
        <v>711</v>
      </c>
      <c r="L16" s="452" t="s">
        <v>712</v>
      </c>
      <c r="M16" s="452" t="s">
        <v>712</v>
      </c>
      <c r="N16" s="452">
        <v>50</v>
      </c>
      <c r="O16" s="452" t="s">
        <v>712</v>
      </c>
      <c r="P16" s="452" t="s">
        <v>712</v>
      </c>
      <c r="Q16" s="452">
        <v>8</v>
      </c>
      <c r="R16" s="460">
        <v>23</v>
      </c>
      <c r="S16" s="460">
        <v>20</v>
      </c>
      <c r="T16" s="452">
        <v>4</v>
      </c>
      <c r="U16" s="450" t="s">
        <v>713</v>
      </c>
      <c r="V16" s="450" t="s">
        <v>714</v>
      </c>
      <c r="W16" s="450" t="s">
        <v>703</v>
      </c>
      <c r="X16" s="450" t="s">
        <v>703</v>
      </c>
      <c r="Y16" s="452" t="s">
        <v>715</v>
      </c>
      <c r="Z16" s="452" t="s">
        <v>703</v>
      </c>
      <c r="AA16" s="452">
        <v>1</v>
      </c>
      <c r="AB16" s="450" t="s">
        <v>703</v>
      </c>
      <c r="AC16" s="450" t="s">
        <v>703</v>
      </c>
      <c r="AD16" s="450" t="s">
        <v>703</v>
      </c>
      <c r="AE16" s="450" t="s">
        <v>703</v>
      </c>
      <c r="AF16" s="452">
        <v>0</v>
      </c>
      <c r="AG16" s="452">
        <v>0</v>
      </c>
      <c r="AH16" s="452">
        <v>15</v>
      </c>
      <c r="AI16" s="452" t="s">
        <v>712</v>
      </c>
      <c r="AJ16" s="461" t="s">
        <v>2767</v>
      </c>
      <c r="AK16" s="450" t="s">
        <v>703</v>
      </c>
      <c r="AL16" s="453" t="s">
        <v>2115</v>
      </c>
      <c r="AM16" s="460" t="s">
        <v>705</v>
      </c>
      <c r="AN16" s="460"/>
      <c r="AO16" s="460"/>
      <c r="AP16" s="460"/>
      <c r="AQ16" s="460" t="s">
        <v>716</v>
      </c>
      <c r="AR16" s="460" t="s">
        <v>705</v>
      </c>
      <c r="AS16" s="460"/>
      <c r="AT16" s="460"/>
      <c r="AU16" s="460"/>
      <c r="AV16" s="462" t="s">
        <v>1959</v>
      </c>
      <c r="AW16" s="463"/>
      <c r="AX16" s="464"/>
      <c r="AY16" s="465"/>
      <c r="AZ16" s="465"/>
      <c r="BA16" s="465"/>
      <c r="BB16" s="465"/>
      <c r="BC16" s="465"/>
      <c r="BD16" s="465"/>
      <c r="BE16" s="465"/>
    </row>
    <row r="17" spans="1:57" s="179" customFormat="1" ht="30">
      <c r="A17" s="146" t="s">
        <v>6</v>
      </c>
      <c r="B17" s="129">
        <v>15</v>
      </c>
      <c r="C17" s="147" t="s">
        <v>717</v>
      </c>
      <c r="D17" s="147" t="s">
        <v>3064</v>
      </c>
      <c r="E17" s="149" t="s">
        <v>718</v>
      </c>
      <c r="F17" s="149" t="s">
        <v>719</v>
      </c>
      <c r="G17" s="149" t="s">
        <v>665</v>
      </c>
      <c r="H17" s="149" t="s">
        <v>709</v>
      </c>
      <c r="I17" s="149" t="s">
        <v>710</v>
      </c>
      <c r="J17" s="147" t="s">
        <v>711</v>
      </c>
      <c r="K17" s="147" t="s">
        <v>711</v>
      </c>
      <c r="L17" s="147" t="s">
        <v>712</v>
      </c>
      <c r="M17" s="147" t="s">
        <v>712</v>
      </c>
      <c r="N17" s="147">
        <v>50</v>
      </c>
      <c r="O17" s="147" t="s">
        <v>712</v>
      </c>
      <c r="P17" s="147" t="s">
        <v>712</v>
      </c>
      <c r="Q17" s="147">
        <v>8</v>
      </c>
      <c r="R17" s="174">
        <v>19</v>
      </c>
      <c r="S17" s="174">
        <v>19</v>
      </c>
      <c r="T17" s="147">
        <v>1</v>
      </c>
      <c r="U17" s="149" t="s">
        <v>713</v>
      </c>
      <c r="V17" s="149" t="s">
        <v>714</v>
      </c>
      <c r="W17" s="149" t="s">
        <v>703</v>
      </c>
      <c r="X17" s="149" t="s">
        <v>703</v>
      </c>
      <c r="Y17" s="147" t="s">
        <v>715</v>
      </c>
      <c r="Z17" s="147" t="s">
        <v>703</v>
      </c>
      <c r="AA17" s="147">
        <v>1</v>
      </c>
      <c r="AB17" s="149" t="s">
        <v>703</v>
      </c>
      <c r="AC17" s="149" t="s">
        <v>703</v>
      </c>
      <c r="AD17" s="149" t="s">
        <v>703</v>
      </c>
      <c r="AE17" s="149" t="s">
        <v>703</v>
      </c>
      <c r="AF17" s="147">
        <v>0</v>
      </c>
      <c r="AG17" s="147">
        <v>0</v>
      </c>
      <c r="AH17" s="147">
        <v>1</v>
      </c>
      <c r="AI17" s="147" t="s">
        <v>712</v>
      </c>
      <c r="AJ17" s="150" t="s">
        <v>199</v>
      </c>
      <c r="AK17" s="149" t="s">
        <v>703</v>
      </c>
      <c r="AL17" s="149" t="s">
        <v>2725</v>
      </c>
      <c r="AM17" s="174" t="s">
        <v>705</v>
      </c>
      <c r="AN17" s="174"/>
      <c r="AO17" s="174"/>
      <c r="AP17" s="174"/>
      <c r="AQ17" s="174"/>
      <c r="AR17" s="174"/>
      <c r="AS17" s="174"/>
      <c r="AT17" s="174"/>
      <c r="AU17" s="174"/>
      <c r="AV17" s="174"/>
      <c r="AW17" s="176"/>
      <c r="AX17" s="177"/>
      <c r="AY17" s="178"/>
      <c r="AZ17" s="178"/>
      <c r="BA17" s="178"/>
      <c r="BB17" s="178"/>
      <c r="BC17" s="178"/>
      <c r="BD17" s="178"/>
      <c r="BE17" s="178"/>
    </row>
    <row r="18" spans="1:57" s="179" customFormat="1" ht="30">
      <c r="A18" s="146" t="s">
        <v>6</v>
      </c>
      <c r="B18" s="129">
        <v>16</v>
      </c>
      <c r="C18" s="147" t="s">
        <v>717</v>
      </c>
      <c r="D18" s="147" t="s">
        <v>3064</v>
      </c>
      <c r="E18" s="149" t="s">
        <v>720</v>
      </c>
      <c r="F18" s="149" t="s">
        <v>721</v>
      </c>
      <c r="G18" s="149" t="s">
        <v>665</v>
      </c>
      <c r="H18" s="149" t="s">
        <v>722</v>
      </c>
      <c r="I18" s="149" t="s">
        <v>723</v>
      </c>
      <c r="J18" s="147" t="s">
        <v>724</v>
      </c>
      <c r="K18" s="147" t="s">
        <v>724</v>
      </c>
      <c r="L18" s="147" t="s">
        <v>725</v>
      </c>
      <c r="M18" s="147" t="s">
        <v>725</v>
      </c>
      <c r="N18" s="147">
        <v>50</v>
      </c>
      <c r="O18" s="147" t="s">
        <v>725</v>
      </c>
      <c r="P18" s="147" t="s">
        <v>725</v>
      </c>
      <c r="Q18" s="147">
        <v>8</v>
      </c>
      <c r="R18" s="174">
        <v>18</v>
      </c>
      <c r="S18" s="174">
        <v>18</v>
      </c>
      <c r="T18" s="147">
        <v>1</v>
      </c>
      <c r="U18" s="149" t="s">
        <v>726</v>
      </c>
      <c r="V18" s="149" t="s">
        <v>727</v>
      </c>
      <c r="W18" s="149" t="s">
        <v>684</v>
      </c>
      <c r="X18" s="149" t="s">
        <v>684</v>
      </c>
      <c r="Y18" s="147" t="s">
        <v>728</v>
      </c>
      <c r="Z18" s="147" t="s">
        <v>684</v>
      </c>
      <c r="AA18" s="147">
        <v>1</v>
      </c>
      <c r="AB18" s="149" t="s">
        <v>684</v>
      </c>
      <c r="AC18" s="149" t="s">
        <v>684</v>
      </c>
      <c r="AD18" s="149" t="s">
        <v>684</v>
      </c>
      <c r="AE18" s="149" t="s">
        <v>684</v>
      </c>
      <c r="AF18" s="147">
        <v>0</v>
      </c>
      <c r="AG18" s="147">
        <v>0</v>
      </c>
      <c r="AH18" s="147">
        <v>1</v>
      </c>
      <c r="AI18" s="147" t="s">
        <v>725</v>
      </c>
      <c r="AJ18" s="150" t="s">
        <v>199</v>
      </c>
      <c r="AK18" s="149" t="s">
        <v>684</v>
      </c>
      <c r="AL18" s="149" t="s">
        <v>2725</v>
      </c>
      <c r="AM18" s="174" t="s">
        <v>685</v>
      </c>
      <c r="AN18" s="174"/>
      <c r="AO18" s="174"/>
      <c r="AP18" s="174"/>
      <c r="AQ18" s="174"/>
      <c r="AR18" s="174"/>
      <c r="AS18" s="174"/>
      <c r="AT18" s="174"/>
      <c r="AU18" s="174"/>
      <c r="AV18" s="174"/>
      <c r="AW18" s="176"/>
      <c r="AX18" s="177"/>
      <c r="AY18" s="178"/>
      <c r="AZ18" s="178"/>
      <c r="BA18" s="178"/>
      <c r="BB18" s="178"/>
      <c r="BC18" s="178"/>
      <c r="BD18" s="178"/>
      <c r="BE18" s="178"/>
    </row>
    <row r="19" spans="1:57" s="179" customFormat="1" ht="30">
      <c r="A19" s="146" t="s">
        <v>6</v>
      </c>
      <c r="B19" s="129">
        <v>17</v>
      </c>
      <c r="C19" s="147" t="s">
        <v>730</v>
      </c>
      <c r="D19" s="147" t="s">
        <v>3095</v>
      </c>
      <c r="E19" s="149" t="s">
        <v>731</v>
      </c>
      <c r="F19" s="149" t="s">
        <v>732</v>
      </c>
      <c r="G19" s="149" t="s">
        <v>665</v>
      </c>
      <c r="H19" s="149" t="s">
        <v>722</v>
      </c>
      <c r="I19" s="149" t="s">
        <v>723</v>
      </c>
      <c r="J19" s="147" t="s">
        <v>724</v>
      </c>
      <c r="K19" s="147" t="s">
        <v>724</v>
      </c>
      <c r="L19" s="147" t="s">
        <v>725</v>
      </c>
      <c r="M19" s="147" t="s">
        <v>725</v>
      </c>
      <c r="N19" s="147">
        <v>50</v>
      </c>
      <c r="O19" s="147" t="s">
        <v>725</v>
      </c>
      <c r="P19" s="147" t="s">
        <v>725</v>
      </c>
      <c r="Q19" s="147">
        <v>8</v>
      </c>
      <c r="R19" s="174">
        <v>31</v>
      </c>
      <c r="S19" s="174">
        <v>31</v>
      </c>
      <c r="T19" s="147">
        <v>1</v>
      </c>
      <c r="U19" s="149" t="s">
        <v>726</v>
      </c>
      <c r="V19" s="149" t="s">
        <v>727</v>
      </c>
      <c r="W19" s="149" t="s">
        <v>684</v>
      </c>
      <c r="X19" s="149" t="s">
        <v>684</v>
      </c>
      <c r="Y19" s="147" t="s">
        <v>728</v>
      </c>
      <c r="Z19" s="147" t="s">
        <v>684</v>
      </c>
      <c r="AA19" s="147">
        <v>1</v>
      </c>
      <c r="AB19" s="149" t="s">
        <v>684</v>
      </c>
      <c r="AC19" s="149" t="s">
        <v>684</v>
      </c>
      <c r="AD19" s="149" t="s">
        <v>684</v>
      </c>
      <c r="AE19" s="149" t="s">
        <v>684</v>
      </c>
      <c r="AF19" s="147">
        <v>0</v>
      </c>
      <c r="AG19" s="147">
        <v>0</v>
      </c>
      <c r="AH19" s="147">
        <v>1</v>
      </c>
      <c r="AI19" s="147" t="s">
        <v>725</v>
      </c>
      <c r="AJ19" s="158" t="s">
        <v>1824</v>
      </c>
      <c r="AK19" s="149" t="s">
        <v>684</v>
      </c>
      <c r="AL19" s="157" t="s">
        <v>2726</v>
      </c>
      <c r="AM19" s="175" t="s">
        <v>2301</v>
      </c>
      <c r="AN19" s="174"/>
      <c r="AO19" s="174"/>
      <c r="AP19" s="174"/>
      <c r="AQ19" s="174"/>
      <c r="AR19" s="174"/>
      <c r="AS19" s="174"/>
      <c r="AT19" s="174"/>
      <c r="AU19" s="174"/>
      <c r="AV19" s="174"/>
      <c r="AW19" s="176"/>
      <c r="AX19" s="177"/>
      <c r="AY19" s="178"/>
      <c r="AZ19" s="178"/>
      <c r="BA19" s="178"/>
      <c r="BB19" s="178"/>
      <c r="BC19" s="178"/>
      <c r="BD19" s="178"/>
      <c r="BE19" s="178"/>
    </row>
    <row r="20" spans="1:57" s="156" customFormat="1" ht="31">
      <c r="A20" s="146" t="s">
        <v>6</v>
      </c>
      <c r="B20" s="129">
        <v>18</v>
      </c>
      <c r="C20" s="147" t="s">
        <v>733</v>
      </c>
      <c r="D20" s="147" t="s">
        <v>3096</v>
      </c>
      <c r="E20" s="149" t="s">
        <v>734</v>
      </c>
      <c r="F20" s="149" t="s">
        <v>735</v>
      </c>
      <c r="G20" s="149" t="s">
        <v>665</v>
      </c>
      <c r="H20" s="149" t="s">
        <v>709</v>
      </c>
      <c r="I20" s="149" t="s">
        <v>710</v>
      </c>
      <c r="J20" s="147" t="s">
        <v>711</v>
      </c>
      <c r="K20" s="147" t="s">
        <v>711</v>
      </c>
      <c r="L20" s="147" t="s">
        <v>703</v>
      </c>
      <c r="M20" s="147" t="s">
        <v>703</v>
      </c>
      <c r="N20" s="147">
        <v>50</v>
      </c>
      <c r="O20" s="147" t="s">
        <v>712</v>
      </c>
      <c r="P20" s="147" t="s">
        <v>712</v>
      </c>
      <c r="Q20" s="147">
        <v>8</v>
      </c>
      <c r="R20" s="149">
        <v>30</v>
      </c>
      <c r="S20" s="149">
        <v>30</v>
      </c>
      <c r="T20" s="149">
        <v>1</v>
      </c>
      <c r="U20" s="149" t="s">
        <v>713</v>
      </c>
      <c r="V20" s="149" t="s">
        <v>714</v>
      </c>
      <c r="W20" s="149" t="s">
        <v>703</v>
      </c>
      <c r="X20" s="149" t="s">
        <v>703</v>
      </c>
      <c r="Y20" s="147" t="s">
        <v>715</v>
      </c>
      <c r="Z20" s="147" t="s">
        <v>736</v>
      </c>
      <c r="AA20" s="149">
        <v>1</v>
      </c>
      <c r="AB20" s="149" t="s">
        <v>703</v>
      </c>
      <c r="AC20" s="149" t="s">
        <v>703</v>
      </c>
      <c r="AD20" s="149" t="s">
        <v>703</v>
      </c>
      <c r="AE20" s="149" t="s">
        <v>703</v>
      </c>
      <c r="AF20" s="149">
        <v>0</v>
      </c>
      <c r="AG20" s="149">
        <v>0</v>
      </c>
      <c r="AH20" s="149">
        <v>1</v>
      </c>
      <c r="AI20" s="149" t="s">
        <v>703</v>
      </c>
      <c r="AJ20" s="150" t="s">
        <v>202</v>
      </c>
      <c r="AK20" s="151" t="s">
        <v>703</v>
      </c>
      <c r="AL20" s="149" t="s">
        <v>737</v>
      </c>
      <c r="AM20" s="151" t="s">
        <v>705</v>
      </c>
      <c r="AN20" s="151"/>
      <c r="AO20" s="151"/>
      <c r="AP20" s="151"/>
      <c r="AQ20" s="151"/>
      <c r="AR20" s="151" t="s">
        <v>705</v>
      </c>
      <c r="AS20" s="151"/>
      <c r="AT20" s="151"/>
      <c r="AU20" s="151"/>
      <c r="AV20" s="151"/>
      <c r="AW20" s="153"/>
      <c r="AX20" s="154"/>
      <c r="AY20" s="155"/>
      <c r="AZ20" s="155"/>
      <c r="BA20" s="155"/>
      <c r="BB20" s="155"/>
      <c r="BC20" s="155"/>
      <c r="BD20" s="155"/>
      <c r="BE20" s="155"/>
    </row>
    <row r="21" spans="1:57" s="156" customFormat="1" ht="373">
      <c r="A21" s="146" t="s">
        <v>6</v>
      </c>
      <c r="B21" s="129">
        <v>19</v>
      </c>
      <c r="C21" s="147" t="s">
        <v>738</v>
      </c>
      <c r="D21" s="147" t="s">
        <v>3095</v>
      </c>
      <c r="E21" s="157" t="s">
        <v>1826</v>
      </c>
      <c r="F21" s="149" t="s">
        <v>739</v>
      </c>
      <c r="G21" s="149" t="s">
        <v>665</v>
      </c>
      <c r="H21" s="149" t="s">
        <v>709</v>
      </c>
      <c r="I21" s="149" t="s">
        <v>710</v>
      </c>
      <c r="J21" s="147" t="s">
        <v>711</v>
      </c>
      <c r="K21" s="147" t="s">
        <v>711</v>
      </c>
      <c r="L21" s="147" t="s">
        <v>703</v>
      </c>
      <c r="M21" s="147" t="s">
        <v>703</v>
      </c>
      <c r="N21" s="147">
        <v>50</v>
      </c>
      <c r="O21" s="147" t="s">
        <v>712</v>
      </c>
      <c r="P21" s="147" t="s">
        <v>712</v>
      </c>
      <c r="Q21" s="147">
        <v>8</v>
      </c>
      <c r="R21" s="149">
        <v>29</v>
      </c>
      <c r="S21" s="149">
        <v>25</v>
      </c>
      <c r="T21" s="149">
        <v>5</v>
      </c>
      <c r="U21" s="149" t="s">
        <v>713</v>
      </c>
      <c r="V21" s="149" t="s">
        <v>714</v>
      </c>
      <c r="W21" s="149" t="s">
        <v>703</v>
      </c>
      <c r="X21" s="149" t="s">
        <v>703</v>
      </c>
      <c r="Y21" s="148" t="s">
        <v>1913</v>
      </c>
      <c r="Z21" s="148" t="s">
        <v>1913</v>
      </c>
      <c r="AA21" s="149">
        <v>1</v>
      </c>
      <c r="AB21" s="149" t="s">
        <v>703</v>
      </c>
      <c r="AC21" s="149" t="s">
        <v>703</v>
      </c>
      <c r="AD21" s="149" t="s">
        <v>703</v>
      </c>
      <c r="AE21" s="149" t="s">
        <v>703</v>
      </c>
      <c r="AF21" s="149">
        <v>0</v>
      </c>
      <c r="AG21" s="149">
        <v>0</v>
      </c>
      <c r="AH21" s="149">
        <v>31</v>
      </c>
      <c r="AI21" s="147" t="s">
        <v>703</v>
      </c>
      <c r="AJ21" s="158" t="s">
        <v>2999</v>
      </c>
      <c r="AK21" s="151" t="s">
        <v>703</v>
      </c>
      <c r="AL21" s="149" t="s">
        <v>740</v>
      </c>
      <c r="AM21" s="151" t="s">
        <v>705</v>
      </c>
      <c r="AN21" s="151"/>
      <c r="AO21" s="151"/>
      <c r="AP21" s="151"/>
      <c r="AQ21" s="151"/>
      <c r="AR21" s="151"/>
      <c r="AS21" s="151"/>
      <c r="AT21" s="151"/>
      <c r="AU21" s="151"/>
      <c r="AV21" s="151"/>
      <c r="AW21" s="153"/>
      <c r="AX21" s="154"/>
      <c r="AY21" s="155"/>
      <c r="AZ21" s="155"/>
      <c r="BA21" s="155"/>
      <c r="BB21" s="155"/>
      <c r="BC21" s="155"/>
      <c r="BD21" s="155"/>
      <c r="BE21" s="155"/>
    </row>
    <row r="22" spans="1:57" s="156" customFormat="1" ht="30">
      <c r="A22" s="146" t="s">
        <v>6</v>
      </c>
      <c r="B22" s="129">
        <v>20</v>
      </c>
      <c r="C22" s="147" t="s">
        <v>738</v>
      </c>
      <c r="D22" s="147" t="s">
        <v>3095</v>
      </c>
      <c r="E22" s="157" t="s">
        <v>1827</v>
      </c>
      <c r="F22" s="149" t="s">
        <v>741</v>
      </c>
      <c r="G22" s="149" t="s">
        <v>665</v>
      </c>
      <c r="H22" s="149" t="s">
        <v>709</v>
      </c>
      <c r="I22" s="149" t="s">
        <v>710</v>
      </c>
      <c r="J22" s="147" t="s">
        <v>711</v>
      </c>
      <c r="K22" s="147" t="s">
        <v>711</v>
      </c>
      <c r="L22" s="147" t="s">
        <v>703</v>
      </c>
      <c r="M22" s="147" t="s">
        <v>703</v>
      </c>
      <c r="N22" s="147">
        <v>50</v>
      </c>
      <c r="O22" s="147" t="s">
        <v>712</v>
      </c>
      <c r="P22" s="147" t="s">
        <v>712</v>
      </c>
      <c r="Q22" s="147">
        <v>8</v>
      </c>
      <c r="R22" s="149">
        <v>39</v>
      </c>
      <c r="S22" s="149">
        <v>32</v>
      </c>
      <c r="T22" s="149">
        <v>8</v>
      </c>
      <c r="U22" s="149" t="s">
        <v>713</v>
      </c>
      <c r="V22" s="149" t="s">
        <v>714</v>
      </c>
      <c r="W22" s="149" t="s">
        <v>703</v>
      </c>
      <c r="X22" s="149" t="s">
        <v>703</v>
      </c>
      <c r="Y22" s="148" t="s">
        <v>1913</v>
      </c>
      <c r="Z22" s="148" t="s">
        <v>1913</v>
      </c>
      <c r="AA22" s="149">
        <v>1</v>
      </c>
      <c r="AB22" s="149" t="s">
        <v>703</v>
      </c>
      <c r="AC22" s="149" t="s">
        <v>703</v>
      </c>
      <c r="AD22" s="149" t="s">
        <v>703</v>
      </c>
      <c r="AE22" s="149" t="s">
        <v>703</v>
      </c>
      <c r="AF22" s="149">
        <v>0</v>
      </c>
      <c r="AG22" s="149">
        <v>0</v>
      </c>
      <c r="AH22" s="149">
        <v>255</v>
      </c>
      <c r="AI22" s="149" t="s">
        <v>742</v>
      </c>
      <c r="AJ22" s="158" t="s">
        <v>1914</v>
      </c>
      <c r="AK22" s="151" t="s">
        <v>703</v>
      </c>
      <c r="AL22" s="149" t="s">
        <v>743</v>
      </c>
      <c r="AM22" s="151" t="s">
        <v>705</v>
      </c>
      <c r="AN22" s="151"/>
      <c r="AO22" s="151"/>
      <c r="AP22" s="151"/>
      <c r="AQ22" s="151"/>
      <c r="AR22" s="151"/>
      <c r="AS22" s="151"/>
      <c r="AT22" s="151"/>
      <c r="AU22" s="151"/>
      <c r="AV22" s="151"/>
      <c r="AW22" s="153"/>
      <c r="AX22" s="154"/>
      <c r="AY22" s="155"/>
      <c r="AZ22" s="155"/>
      <c r="BA22" s="155"/>
      <c r="BB22" s="155"/>
      <c r="BC22" s="155"/>
      <c r="BD22" s="155"/>
      <c r="BE22" s="155"/>
    </row>
    <row r="23" spans="1:57" s="156" customFormat="1" ht="142">
      <c r="A23" s="146" t="s">
        <v>6</v>
      </c>
      <c r="B23" s="129">
        <v>21</v>
      </c>
      <c r="C23" s="147" t="s">
        <v>738</v>
      </c>
      <c r="D23" s="147" t="s">
        <v>3095</v>
      </c>
      <c r="E23" s="157" t="s">
        <v>744</v>
      </c>
      <c r="F23" s="149" t="s">
        <v>745</v>
      </c>
      <c r="G23" s="149" t="s">
        <v>665</v>
      </c>
      <c r="H23" s="149" t="s">
        <v>722</v>
      </c>
      <c r="I23" s="149" t="s">
        <v>723</v>
      </c>
      <c r="J23" s="147" t="s">
        <v>724</v>
      </c>
      <c r="K23" s="147" t="s">
        <v>724</v>
      </c>
      <c r="L23" s="147" t="s">
        <v>684</v>
      </c>
      <c r="M23" s="147" t="s">
        <v>684</v>
      </c>
      <c r="N23" s="147">
        <v>50</v>
      </c>
      <c r="O23" s="147" t="s">
        <v>725</v>
      </c>
      <c r="P23" s="147" t="s">
        <v>725</v>
      </c>
      <c r="Q23" s="147">
        <v>8</v>
      </c>
      <c r="R23" s="149">
        <v>47</v>
      </c>
      <c r="S23" s="149">
        <v>44</v>
      </c>
      <c r="T23" s="149">
        <v>4</v>
      </c>
      <c r="U23" s="149" t="s">
        <v>726</v>
      </c>
      <c r="V23" s="149" t="s">
        <v>727</v>
      </c>
      <c r="W23" s="149" t="s">
        <v>684</v>
      </c>
      <c r="X23" s="149" t="s">
        <v>684</v>
      </c>
      <c r="Y23" s="148" t="s">
        <v>1913</v>
      </c>
      <c r="Z23" s="148" t="s">
        <v>1913</v>
      </c>
      <c r="AA23" s="149">
        <v>1</v>
      </c>
      <c r="AB23" s="149" t="s">
        <v>684</v>
      </c>
      <c r="AC23" s="149" t="s">
        <v>684</v>
      </c>
      <c r="AD23" s="149" t="s">
        <v>684</v>
      </c>
      <c r="AE23" s="149" t="s">
        <v>684</v>
      </c>
      <c r="AF23" s="149">
        <v>0</v>
      </c>
      <c r="AG23" s="149">
        <v>0</v>
      </c>
      <c r="AH23" s="149">
        <v>15</v>
      </c>
      <c r="AI23" s="147" t="s">
        <v>684</v>
      </c>
      <c r="AJ23" s="150" t="s">
        <v>746</v>
      </c>
      <c r="AK23" s="151" t="s">
        <v>684</v>
      </c>
      <c r="AL23" s="149" t="s">
        <v>747</v>
      </c>
      <c r="AM23" s="151" t="s">
        <v>685</v>
      </c>
      <c r="AN23" s="151"/>
      <c r="AO23" s="151"/>
      <c r="AP23" s="151"/>
      <c r="AQ23" s="151"/>
      <c r="AR23" s="151"/>
      <c r="AS23" s="151"/>
      <c r="AT23" s="151"/>
      <c r="AU23" s="151"/>
      <c r="AV23" s="151"/>
      <c r="AW23" s="153"/>
      <c r="AX23" s="154"/>
      <c r="AY23" s="155"/>
      <c r="AZ23" s="155"/>
      <c r="BA23" s="155"/>
      <c r="BB23" s="155"/>
      <c r="BC23" s="155"/>
      <c r="BD23" s="155"/>
      <c r="BE23" s="155"/>
    </row>
    <row r="24" spans="1:57" s="156" customFormat="1" ht="86">
      <c r="A24" s="146" t="s">
        <v>2748</v>
      </c>
      <c r="B24" s="129">
        <v>22</v>
      </c>
      <c r="C24" s="147" t="s">
        <v>2749</v>
      </c>
      <c r="D24" s="147" t="s">
        <v>3065</v>
      </c>
      <c r="E24" s="149" t="s">
        <v>2750</v>
      </c>
      <c r="F24" s="149" t="s">
        <v>2751</v>
      </c>
      <c r="G24" s="149" t="s">
        <v>2752</v>
      </c>
      <c r="H24" s="149" t="s">
        <v>2753</v>
      </c>
      <c r="I24" s="149" t="s">
        <v>2754</v>
      </c>
      <c r="J24" s="147" t="s">
        <v>2755</v>
      </c>
      <c r="K24" s="147" t="s">
        <v>2755</v>
      </c>
      <c r="L24" s="147" t="s">
        <v>2752</v>
      </c>
      <c r="M24" s="147" t="s">
        <v>2756</v>
      </c>
      <c r="N24" s="147">
        <v>50</v>
      </c>
      <c r="O24" s="147" t="s">
        <v>2752</v>
      </c>
      <c r="P24" s="147" t="s">
        <v>2752</v>
      </c>
      <c r="Q24" s="147">
        <v>8</v>
      </c>
      <c r="R24" s="174">
        <v>43</v>
      </c>
      <c r="S24" s="174">
        <v>41</v>
      </c>
      <c r="T24" s="147">
        <v>3</v>
      </c>
      <c r="U24" s="149" t="s">
        <v>2757</v>
      </c>
      <c r="V24" s="149" t="s">
        <v>2758</v>
      </c>
      <c r="W24" s="149" t="s">
        <v>2752</v>
      </c>
      <c r="X24" s="149" t="s">
        <v>2752</v>
      </c>
      <c r="Y24" s="149" t="s">
        <v>2759</v>
      </c>
      <c r="Z24" s="147" t="s">
        <v>2752</v>
      </c>
      <c r="AA24" s="147">
        <v>1</v>
      </c>
      <c r="AB24" s="149" t="s">
        <v>2752</v>
      </c>
      <c r="AC24" s="149" t="s">
        <v>2752</v>
      </c>
      <c r="AD24" s="149" t="s">
        <v>2752</v>
      </c>
      <c r="AE24" s="149" t="s">
        <v>2752</v>
      </c>
      <c r="AF24" s="147">
        <v>0</v>
      </c>
      <c r="AG24" s="147">
        <v>0</v>
      </c>
      <c r="AH24" s="147">
        <v>7</v>
      </c>
      <c r="AI24" s="147" t="s">
        <v>2752</v>
      </c>
      <c r="AJ24" s="150" t="s">
        <v>2763</v>
      </c>
      <c r="AK24" s="149"/>
      <c r="AL24" s="149" t="s">
        <v>2760</v>
      </c>
      <c r="AM24" s="151" t="s">
        <v>677</v>
      </c>
      <c r="AN24" s="151"/>
      <c r="AO24" s="151"/>
      <c r="AP24" s="151"/>
      <c r="AQ24" s="151"/>
      <c r="AR24" s="151" t="s">
        <v>685</v>
      </c>
      <c r="AS24" s="151"/>
      <c r="AT24" s="151"/>
      <c r="AU24" s="151"/>
      <c r="AV24" s="151"/>
      <c r="AW24" s="153"/>
      <c r="AX24" s="154"/>
      <c r="AY24" s="155"/>
      <c r="AZ24" s="155"/>
      <c r="BA24" s="155"/>
      <c r="BB24" s="155"/>
      <c r="BC24" s="155"/>
      <c r="BD24" s="155"/>
      <c r="BE24" s="155"/>
    </row>
    <row r="25" spans="1:57" s="156" customFormat="1" ht="58">
      <c r="A25" s="146" t="s">
        <v>261</v>
      </c>
      <c r="B25" s="129">
        <v>23</v>
      </c>
      <c r="C25" s="147" t="s">
        <v>699</v>
      </c>
      <c r="D25" s="147" t="s">
        <v>3095</v>
      </c>
      <c r="E25" s="149" t="s">
        <v>3042</v>
      </c>
      <c r="F25" s="324" t="s">
        <v>3032</v>
      </c>
      <c r="G25" s="149" t="s">
        <v>3035</v>
      </c>
      <c r="H25" s="149" t="s">
        <v>697</v>
      </c>
      <c r="I25" s="149" t="s">
        <v>698</v>
      </c>
      <c r="J25" s="147" t="s">
        <v>815</v>
      </c>
      <c r="K25" s="147" t="s">
        <v>815</v>
      </c>
      <c r="L25" s="147" t="s">
        <v>665</v>
      </c>
      <c r="M25" s="147" t="s">
        <v>193</v>
      </c>
      <c r="N25" s="147">
        <v>50</v>
      </c>
      <c r="O25" s="147" t="s">
        <v>665</v>
      </c>
      <c r="P25" s="147" t="s">
        <v>665</v>
      </c>
      <c r="Q25" s="147">
        <v>8</v>
      </c>
      <c r="R25" s="174">
        <v>55</v>
      </c>
      <c r="S25" s="174">
        <v>52</v>
      </c>
      <c r="T25" s="147">
        <v>4</v>
      </c>
      <c r="U25" s="149" t="s">
        <v>670</v>
      </c>
      <c r="V25" s="149" t="s">
        <v>671</v>
      </c>
      <c r="W25" s="149" t="s">
        <v>665</v>
      </c>
      <c r="X25" s="149" t="s">
        <v>665</v>
      </c>
      <c r="Y25" s="149" t="s">
        <v>3049</v>
      </c>
      <c r="Z25" s="149" t="s">
        <v>3049</v>
      </c>
      <c r="AA25" s="147">
        <v>1</v>
      </c>
      <c r="AB25" s="149" t="s">
        <v>665</v>
      </c>
      <c r="AC25" s="149" t="s">
        <v>665</v>
      </c>
      <c r="AD25" s="149" t="s">
        <v>665</v>
      </c>
      <c r="AE25" s="149" t="s">
        <v>665</v>
      </c>
      <c r="AF25" s="147">
        <v>0</v>
      </c>
      <c r="AG25" s="147">
        <v>0</v>
      </c>
      <c r="AH25" s="147">
        <v>15</v>
      </c>
      <c r="AI25" s="147" t="s">
        <v>3035</v>
      </c>
      <c r="AJ25" s="150" t="s">
        <v>3036</v>
      </c>
      <c r="AK25" s="149"/>
      <c r="AL25" s="149" t="s">
        <v>3037</v>
      </c>
      <c r="AM25" s="151" t="s">
        <v>3038</v>
      </c>
      <c r="AN25" s="151"/>
      <c r="AO25" s="151"/>
      <c r="AP25" s="151"/>
      <c r="AQ25" s="151"/>
      <c r="AR25" s="151"/>
      <c r="AS25" s="151"/>
      <c r="AT25" s="151"/>
      <c r="AU25" s="151"/>
      <c r="AV25" s="151"/>
      <c r="AW25" s="153"/>
      <c r="AX25" s="154"/>
      <c r="AY25" s="155"/>
      <c r="AZ25" s="155"/>
      <c r="BA25" s="155"/>
      <c r="BB25" s="155"/>
      <c r="BC25" s="155"/>
      <c r="BD25" s="155"/>
      <c r="BE25" s="155"/>
    </row>
    <row r="26" spans="1:57" s="156" customFormat="1" ht="44">
      <c r="A26" s="146" t="s">
        <v>261</v>
      </c>
      <c r="B26" s="129">
        <v>24</v>
      </c>
      <c r="C26" s="147" t="s">
        <v>699</v>
      </c>
      <c r="D26" s="147" t="s">
        <v>3095</v>
      </c>
      <c r="E26" s="149" t="s">
        <v>3031</v>
      </c>
      <c r="F26" s="324" t="s">
        <v>3033</v>
      </c>
      <c r="G26" s="149" t="s">
        <v>3035</v>
      </c>
      <c r="H26" s="149" t="s">
        <v>697</v>
      </c>
      <c r="I26" s="149" t="s">
        <v>698</v>
      </c>
      <c r="J26" s="147" t="s">
        <v>815</v>
      </c>
      <c r="K26" s="147" t="s">
        <v>815</v>
      </c>
      <c r="L26" s="147" t="s">
        <v>665</v>
      </c>
      <c r="M26" s="147" t="s">
        <v>193</v>
      </c>
      <c r="N26" s="147">
        <v>50</v>
      </c>
      <c r="O26" s="147" t="s">
        <v>665</v>
      </c>
      <c r="P26" s="147" t="s">
        <v>665</v>
      </c>
      <c r="Q26" s="147">
        <v>8</v>
      </c>
      <c r="R26" s="174">
        <v>51</v>
      </c>
      <c r="S26" s="174">
        <v>48</v>
      </c>
      <c r="T26" s="147">
        <v>4</v>
      </c>
      <c r="U26" s="149" t="s">
        <v>670</v>
      </c>
      <c r="V26" s="149" t="s">
        <v>671</v>
      </c>
      <c r="W26" s="149" t="s">
        <v>665</v>
      </c>
      <c r="X26" s="149" t="s">
        <v>665</v>
      </c>
      <c r="Y26" s="149" t="s">
        <v>3049</v>
      </c>
      <c r="Z26" s="149" t="s">
        <v>3049</v>
      </c>
      <c r="AA26" s="147">
        <v>1</v>
      </c>
      <c r="AB26" s="149" t="s">
        <v>665</v>
      </c>
      <c r="AC26" s="149" t="s">
        <v>665</v>
      </c>
      <c r="AD26" s="149" t="s">
        <v>665</v>
      </c>
      <c r="AE26" s="149" t="s">
        <v>665</v>
      </c>
      <c r="AF26" s="147">
        <v>0</v>
      </c>
      <c r="AG26" s="147">
        <v>0</v>
      </c>
      <c r="AH26" s="147">
        <v>15</v>
      </c>
      <c r="AI26" s="147" t="s">
        <v>3035</v>
      </c>
      <c r="AJ26" s="150" t="s">
        <v>3036</v>
      </c>
      <c r="AK26" s="149"/>
      <c r="AL26" s="149" t="s">
        <v>3037</v>
      </c>
      <c r="AM26" s="151" t="s">
        <v>3038</v>
      </c>
      <c r="AN26" s="151"/>
      <c r="AO26" s="151"/>
      <c r="AP26" s="151"/>
      <c r="AQ26" s="151"/>
      <c r="AR26" s="151"/>
      <c r="AS26" s="151"/>
      <c r="AT26" s="151"/>
      <c r="AU26" s="151"/>
      <c r="AV26" s="151"/>
      <c r="AW26" s="153"/>
      <c r="AX26" s="154"/>
      <c r="AY26" s="155"/>
      <c r="AZ26" s="155"/>
      <c r="BA26" s="155"/>
      <c r="BB26" s="155"/>
      <c r="BC26" s="155"/>
      <c r="BD26" s="155"/>
      <c r="BE26" s="155"/>
    </row>
    <row r="27" spans="1:57" s="156" customFormat="1" ht="58">
      <c r="A27" s="146" t="s">
        <v>261</v>
      </c>
      <c r="B27" s="129">
        <v>25</v>
      </c>
      <c r="C27" s="147" t="s">
        <v>699</v>
      </c>
      <c r="D27" s="147" t="s">
        <v>3095</v>
      </c>
      <c r="E27" s="149" t="s">
        <v>3030</v>
      </c>
      <c r="F27" s="324" t="s">
        <v>3034</v>
      </c>
      <c r="G27" s="149" t="s">
        <v>3035</v>
      </c>
      <c r="H27" s="149" t="s">
        <v>697</v>
      </c>
      <c r="I27" s="149" t="s">
        <v>698</v>
      </c>
      <c r="J27" s="147" t="s">
        <v>815</v>
      </c>
      <c r="K27" s="147" t="s">
        <v>815</v>
      </c>
      <c r="L27" s="147" t="s">
        <v>665</v>
      </c>
      <c r="M27" s="147" t="s">
        <v>193</v>
      </c>
      <c r="N27" s="147">
        <v>50</v>
      </c>
      <c r="O27" s="147" t="s">
        <v>665</v>
      </c>
      <c r="P27" s="147" t="s">
        <v>665</v>
      </c>
      <c r="Q27" s="147">
        <v>8</v>
      </c>
      <c r="R27" s="174">
        <v>63</v>
      </c>
      <c r="S27" s="174">
        <v>60</v>
      </c>
      <c r="T27" s="147">
        <v>4</v>
      </c>
      <c r="U27" s="149" t="s">
        <v>670</v>
      </c>
      <c r="V27" s="149" t="s">
        <v>671</v>
      </c>
      <c r="W27" s="149" t="s">
        <v>665</v>
      </c>
      <c r="X27" s="149" t="s">
        <v>665</v>
      </c>
      <c r="Y27" s="149" t="s">
        <v>3049</v>
      </c>
      <c r="Z27" s="149" t="s">
        <v>3049</v>
      </c>
      <c r="AA27" s="147">
        <v>1</v>
      </c>
      <c r="AB27" s="149" t="s">
        <v>665</v>
      </c>
      <c r="AC27" s="149" t="s">
        <v>665</v>
      </c>
      <c r="AD27" s="149" t="s">
        <v>665</v>
      </c>
      <c r="AE27" s="149" t="s">
        <v>665</v>
      </c>
      <c r="AF27" s="147">
        <v>0</v>
      </c>
      <c r="AG27" s="147">
        <v>0</v>
      </c>
      <c r="AH27" s="147">
        <v>15</v>
      </c>
      <c r="AI27" s="147" t="s">
        <v>3035</v>
      </c>
      <c r="AJ27" s="150" t="s">
        <v>3036</v>
      </c>
      <c r="AK27" s="149"/>
      <c r="AL27" s="149" t="s">
        <v>3037</v>
      </c>
      <c r="AM27" s="151" t="s">
        <v>3038</v>
      </c>
      <c r="AN27" s="151"/>
      <c r="AO27" s="151"/>
      <c r="AP27" s="151"/>
      <c r="AQ27" s="151"/>
      <c r="AR27" s="151"/>
      <c r="AS27" s="151"/>
      <c r="AT27" s="151"/>
      <c r="AU27" s="151"/>
      <c r="AV27" s="151"/>
      <c r="AW27" s="153"/>
      <c r="AX27" s="154"/>
      <c r="AY27" s="155"/>
      <c r="AZ27" s="155"/>
      <c r="BA27" s="155"/>
      <c r="BB27" s="155"/>
      <c r="BC27" s="155"/>
      <c r="BD27" s="155"/>
      <c r="BE27" s="155"/>
    </row>
    <row r="28" spans="1:57" s="156" customFormat="1" ht="25">
      <c r="A28" s="146" t="s">
        <v>6</v>
      </c>
      <c r="B28" s="129">
        <v>26</v>
      </c>
      <c r="C28" s="147" t="s">
        <v>191</v>
      </c>
      <c r="D28" s="147" t="s">
        <v>3065</v>
      </c>
      <c r="E28" s="151" t="s">
        <v>748</v>
      </c>
      <c r="F28" s="147" t="s">
        <v>749</v>
      </c>
      <c r="G28" s="149" t="s">
        <v>665</v>
      </c>
      <c r="H28" s="149" t="s">
        <v>722</v>
      </c>
      <c r="I28" s="149" t="s">
        <v>723</v>
      </c>
      <c r="J28" s="147" t="s">
        <v>724</v>
      </c>
      <c r="K28" s="147" t="s">
        <v>724</v>
      </c>
      <c r="L28" s="147" t="s">
        <v>725</v>
      </c>
      <c r="M28" s="147" t="s">
        <v>725</v>
      </c>
      <c r="N28" s="147">
        <v>50</v>
      </c>
      <c r="O28" s="147" t="s">
        <v>725</v>
      </c>
      <c r="P28" s="147" t="s">
        <v>725</v>
      </c>
      <c r="Q28" s="147">
        <v>8</v>
      </c>
      <c r="R28" s="147">
        <v>59</v>
      </c>
      <c r="S28" s="147">
        <v>56</v>
      </c>
      <c r="T28" s="147">
        <v>4</v>
      </c>
      <c r="U28" s="149" t="s">
        <v>726</v>
      </c>
      <c r="V28" s="149" t="s">
        <v>727</v>
      </c>
      <c r="W28" s="147" t="s">
        <v>725</v>
      </c>
      <c r="X28" s="147">
        <v>500</v>
      </c>
      <c r="Y28" s="147" t="s">
        <v>728</v>
      </c>
      <c r="Z28" s="147" t="s">
        <v>194</v>
      </c>
      <c r="AA28" s="147">
        <v>1</v>
      </c>
      <c r="AB28" s="147" t="s">
        <v>725</v>
      </c>
      <c r="AC28" s="147" t="s">
        <v>725</v>
      </c>
      <c r="AD28" s="147" t="s">
        <v>725</v>
      </c>
      <c r="AE28" s="147" t="s">
        <v>725</v>
      </c>
      <c r="AF28" s="147">
        <v>0</v>
      </c>
      <c r="AG28" s="147">
        <v>0</v>
      </c>
      <c r="AH28" s="147">
        <v>15</v>
      </c>
      <c r="AI28" s="147" t="s">
        <v>684</v>
      </c>
      <c r="AJ28" s="150" t="s">
        <v>2123</v>
      </c>
      <c r="AK28" s="149" t="s">
        <v>684</v>
      </c>
      <c r="AL28" s="149" t="s">
        <v>729</v>
      </c>
      <c r="AM28" s="151" t="s">
        <v>685</v>
      </c>
      <c r="AN28" s="151"/>
      <c r="AO28" s="151"/>
      <c r="AP28" s="151"/>
      <c r="AQ28" s="151"/>
      <c r="AR28" s="151" t="s">
        <v>685</v>
      </c>
      <c r="AS28" s="151"/>
      <c r="AT28" s="151"/>
      <c r="AU28" s="151"/>
      <c r="AV28" s="151"/>
      <c r="AW28" s="153"/>
      <c r="AX28" s="154"/>
      <c r="AY28" s="155"/>
      <c r="AZ28" s="155"/>
      <c r="BA28" s="155"/>
      <c r="BB28" s="155"/>
      <c r="BC28" s="155"/>
      <c r="BD28" s="155"/>
      <c r="BE28" s="155"/>
    </row>
    <row r="29" spans="1:57" s="156" customFormat="1" ht="44">
      <c r="A29" s="146" t="s">
        <v>6</v>
      </c>
      <c r="B29" s="129">
        <v>27</v>
      </c>
      <c r="C29" s="147" t="s">
        <v>191</v>
      </c>
      <c r="D29" s="147" t="s">
        <v>3097</v>
      </c>
      <c r="E29" s="149" t="s">
        <v>750</v>
      </c>
      <c r="F29" s="149" t="s">
        <v>664</v>
      </c>
      <c r="G29" s="149" t="s">
        <v>665</v>
      </c>
      <c r="H29" s="149" t="s">
        <v>751</v>
      </c>
      <c r="I29" s="149" t="s">
        <v>752</v>
      </c>
      <c r="J29" s="147" t="s">
        <v>668</v>
      </c>
      <c r="K29" s="147" t="s">
        <v>668</v>
      </c>
      <c r="L29" s="147" t="s">
        <v>669</v>
      </c>
      <c r="M29" s="147" t="s">
        <v>669</v>
      </c>
      <c r="N29" s="147">
        <v>100</v>
      </c>
      <c r="O29" s="147" t="s">
        <v>669</v>
      </c>
      <c r="P29" s="147" t="s">
        <v>669</v>
      </c>
      <c r="Q29" s="147">
        <v>8</v>
      </c>
      <c r="R29" s="147">
        <v>7</v>
      </c>
      <c r="S29" s="147">
        <v>0</v>
      </c>
      <c r="T29" s="147">
        <v>8</v>
      </c>
      <c r="U29" s="149" t="s">
        <v>670</v>
      </c>
      <c r="V29" s="149" t="s">
        <v>671</v>
      </c>
      <c r="W29" s="149" t="s">
        <v>665</v>
      </c>
      <c r="X29" s="149" t="s">
        <v>665</v>
      </c>
      <c r="Y29" s="149" t="s">
        <v>672</v>
      </c>
      <c r="Z29" s="147" t="s">
        <v>194</v>
      </c>
      <c r="AA29" s="149">
        <v>1</v>
      </c>
      <c r="AB29" s="149" t="s">
        <v>665</v>
      </c>
      <c r="AC29" s="149" t="s">
        <v>665</v>
      </c>
      <c r="AD29" s="149" t="s">
        <v>665</v>
      </c>
      <c r="AE29" s="149" t="s">
        <v>665</v>
      </c>
      <c r="AF29" s="149">
        <v>0</v>
      </c>
      <c r="AG29" s="149">
        <v>0</v>
      </c>
      <c r="AH29" s="149">
        <v>255</v>
      </c>
      <c r="AI29" s="149" t="s">
        <v>673</v>
      </c>
      <c r="AJ29" s="150" t="s">
        <v>2121</v>
      </c>
      <c r="AK29" s="149" t="s">
        <v>665</v>
      </c>
      <c r="AL29" s="149" t="s">
        <v>665</v>
      </c>
      <c r="AM29" s="151"/>
      <c r="AN29" s="151"/>
      <c r="AO29" s="151"/>
      <c r="AP29" s="151"/>
      <c r="AQ29" s="151"/>
      <c r="AR29" s="151"/>
      <c r="AS29" s="151" t="s">
        <v>674</v>
      </c>
      <c r="AT29" s="151"/>
      <c r="AU29" s="151"/>
      <c r="AV29" s="151"/>
      <c r="AW29" s="153"/>
      <c r="AX29" s="154"/>
      <c r="AY29" s="155"/>
      <c r="AZ29" s="155"/>
      <c r="BA29" s="155"/>
      <c r="BB29" s="155"/>
      <c r="BC29" s="155"/>
      <c r="BD29" s="155"/>
      <c r="BE29" s="155"/>
    </row>
    <row r="30" spans="1:57" s="156" customFormat="1" ht="114">
      <c r="A30" s="146" t="s">
        <v>6</v>
      </c>
      <c r="B30" s="129">
        <v>28</v>
      </c>
      <c r="C30" s="147" t="s">
        <v>191</v>
      </c>
      <c r="D30" s="149" t="s">
        <v>3098</v>
      </c>
      <c r="E30" s="149" t="s">
        <v>2352</v>
      </c>
      <c r="F30" s="149" t="s">
        <v>2351</v>
      </c>
      <c r="G30" s="149" t="s">
        <v>665</v>
      </c>
      <c r="H30" s="149" t="s">
        <v>751</v>
      </c>
      <c r="I30" s="149" t="s">
        <v>752</v>
      </c>
      <c r="J30" s="149" t="s">
        <v>192</v>
      </c>
      <c r="K30" s="149" t="s">
        <v>192</v>
      </c>
      <c r="L30" s="149" t="s">
        <v>665</v>
      </c>
      <c r="M30" s="149" t="s">
        <v>665</v>
      </c>
      <c r="N30" s="149">
        <v>100</v>
      </c>
      <c r="O30" s="149" t="s">
        <v>665</v>
      </c>
      <c r="P30" s="147" t="s">
        <v>665</v>
      </c>
      <c r="Q30" s="325">
        <v>8</v>
      </c>
      <c r="R30" s="149">
        <v>15</v>
      </c>
      <c r="S30" s="149">
        <v>12</v>
      </c>
      <c r="T30" s="149">
        <v>4</v>
      </c>
      <c r="U30" s="149" t="s">
        <v>240</v>
      </c>
      <c r="V30" s="149" t="s">
        <v>671</v>
      </c>
      <c r="W30" s="147" t="s">
        <v>665</v>
      </c>
      <c r="X30" s="149" t="s">
        <v>665</v>
      </c>
      <c r="Y30" s="149" t="s">
        <v>2350</v>
      </c>
      <c r="Z30" s="149" t="s">
        <v>665</v>
      </c>
      <c r="AA30" s="149">
        <v>1</v>
      </c>
      <c r="AB30" s="149" t="s">
        <v>665</v>
      </c>
      <c r="AC30" s="149" t="s">
        <v>665</v>
      </c>
      <c r="AD30" s="149" t="s">
        <v>665</v>
      </c>
      <c r="AE30" s="149" t="s">
        <v>665</v>
      </c>
      <c r="AF30" s="149">
        <v>0</v>
      </c>
      <c r="AG30" s="149">
        <v>0</v>
      </c>
      <c r="AH30" s="149">
        <v>8</v>
      </c>
      <c r="AI30" s="149" t="s">
        <v>673</v>
      </c>
      <c r="AJ30" s="162" t="s">
        <v>2373</v>
      </c>
      <c r="AK30" s="151" t="s">
        <v>703</v>
      </c>
      <c r="AL30" s="149" t="s">
        <v>590</v>
      </c>
      <c r="AM30" s="151" t="s">
        <v>705</v>
      </c>
      <c r="AN30" s="151"/>
      <c r="AO30" s="151" t="s">
        <v>705</v>
      </c>
      <c r="AP30" s="151" t="s">
        <v>705</v>
      </c>
      <c r="AQ30" s="151"/>
      <c r="AR30" s="151"/>
      <c r="AS30" s="151" t="s">
        <v>705</v>
      </c>
      <c r="AT30" s="151"/>
      <c r="AU30" s="151"/>
      <c r="AV30" s="151"/>
      <c r="AW30" s="153"/>
      <c r="AX30" s="154"/>
      <c r="AY30" s="155"/>
      <c r="AZ30" s="155"/>
      <c r="BA30" s="155"/>
      <c r="BB30" s="155"/>
      <c r="BC30" s="155"/>
      <c r="BD30" s="155"/>
      <c r="BE30" s="155"/>
    </row>
    <row r="31" spans="1:57" s="155" customFormat="1" ht="114">
      <c r="A31" s="146" t="s">
        <v>6</v>
      </c>
      <c r="B31" s="129">
        <v>29</v>
      </c>
      <c r="C31" s="147" t="s">
        <v>191</v>
      </c>
      <c r="D31" s="147" t="s">
        <v>3095</v>
      </c>
      <c r="E31" s="149" t="s">
        <v>753</v>
      </c>
      <c r="F31" s="149" t="s">
        <v>754</v>
      </c>
      <c r="G31" s="149" t="s">
        <v>665</v>
      </c>
      <c r="H31" s="149" t="s">
        <v>751</v>
      </c>
      <c r="I31" s="149" t="s">
        <v>752</v>
      </c>
      <c r="J31" s="147" t="s">
        <v>668</v>
      </c>
      <c r="K31" s="147" t="s">
        <v>192</v>
      </c>
      <c r="L31" s="147" t="s">
        <v>669</v>
      </c>
      <c r="M31" s="147" t="s">
        <v>669</v>
      </c>
      <c r="N31" s="147">
        <v>100</v>
      </c>
      <c r="O31" s="147" t="s">
        <v>665</v>
      </c>
      <c r="P31" s="147" t="s">
        <v>665</v>
      </c>
      <c r="Q31" s="147">
        <v>8</v>
      </c>
      <c r="R31" s="149">
        <v>23</v>
      </c>
      <c r="S31" s="149">
        <v>21</v>
      </c>
      <c r="T31" s="149">
        <v>3</v>
      </c>
      <c r="U31" s="149" t="s">
        <v>755</v>
      </c>
      <c r="V31" s="149" t="s">
        <v>756</v>
      </c>
      <c r="W31" s="149" t="s">
        <v>669</v>
      </c>
      <c r="X31" s="149" t="s">
        <v>669</v>
      </c>
      <c r="Y31" s="149" t="s">
        <v>679</v>
      </c>
      <c r="Z31" s="147" t="s">
        <v>679</v>
      </c>
      <c r="AA31" s="149">
        <v>1</v>
      </c>
      <c r="AB31" s="149" t="s">
        <v>669</v>
      </c>
      <c r="AC31" s="149" t="s">
        <v>669</v>
      </c>
      <c r="AD31" s="149" t="s">
        <v>669</v>
      </c>
      <c r="AE31" s="149" t="s">
        <v>669</v>
      </c>
      <c r="AF31" s="149">
        <v>0</v>
      </c>
      <c r="AG31" s="149">
        <v>0</v>
      </c>
      <c r="AH31" s="149">
        <v>7</v>
      </c>
      <c r="AI31" s="149" t="s">
        <v>665</v>
      </c>
      <c r="AJ31" s="162" t="s">
        <v>757</v>
      </c>
      <c r="AK31" s="149" t="s">
        <v>665</v>
      </c>
      <c r="AL31" s="157" t="s">
        <v>1925</v>
      </c>
      <c r="AM31" s="151" t="s">
        <v>677</v>
      </c>
      <c r="AN31" s="151"/>
      <c r="AO31" s="151"/>
      <c r="AP31" s="151"/>
      <c r="AQ31" s="151"/>
      <c r="AR31" s="151"/>
      <c r="AS31" s="151"/>
      <c r="AT31" s="151"/>
      <c r="AU31" s="151"/>
      <c r="AV31" s="151"/>
      <c r="AW31" s="153"/>
      <c r="AX31" s="154"/>
    </row>
    <row r="32" spans="1:57" s="458" customFormat="1" ht="58">
      <c r="A32" s="451" t="s">
        <v>6</v>
      </c>
      <c r="B32" s="452">
        <v>30</v>
      </c>
      <c r="C32" s="452" t="s">
        <v>191</v>
      </c>
      <c r="D32" s="452" t="s">
        <v>3095</v>
      </c>
      <c r="E32" s="450" t="s">
        <v>758</v>
      </c>
      <c r="F32" s="450" t="s">
        <v>759</v>
      </c>
      <c r="G32" s="450" t="s">
        <v>665</v>
      </c>
      <c r="H32" s="450" t="s">
        <v>751</v>
      </c>
      <c r="I32" s="450" t="s">
        <v>752</v>
      </c>
      <c r="J32" s="452" t="s">
        <v>668</v>
      </c>
      <c r="K32" s="452" t="s">
        <v>192</v>
      </c>
      <c r="L32" s="452" t="s">
        <v>669</v>
      </c>
      <c r="M32" s="452" t="s">
        <v>669</v>
      </c>
      <c r="N32" s="452">
        <v>100</v>
      </c>
      <c r="O32" s="452" t="s">
        <v>669</v>
      </c>
      <c r="P32" s="452" t="s">
        <v>669</v>
      </c>
      <c r="Q32" s="452">
        <v>8</v>
      </c>
      <c r="R32" s="450">
        <v>20</v>
      </c>
      <c r="S32" s="450">
        <v>19</v>
      </c>
      <c r="T32" s="450">
        <v>2</v>
      </c>
      <c r="U32" s="450" t="s">
        <v>755</v>
      </c>
      <c r="V32" s="450" t="s">
        <v>756</v>
      </c>
      <c r="W32" s="450" t="s">
        <v>669</v>
      </c>
      <c r="X32" s="450" t="s">
        <v>669</v>
      </c>
      <c r="Y32" s="453" t="s">
        <v>1913</v>
      </c>
      <c r="Z32" s="454" t="s">
        <v>1913</v>
      </c>
      <c r="AA32" s="450">
        <v>1</v>
      </c>
      <c r="AB32" s="450" t="s">
        <v>669</v>
      </c>
      <c r="AC32" s="450" t="s">
        <v>669</v>
      </c>
      <c r="AD32" s="450" t="s">
        <v>669</v>
      </c>
      <c r="AE32" s="450" t="s">
        <v>669</v>
      </c>
      <c r="AF32" s="450">
        <v>0</v>
      </c>
      <c r="AG32" s="450">
        <v>0</v>
      </c>
      <c r="AH32" s="450">
        <v>3</v>
      </c>
      <c r="AI32" s="450" t="s">
        <v>665</v>
      </c>
      <c r="AJ32" s="455" t="s">
        <v>760</v>
      </c>
      <c r="AK32" s="450" t="s">
        <v>669</v>
      </c>
      <c r="AL32" s="450" t="s">
        <v>761</v>
      </c>
      <c r="AM32" s="285" t="s">
        <v>705</v>
      </c>
      <c r="AN32" s="285"/>
      <c r="AO32" s="285"/>
      <c r="AP32" s="285"/>
      <c r="AQ32" s="285"/>
      <c r="AR32" s="285"/>
      <c r="AS32" s="285"/>
      <c r="AT32" s="285"/>
      <c r="AU32" s="285"/>
      <c r="AV32" s="285"/>
      <c r="AW32" s="456"/>
      <c r="AX32" s="457"/>
    </row>
    <row r="33" spans="1:57" s="155" customFormat="1" ht="44">
      <c r="A33" s="146" t="s">
        <v>6</v>
      </c>
      <c r="B33" s="129">
        <v>31</v>
      </c>
      <c r="C33" s="147" t="s">
        <v>191</v>
      </c>
      <c r="D33" s="147" t="s">
        <v>3095</v>
      </c>
      <c r="E33" s="149" t="s">
        <v>3039</v>
      </c>
      <c r="F33" s="162" t="s">
        <v>3040</v>
      </c>
      <c r="G33" s="149" t="s">
        <v>665</v>
      </c>
      <c r="H33" s="149" t="s">
        <v>751</v>
      </c>
      <c r="I33" s="149" t="s">
        <v>752</v>
      </c>
      <c r="J33" s="147" t="s">
        <v>668</v>
      </c>
      <c r="K33" s="147" t="s">
        <v>192</v>
      </c>
      <c r="L33" s="147" t="s">
        <v>193</v>
      </c>
      <c r="M33" s="147" t="s">
        <v>193</v>
      </c>
      <c r="N33" s="147">
        <v>100</v>
      </c>
      <c r="O33" s="147" t="s">
        <v>193</v>
      </c>
      <c r="P33" s="147" t="s">
        <v>193</v>
      </c>
      <c r="Q33" s="147">
        <v>8</v>
      </c>
      <c r="R33" s="149">
        <v>18</v>
      </c>
      <c r="S33" s="149">
        <v>16</v>
      </c>
      <c r="T33" s="149">
        <v>3</v>
      </c>
      <c r="U33" s="149" t="s">
        <v>755</v>
      </c>
      <c r="V33" s="149" t="s">
        <v>756</v>
      </c>
      <c r="W33" s="149" t="s">
        <v>193</v>
      </c>
      <c r="X33" s="149" t="s">
        <v>193</v>
      </c>
      <c r="Y33" s="157" t="s">
        <v>3050</v>
      </c>
      <c r="Z33" s="148" t="s">
        <v>3050</v>
      </c>
      <c r="AA33" s="149">
        <v>1</v>
      </c>
      <c r="AB33" s="149" t="s">
        <v>193</v>
      </c>
      <c r="AC33" s="149" t="s">
        <v>193</v>
      </c>
      <c r="AD33" s="149" t="s">
        <v>193</v>
      </c>
      <c r="AE33" s="149" t="s">
        <v>193</v>
      </c>
      <c r="AF33" s="149">
        <v>0</v>
      </c>
      <c r="AG33" s="149">
        <v>0</v>
      </c>
      <c r="AH33" s="149">
        <v>7</v>
      </c>
      <c r="AI33" s="149" t="s">
        <v>665</v>
      </c>
      <c r="AJ33" s="150" t="s">
        <v>3051</v>
      </c>
      <c r="AK33" s="149"/>
      <c r="AL33" s="149" t="s">
        <v>3041</v>
      </c>
      <c r="AM33" s="151" t="s">
        <v>3038</v>
      </c>
      <c r="AN33" s="151"/>
      <c r="AO33" s="151"/>
      <c r="AP33" s="151"/>
      <c r="AQ33" s="151"/>
      <c r="AR33" s="151"/>
      <c r="AS33" s="151"/>
      <c r="AT33" s="151"/>
      <c r="AU33" s="151"/>
      <c r="AV33" s="151"/>
      <c r="AW33" s="153"/>
      <c r="AX33" s="154"/>
    </row>
    <row r="34" spans="1:57" s="156" customFormat="1" ht="44">
      <c r="A34" s="146" t="s">
        <v>6</v>
      </c>
      <c r="B34" s="129">
        <v>32</v>
      </c>
      <c r="C34" s="147" t="s">
        <v>191</v>
      </c>
      <c r="D34" s="147" t="s">
        <v>3085</v>
      </c>
      <c r="E34" s="149" t="s">
        <v>762</v>
      </c>
      <c r="F34" s="149" t="s">
        <v>763</v>
      </c>
      <c r="G34" s="149" t="s">
        <v>665</v>
      </c>
      <c r="H34" s="149" t="s">
        <v>203</v>
      </c>
      <c r="I34" s="149" t="s">
        <v>752</v>
      </c>
      <c r="J34" s="147" t="s">
        <v>668</v>
      </c>
      <c r="K34" s="147" t="s">
        <v>192</v>
      </c>
      <c r="L34" s="147" t="s">
        <v>669</v>
      </c>
      <c r="M34" s="147" t="s">
        <v>669</v>
      </c>
      <c r="N34" s="147">
        <v>100</v>
      </c>
      <c r="O34" s="147" t="s">
        <v>669</v>
      </c>
      <c r="P34" s="147" t="s">
        <v>669</v>
      </c>
      <c r="Q34" s="147">
        <v>8</v>
      </c>
      <c r="R34" s="149">
        <v>31</v>
      </c>
      <c r="S34" s="149">
        <v>24</v>
      </c>
      <c r="T34" s="149">
        <v>8</v>
      </c>
      <c r="U34" s="149" t="s">
        <v>670</v>
      </c>
      <c r="V34" s="149" t="s">
        <v>671</v>
      </c>
      <c r="W34" s="149" t="s">
        <v>665</v>
      </c>
      <c r="X34" s="149" t="s">
        <v>665</v>
      </c>
      <c r="Y34" s="149" t="s">
        <v>672</v>
      </c>
      <c r="Z34" s="147" t="s">
        <v>194</v>
      </c>
      <c r="AA34" s="149">
        <v>0.125</v>
      </c>
      <c r="AB34" s="149" t="s">
        <v>665</v>
      </c>
      <c r="AC34" s="149" t="s">
        <v>665</v>
      </c>
      <c r="AD34" s="149" t="s">
        <v>665</v>
      </c>
      <c r="AE34" s="149" t="s">
        <v>665</v>
      </c>
      <c r="AF34" s="149">
        <v>10</v>
      </c>
      <c r="AG34" s="149">
        <v>10</v>
      </c>
      <c r="AH34" s="149">
        <v>16</v>
      </c>
      <c r="AI34" s="149" t="s">
        <v>204</v>
      </c>
      <c r="AJ34" s="162" t="s">
        <v>2125</v>
      </c>
      <c r="AK34" s="149" t="s">
        <v>665</v>
      </c>
      <c r="AL34" s="149" t="s">
        <v>590</v>
      </c>
      <c r="AM34" s="151" t="s">
        <v>2717</v>
      </c>
      <c r="AN34" s="151"/>
      <c r="AO34" s="151"/>
      <c r="AP34" s="151"/>
      <c r="AQ34" s="151"/>
      <c r="AR34" s="151"/>
      <c r="AS34" s="151" t="s">
        <v>677</v>
      </c>
      <c r="AT34" s="151"/>
      <c r="AU34" s="151"/>
      <c r="AV34" s="151"/>
      <c r="AW34" s="153"/>
      <c r="AX34" s="154"/>
      <c r="AY34" s="155"/>
      <c r="AZ34" s="155"/>
      <c r="BA34" s="155"/>
      <c r="BB34" s="155"/>
      <c r="BC34" s="155"/>
      <c r="BD34" s="155"/>
      <c r="BE34" s="155"/>
    </row>
    <row r="35" spans="1:57" s="466" customFormat="1" ht="58">
      <c r="A35" s="451" t="s">
        <v>6</v>
      </c>
      <c r="B35" s="452">
        <v>33</v>
      </c>
      <c r="C35" s="452" t="s">
        <v>699</v>
      </c>
      <c r="D35" s="452" t="s">
        <v>3099</v>
      </c>
      <c r="E35" s="453" t="s">
        <v>1997</v>
      </c>
      <c r="F35" s="450" t="s">
        <v>764</v>
      </c>
      <c r="G35" s="450" t="s">
        <v>665</v>
      </c>
      <c r="H35" s="450" t="s">
        <v>203</v>
      </c>
      <c r="I35" s="450" t="s">
        <v>765</v>
      </c>
      <c r="J35" s="452" t="s">
        <v>711</v>
      </c>
      <c r="K35" s="452" t="s">
        <v>192</v>
      </c>
      <c r="L35" s="452" t="s">
        <v>712</v>
      </c>
      <c r="M35" s="452" t="s">
        <v>712</v>
      </c>
      <c r="N35" s="452">
        <v>100</v>
      </c>
      <c r="O35" s="452" t="s">
        <v>712</v>
      </c>
      <c r="P35" s="452" t="s">
        <v>712</v>
      </c>
      <c r="Q35" s="452">
        <v>8</v>
      </c>
      <c r="R35" s="460">
        <v>39</v>
      </c>
      <c r="S35" s="460">
        <v>38</v>
      </c>
      <c r="T35" s="452">
        <v>2</v>
      </c>
      <c r="U35" s="450" t="s">
        <v>713</v>
      </c>
      <c r="V35" s="450" t="s">
        <v>714</v>
      </c>
      <c r="W35" s="450" t="s">
        <v>703</v>
      </c>
      <c r="X35" s="450" t="s">
        <v>703</v>
      </c>
      <c r="Y35" s="452" t="s">
        <v>715</v>
      </c>
      <c r="Z35" s="452" t="s">
        <v>703</v>
      </c>
      <c r="AA35" s="452">
        <v>1</v>
      </c>
      <c r="AB35" s="450" t="s">
        <v>703</v>
      </c>
      <c r="AC35" s="450" t="s">
        <v>703</v>
      </c>
      <c r="AD35" s="450" t="s">
        <v>703</v>
      </c>
      <c r="AE35" s="450" t="s">
        <v>703</v>
      </c>
      <c r="AF35" s="452">
        <v>0</v>
      </c>
      <c r="AG35" s="452">
        <v>0</v>
      </c>
      <c r="AH35" s="452">
        <v>3</v>
      </c>
      <c r="AI35" s="452" t="s">
        <v>712</v>
      </c>
      <c r="AJ35" s="455" t="s">
        <v>3155</v>
      </c>
      <c r="AK35" s="450" t="s">
        <v>703</v>
      </c>
      <c r="AL35" s="450" t="s">
        <v>766</v>
      </c>
      <c r="AM35" s="460" t="s">
        <v>705</v>
      </c>
      <c r="AN35" s="460"/>
      <c r="AO35" s="460"/>
      <c r="AP35" s="460"/>
      <c r="AQ35" s="460" t="s">
        <v>716</v>
      </c>
      <c r="AR35" s="460"/>
      <c r="AS35" s="462" t="s">
        <v>1995</v>
      </c>
      <c r="AT35" s="460"/>
      <c r="AU35" s="460"/>
      <c r="AV35" s="460"/>
      <c r="AW35" s="468"/>
      <c r="AX35" s="469"/>
      <c r="AY35" s="465"/>
      <c r="AZ35" s="465"/>
      <c r="BA35" s="465"/>
      <c r="BB35" s="465"/>
      <c r="BC35" s="465"/>
      <c r="BD35" s="465"/>
      <c r="BE35" s="465"/>
    </row>
    <row r="36" spans="1:57" s="179" customFormat="1" ht="44">
      <c r="A36" s="146" t="s">
        <v>6</v>
      </c>
      <c r="B36" s="129">
        <v>34</v>
      </c>
      <c r="C36" s="147" t="s">
        <v>717</v>
      </c>
      <c r="D36" s="147" t="s">
        <v>3090</v>
      </c>
      <c r="E36" s="157" t="s">
        <v>1998</v>
      </c>
      <c r="F36" s="149" t="s">
        <v>770</v>
      </c>
      <c r="G36" s="149" t="s">
        <v>665</v>
      </c>
      <c r="H36" s="149" t="s">
        <v>203</v>
      </c>
      <c r="I36" s="149" t="s">
        <v>765</v>
      </c>
      <c r="J36" s="147" t="s">
        <v>192</v>
      </c>
      <c r="K36" s="147" t="s">
        <v>192</v>
      </c>
      <c r="L36" s="147" t="s">
        <v>712</v>
      </c>
      <c r="M36" s="147" t="s">
        <v>712</v>
      </c>
      <c r="N36" s="147">
        <v>100</v>
      </c>
      <c r="O36" s="147" t="s">
        <v>712</v>
      </c>
      <c r="P36" s="147" t="s">
        <v>712</v>
      </c>
      <c r="Q36" s="147">
        <v>8</v>
      </c>
      <c r="R36" s="174">
        <v>35</v>
      </c>
      <c r="S36" s="174">
        <v>35</v>
      </c>
      <c r="T36" s="147">
        <v>1</v>
      </c>
      <c r="U36" s="149" t="s">
        <v>713</v>
      </c>
      <c r="V36" s="149" t="s">
        <v>714</v>
      </c>
      <c r="W36" s="149" t="s">
        <v>703</v>
      </c>
      <c r="X36" s="149" t="s">
        <v>703</v>
      </c>
      <c r="Y36" s="147" t="s">
        <v>715</v>
      </c>
      <c r="Z36" s="147" t="s">
        <v>703</v>
      </c>
      <c r="AA36" s="147">
        <v>1</v>
      </c>
      <c r="AB36" s="149" t="s">
        <v>703</v>
      </c>
      <c r="AC36" s="149" t="s">
        <v>703</v>
      </c>
      <c r="AD36" s="149" t="s">
        <v>703</v>
      </c>
      <c r="AE36" s="149" t="s">
        <v>703</v>
      </c>
      <c r="AF36" s="147">
        <v>0</v>
      </c>
      <c r="AG36" s="147">
        <v>0</v>
      </c>
      <c r="AH36" s="147">
        <v>1</v>
      </c>
      <c r="AI36" s="147" t="s">
        <v>712</v>
      </c>
      <c r="AJ36" s="150" t="s">
        <v>205</v>
      </c>
      <c r="AK36" s="149" t="s">
        <v>703</v>
      </c>
      <c r="AL36" s="149" t="s">
        <v>2727</v>
      </c>
      <c r="AM36" s="174" t="s">
        <v>705</v>
      </c>
      <c r="AN36" s="174"/>
      <c r="AO36" s="174"/>
      <c r="AP36" s="174"/>
      <c r="AQ36" s="174"/>
      <c r="AR36" s="174"/>
      <c r="AS36" s="175" t="s">
        <v>1995</v>
      </c>
      <c r="AT36" s="174"/>
      <c r="AU36" s="174"/>
      <c r="AV36" s="174"/>
      <c r="AW36" s="176"/>
      <c r="AX36" s="177"/>
      <c r="AY36" s="178"/>
      <c r="AZ36" s="178"/>
      <c r="BA36" s="178"/>
      <c r="BB36" s="178"/>
      <c r="BC36" s="178"/>
      <c r="BD36" s="178"/>
      <c r="BE36" s="178"/>
    </row>
    <row r="37" spans="1:57" s="179" customFormat="1" ht="44">
      <c r="A37" s="146" t="s">
        <v>6</v>
      </c>
      <c r="B37" s="129">
        <v>35</v>
      </c>
      <c r="C37" s="147" t="s">
        <v>717</v>
      </c>
      <c r="D37" s="147" t="s">
        <v>3090</v>
      </c>
      <c r="E37" s="149" t="s">
        <v>771</v>
      </c>
      <c r="F37" s="149" t="s">
        <v>772</v>
      </c>
      <c r="G37" s="149" t="s">
        <v>665</v>
      </c>
      <c r="H37" s="149" t="s">
        <v>203</v>
      </c>
      <c r="I37" s="149" t="s">
        <v>773</v>
      </c>
      <c r="J37" s="147" t="s">
        <v>192</v>
      </c>
      <c r="K37" s="147" t="s">
        <v>192</v>
      </c>
      <c r="L37" s="147" t="s">
        <v>725</v>
      </c>
      <c r="M37" s="147" t="s">
        <v>725</v>
      </c>
      <c r="N37" s="147">
        <v>100</v>
      </c>
      <c r="O37" s="147" t="s">
        <v>725</v>
      </c>
      <c r="P37" s="147" t="s">
        <v>725</v>
      </c>
      <c r="Q37" s="147">
        <v>8</v>
      </c>
      <c r="R37" s="174">
        <v>34</v>
      </c>
      <c r="S37" s="174">
        <v>34</v>
      </c>
      <c r="T37" s="147">
        <v>1</v>
      </c>
      <c r="U37" s="149" t="s">
        <v>726</v>
      </c>
      <c r="V37" s="149" t="s">
        <v>727</v>
      </c>
      <c r="W37" s="149" t="s">
        <v>684</v>
      </c>
      <c r="X37" s="149" t="s">
        <v>684</v>
      </c>
      <c r="Y37" s="147" t="s">
        <v>728</v>
      </c>
      <c r="Z37" s="147" t="s">
        <v>684</v>
      </c>
      <c r="AA37" s="147">
        <v>1</v>
      </c>
      <c r="AB37" s="149" t="s">
        <v>684</v>
      </c>
      <c r="AC37" s="149" t="s">
        <v>684</v>
      </c>
      <c r="AD37" s="149" t="s">
        <v>684</v>
      </c>
      <c r="AE37" s="149" t="s">
        <v>684</v>
      </c>
      <c r="AF37" s="147">
        <v>0</v>
      </c>
      <c r="AG37" s="147">
        <v>0</v>
      </c>
      <c r="AH37" s="147">
        <v>1</v>
      </c>
      <c r="AI37" s="147" t="s">
        <v>725</v>
      </c>
      <c r="AJ37" s="150" t="s">
        <v>206</v>
      </c>
      <c r="AK37" s="149" t="s">
        <v>684</v>
      </c>
      <c r="AL37" s="149" t="s">
        <v>2728</v>
      </c>
      <c r="AM37" s="174" t="s">
        <v>685</v>
      </c>
      <c r="AN37" s="174"/>
      <c r="AO37" s="174"/>
      <c r="AP37" s="174"/>
      <c r="AQ37" s="174"/>
      <c r="AR37" s="174"/>
      <c r="AS37" s="175" t="s">
        <v>1995</v>
      </c>
      <c r="AT37" s="174"/>
      <c r="AU37" s="174"/>
      <c r="AV37" s="174"/>
      <c r="AW37" s="176"/>
      <c r="AX37" s="177"/>
      <c r="AY37" s="178"/>
      <c r="AZ37" s="178"/>
      <c r="BA37" s="178"/>
      <c r="BB37" s="178"/>
      <c r="BC37" s="178"/>
      <c r="BD37" s="178"/>
      <c r="BE37" s="178"/>
    </row>
    <row r="38" spans="1:57" s="156" customFormat="1" ht="30">
      <c r="A38" s="146" t="s">
        <v>6</v>
      </c>
      <c r="B38" s="129">
        <v>36</v>
      </c>
      <c r="C38" s="149" t="s">
        <v>730</v>
      </c>
      <c r="D38" s="149" t="s">
        <v>3100</v>
      </c>
      <c r="E38" s="149" t="s">
        <v>775</v>
      </c>
      <c r="F38" s="149" t="s">
        <v>776</v>
      </c>
      <c r="G38" s="149" t="s">
        <v>665</v>
      </c>
      <c r="H38" s="149" t="s">
        <v>203</v>
      </c>
      <c r="I38" s="149" t="s">
        <v>773</v>
      </c>
      <c r="J38" s="147" t="s">
        <v>724</v>
      </c>
      <c r="K38" s="147" t="s">
        <v>724</v>
      </c>
      <c r="L38" s="147" t="s">
        <v>725</v>
      </c>
      <c r="M38" s="147" t="s">
        <v>725</v>
      </c>
      <c r="N38" s="149">
        <v>100</v>
      </c>
      <c r="O38" s="147" t="s">
        <v>725</v>
      </c>
      <c r="P38" s="147" t="s">
        <v>725</v>
      </c>
      <c r="Q38" s="147">
        <v>8</v>
      </c>
      <c r="R38" s="149">
        <v>33</v>
      </c>
      <c r="S38" s="149">
        <v>33</v>
      </c>
      <c r="T38" s="149">
        <v>1</v>
      </c>
      <c r="U38" s="149" t="s">
        <v>726</v>
      </c>
      <c r="V38" s="149" t="s">
        <v>727</v>
      </c>
      <c r="W38" s="149" t="s">
        <v>684</v>
      </c>
      <c r="X38" s="149" t="s">
        <v>684</v>
      </c>
      <c r="Y38" s="147" t="s">
        <v>728</v>
      </c>
      <c r="Z38" s="147" t="s">
        <v>684</v>
      </c>
      <c r="AA38" s="149">
        <v>1</v>
      </c>
      <c r="AB38" s="149" t="s">
        <v>684</v>
      </c>
      <c r="AC38" s="149" t="s">
        <v>684</v>
      </c>
      <c r="AD38" s="149" t="s">
        <v>684</v>
      </c>
      <c r="AE38" s="149" t="s">
        <v>684</v>
      </c>
      <c r="AF38" s="149">
        <v>0</v>
      </c>
      <c r="AG38" s="149">
        <v>0</v>
      </c>
      <c r="AH38" s="149">
        <v>1</v>
      </c>
      <c r="AI38" s="147" t="s">
        <v>725</v>
      </c>
      <c r="AJ38" s="162" t="s">
        <v>199</v>
      </c>
      <c r="AK38" s="149" t="s">
        <v>684</v>
      </c>
      <c r="AL38" s="149" t="s">
        <v>2729</v>
      </c>
      <c r="AM38" s="151" t="s">
        <v>2717</v>
      </c>
      <c r="AN38" s="151"/>
      <c r="AO38" s="151"/>
      <c r="AP38" s="151"/>
      <c r="AQ38" s="151"/>
      <c r="AR38" s="151"/>
      <c r="AS38" s="152" t="s">
        <v>1995</v>
      </c>
      <c r="AT38" s="151" t="s">
        <v>685</v>
      </c>
      <c r="AU38" s="151"/>
      <c r="AV38" s="151"/>
      <c r="AW38" s="153"/>
      <c r="AX38" s="154"/>
      <c r="AY38" s="155"/>
      <c r="AZ38" s="155"/>
      <c r="BA38" s="155"/>
      <c r="BB38" s="155"/>
      <c r="BC38" s="155"/>
      <c r="BD38" s="155"/>
      <c r="BE38" s="155"/>
    </row>
    <row r="39" spans="1:57" s="156" customFormat="1" ht="25">
      <c r="A39" s="146" t="s">
        <v>2741</v>
      </c>
      <c r="B39" s="129">
        <v>37</v>
      </c>
      <c r="C39" s="147" t="s">
        <v>191</v>
      </c>
      <c r="D39" s="147" t="s">
        <v>3095</v>
      </c>
      <c r="E39" s="149" t="s">
        <v>2742</v>
      </c>
      <c r="F39" s="149" t="s">
        <v>2743</v>
      </c>
      <c r="G39" s="149" t="s">
        <v>198</v>
      </c>
      <c r="H39" s="149" t="s">
        <v>203</v>
      </c>
      <c r="I39" s="149" t="s">
        <v>2744</v>
      </c>
      <c r="J39" s="147" t="s">
        <v>192</v>
      </c>
      <c r="K39" s="147" t="s">
        <v>192</v>
      </c>
      <c r="L39" s="147" t="s">
        <v>198</v>
      </c>
      <c r="M39" s="147" t="s">
        <v>198</v>
      </c>
      <c r="N39" s="147">
        <v>100</v>
      </c>
      <c r="O39" s="147" t="s">
        <v>198</v>
      </c>
      <c r="P39" s="147" t="s">
        <v>198</v>
      </c>
      <c r="Q39" s="147">
        <v>8</v>
      </c>
      <c r="R39" s="149">
        <v>47</v>
      </c>
      <c r="S39" s="149">
        <v>40</v>
      </c>
      <c r="T39" s="149">
        <v>8</v>
      </c>
      <c r="U39" s="149" t="s">
        <v>240</v>
      </c>
      <c r="V39" s="149" t="s">
        <v>535</v>
      </c>
      <c r="W39" s="149" t="s">
        <v>198</v>
      </c>
      <c r="X39" s="149" t="s">
        <v>198</v>
      </c>
      <c r="Y39" s="149" t="s">
        <v>2745</v>
      </c>
      <c r="Z39" s="147" t="s">
        <v>198</v>
      </c>
      <c r="AA39" s="149">
        <v>1</v>
      </c>
      <c r="AB39" s="149" t="s">
        <v>198</v>
      </c>
      <c r="AC39" s="149" t="s">
        <v>198</v>
      </c>
      <c r="AD39" s="149" t="s">
        <v>198</v>
      </c>
      <c r="AE39" s="149" t="s">
        <v>198</v>
      </c>
      <c r="AF39" s="149">
        <v>0</v>
      </c>
      <c r="AG39" s="149">
        <v>0</v>
      </c>
      <c r="AH39" s="149">
        <v>255</v>
      </c>
      <c r="AI39" s="149" t="s">
        <v>198</v>
      </c>
      <c r="AJ39" s="150" t="s">
        <v>2121</v>
      </c>
      <c r="AK39" s="149"/>
      <c r="AL39" s="149" t="s">
        <v>2054</v>
      </c>
      <c r="AM39" s="151" t="s">
        <v>2746</v>
      </c>
      <c r="AN39" s="151"/>
      <c r="AO39" s="151"/>
      <c r="AP39" s="151"/>
      <c r="AQ39" s="151"/>
      <c r="AR39" s="151"/>
      <c r="AS39" s="152"/>
      <c r="AT39" s="151"/>
      <c r="AU39" s="151"/>
      <c r="AV39" s="151"/>
      <c r="AW39" s="153"/>
      <c r="AX39" s="154"/>
      <c r="AY39" s="155"/>
      <c r="AZ39" s="155"/>
      <c r="BA39" s="155"/>
      <c r="BB39" s="155"/>
      <c r="BC39" s="155"/>
      <c r="BD39" s="155"/>
      <c r="BE39" s="155"/>
    </row>
    <row r="40" spans="1:57" s="156" customFormat="1" ht="58">
      <c r="A40" s="146" t="s">
        <v>6</v>
      </c>
      <c r="B40" s="129">
        <v>38</v>
      </c>
      <c r="C40" s="149" t="s">
        <v>730</v>
      </c>
      <c r="D40" s="151" t="s">
        <v>3101</v>
      </c>
      <c r="E40" s="149" t="s">
        <v>780</v>
      </c>
      <c r="F40" s="149" t="s">
        <v>781</v>
      </c>
      <c r="G40" s="149" t="s">
        <v>665</v>
      </c>
      <c r="H40" s="149" t="s">
        <v>782</v>
      </c>
      <c r="I40" s="149" t="s">
        <v>773</v>
      </c>
      <c r="J40" s="147" t="s">
        <v>724</v>
      </c>
      <c r="K40" s="147" t="s">
        <v>724</v>
      </c>
      <c r="L40" s="147" t="s">
        <v>725</v>
      </c>
      <c r="M40" s="147" t="s">
        <v>725</v>
      </c>
      <c r="N40" s="149">
        <v>100</v>
      </c>
      <c r="O40" s="147" t="s">
        <v>725</v>
      </c>
      <c r="P40" s="147" t="s">
        <v>725</v>
      </c>
      <c r="Q40" s="147">
        <v>8</v>
      </c>
      <c r="R40" s="149">
        <v>55</v>
      </c>
      <c r="S40" s="149">
        <v>54</v>
      </c>
      <c r="T40" s="149">
        <v>2</v>
      </c>
      <c r="U40" s="149" t="s">
        <v>726</v>
      </c>
      <c r="V40" s="149" t="s">
        <v>727</v>
      </c>
      <c r="W40" s="149" t="s">
        <v>684</v>
      </c>
      <c r="X40" s="149" t="s">
        <v>684</v>
      </c>
      <c r="Y40" s="147" t="s">
        <v>728</v>
      </c>
      <c r="Z40" s="147" t="s">
        <v>684</v>
      </c>
      <c r="AA40" s="149">
        <v>1</v>
      </c>
      <c r="AB40" s="149" t="s">
        <v>684</v>
      </c>
      <c r="AC40" s="149" t="s">
        <v>684</v>
      </c>
      <c r="AD40" s="149" t="s">
        <v>684</v>
      </c>
      <c r="AE40" s="149" t="s">
        <v>684</v>
      </c>
      <c r="AF40" s="149">
        <v>0</v>
      </c>
      <c r="AG40" s="149">
        <v>0</v>
      </c>
      <c r="AH40" s="149">
        <v>3</v>
      </c>
      <c r="AI40" s="147" t="s">
        <v>725</v>
      </c>
      <c r="AJ40" s="162" t="s">
        <v>207</v>
      </c>
      <c r="AK40" s="149" t="s">
        <v>684</v>
      </c>
      <c r="AL40" s="149" t="s">
        <v>2729</v>
      </c>
      <c r="AM40" s="151" t="s">
        <v>677</v>
      </c>
      <c r="AN40" s="151"/>
      <c r="AO40" s="151"/>
      <c r="AP40" s="151"/>
      <c r="AQ40" s="151"/>
      <c r="AR40" s="151"/>
      <c r="AS40" s="152" t="s">
        <v>1995</v>
      </c>
      <c r="AT40" s="151"/>
      <c r="AU40" s="151"/>
      <c r="AV40" s="151"/>
      <c r="AW40" s="153"/>
      <c r="AX40" s="154"/>
      <c r="AY40" s="155"/>
      <c r="AZ40" s="155"/>
      <c r="BA40" s="155"/>
      <c r="BB40" s="155"/>
      <c r="BC40" s="155"/>
      <c r="BD40" s="155"/>
      <c r="BE40" s="155"/>
    </row>
    <row r="41" spans="1:57" s="156" customFormat="1" ht="44">
      <c r="A41" s="146" t="s">
        <v>6</v>
      </c>
      <c r="B41" s="129">
        <v>39</v>
      </c>
      <c r="C41" s="147" t="s">
        <v>191</v>
      </c>
      <c r="D41" s="147" t="s">
        <v>3085</v>
      </c>
      <c r="E41" s="149" t="s">
        <v>783</v>
      </c>
      <c r="F41" s="149" t="s">
        <v>784</v>
      </c>
      <c r="G41" s="149" t="s">
        <v>665</v>
      </c>
      <c r="H41" s="149" t="s">
        <v>203</v>
      </c>
      <c r="I41" s="149" t="s">
        <v>752</v>
      </c>
      <c r="J41" s="147" t="s">
        <v>668</v>
      </c>
      <c r="K41" s="147" t="s">
        <v>192</v>
      </c>
      <c r="L41" s="147" t="s">
        <v>669</v>
      </c>
      <c r="M41" s="147" t="s">
        <v>669</v>
      </c>
      <c r="N41" s="147">
        <v>100</v>
      </c>
      <c r="O41" s="147" t="s">
        <v>669</v>
      </c>
      <c r="P41" s="147" t="s">
        <v>669</v>
      </c>
      <c r="Q41" s="147">
        <v>8</v>
      </c>
      <c r="R41" s="149">
        <v>53</v>
      </c>
      <c r="S41" s="149">
        <v>52</v>
      </c>
      <c r="T41" s="149">
        <v>2</v>
      </c>
      <c r="U41" s="149" t="s">
        <v>670</v>
      </c>
      <c r="V41" s="149" t="s">
        <v>671</v>
      </c>
      <c r="W41" s="149" t="s">
        <v>665</v>
      </c>
      <c r="X41" s="149" t="s">
        <v>665</v>
      </c>
      <c r="Y41" s="147" t="s">
        <v>679</v>
      </c>
      <c r="Z41" s="147" t="s">
        <v>194</v>
      </c>
      <c r="AA41" s="149">
        <v>1</v>
      </c>
      <c r="AB41" s="149" t="s">
        <v>665</v>
      </c>
      <c r="AC41" s="149" t="s">
        <v>665</v>
      </c>
      <c r="AD41" s="149" t="s">
        <v>665</v>
      </c>
      <c r="AE41" s="149" t="s">
        <v>665</v>
      </c>
      <c r="AF41" s="149">
        <v>0</v>
      </c>
      <c r="AG41" s="149">
        <v>0</v>
      </c>
      <c r="AH41" s="149">
        <v>3</v>
      </c>
      <c r="AI41" s="149" t="s">
        <v>198</v>
      </c>
      <c r="AJ41" s="150" t="s">
        <v>2126</v>
      </c>
      <c r="AK41" s="149" t="s">
        <v>785</v>
      </c>
      <c r="AL41" s="149" t="s">
        <v>590</v>
      </c>
      <c r="AM41" s="151" t="s">
        <v>677</v>
      </c>
      <c r="AN41" s="151"/>
      <c r="AO41" s="151"/>
      <c r="AP41" s="151"/>
      <c r="AQ41" s="151"/>
      <c r="AR41" s="151"/>
      <c r="AS41" s="151" t="s">
        <v>786</v>
      </c>
      <c r="AT41" s="151"/>
      <c r="AU41" s="151"/>
      <c r="AV41" s="151"/>
      <c r="AW41" s="153"/>
      <c r="AX41" s="154"/>
      <c r="AY41" s="155"/>
      <c r="AZ41" s="155"/>
      <c r="BA41" s="155"/>
      <c r="BB41" s="155"/>
      <c r="BC41" s="155"/>
      <c r="BD41" s="155"/>
      <c r="BE41" s="155"/>
    </row>
    <row r="42" spans="1:57" s="179" customFormat="1" ht="58">
      <c r="A42" s="146" t="s">
        <v>6</v>
      </c>
      <c r="B42" s="129">
        <v>40</v>
      </c>
      <c r="C42" s="147" t="s">
        <v>699</v>
      </c>
      <c r="D42" s="147" t="s">
        <v>3090</v>
      </c>
      <c r="E42" s="149" t="s">
        <v>787</v>
      </c>
      <c r="F42" s="149" t="s">
        <v>788</v>
      </c>
      <c r="G42" s="149" t="s">
        <v>665</v>
      </c>
      <c r="H42" s="149" t="s">
        <v>203</v>
      </c>
      <c r="I42" s="149" t="s">
        <v>752</v>
      </c>
      <c r="J42" s="147" t="s">
        <v>192</v>
      </c>
      <c r="K42" s="147" t="s">
        <v>192</v>
      </c>
      <c r="L42" s="147" t="s">
        <v>669</v>
      </c>
      <c r="M42" s="147" t="s">
        <v>669</v>
      </c>
      <c r="N42" s="147">
        <v>100</v>
      </c>
      <c r="O42" s="147" t="s">
        <v>669</v>
      </c>
      <c r="P42" s="147" t="s">
        <v>669</v>
      </c>
      <c r="Q42" s="147">
        <v>8</v>
      </c>
      <c r="R42" s="174">
        <v>50</v>
      </c>
      <c r="S42" s="174">
        <v>49</v>
      </c>
      <c r="T42" s="147">
        <v>2</v>
      </c>
      <c r="U42" s="149" t="s">
        <v>670</v>
      </c>
      <c r="V42" s="149" t="s">
        <v>671</v>
      </c>
      <c r="W42" s="149" t="s">
        <v>665</v>
      </c>
      <c r="X42" s="149" t="s">
        <v>665</v>
      </c>
      <c r="Y42" s="147" t="s">
        <v>679</v>
      </c>
      <c r="Z42" s="147" t="s">
        <v>665</v>
      </c>
      <c r="AA42" s="147">
        <v>1</v>
      </c>
      <c r="AB42" s="149" t="s">
        <v>665</v>
      </c>
      <c r="AC42" s="149" t="s">
        <v>665</v>
      </c>
      <c r="AD42" s="149" t="s">
        <v>665</v>
      </c>
      <c r="AE42" s="149" t="s">
        <v>665</v>
      </c>
      <c r="AF42" s="147">
        <v>0</v>
      </c>
      <c r="AG42" s="147">
        <v>0</v>
      </c>
      <c r="AH42" s="147">
        <v>3</v>
      </c>
      <c r="AI42" s="147" t="s">
        <v>669</v>
      </c>
      <c r="AJ42" s="150" t="s">
        <v>789</v>
      </c>
      <c r="AK42" s="149" t="s">
        <v>665</v>
      </c>
      <c r="AL42" s="149" t="s">
        <v>2728</v>
      </c>
      <c r="AM42" s="174" t="s">
        <v>677</v>
      </c>
      <c r="AN42" s="174"/>
      <c r="AO42" s="174"/>
      <c r="AP42" s="174"/>
      <c r="AQ42" s="174"/>
      <c r="AR42" s="174"/>
      <c r="AS42" s="175" t="s">
        <v>1995</v>
      </c>
      <c r="AT42" s="174"/>
      <c r="AU42" s="174"/>
      <c r="AV42" s="174"/>
      <c r="AW42" s="176"/>
      <c r="AX42" s="177"/>
      <c r="AY42" s="178"/>
      <c r="AZ42" s="178"/>
      <c r="BA42" s="178"/>
      <c r="BB42" s="178"/>
      <c r="BC42" s="178"/>
      <c r="BD42" s="178"/>
      <c r="BE42" s="178"/>
    </row>
    <row r="43" spans="1:57" s="156" customFormat="1" ht="30">
      <c r="A43" s="146" t="s">
        <v>6</v>
      </c>
      <c r="B43" s="129">
        <v>41</v>
      </c>
      <c r="C43" s="147" t="s">
        <v>699</v>
      </c>
      <c r="D43" s="147" t="s">
        <v>3085</v>
      </c>
      <c r="E43" s="149" t="s">
        <v>790</v>
      </c>
      <c r="F43" s="149" t="s">
        <v>791</v>
      </c>
      <c r="G43" s="149" t="s">
        <v>665</v>
      </c>
      <c r="H43" s="149" t="s">
        <v>203</v>
      </c>
      <c r="I43" s="149" t="s">
        <v>752</v>
      </c>
      <c r="J43" s="147" t="s">
        <v>668</v>
      </c>
      <c r="K43" s="147" t="s">
        <v>192</v>
      </c>
      <c r="L43" s="147" t="s">
        <v>669</v>
      </c>
      <c r="M43" s="147" t="s">
        <v>669</v>
      </c>
      <c r="N43" s="147">
        <v>100</v>
      </c>
      <c r="O43" s="147" t="s">
        <v>669</v>
      </c>
      <c r="P43" s="147" t="s">
        <v>669</v>
      </c>
      <c r="Q43" s="147">
        <v>8</v>
      </c>
      <c r="R43" s="149">
        <v>48</v>
      </c>
      <c r="S43" s="149">
        <v>48</v>
      </c>
      <c r="T43" s="149">
        <v>1</v>
      </c>
      <c r="U43" s="149" t="s">
        <v>670</v>
      </c>
      <c r="V43" s="149" t="s">
        <v>671</v>
      </c>
      <c r="W43" s="149" t="s">
        <v>665</v>
      </c>
      <c r="X43" s="149" t="s">
        <v>665</v>
      </c>
      <c r="Y43" s="147" t="s">
        <v>679</v>
      </c>
      <c r="Z43" s="147" t="s">
        <v>665</v>
      </c>
      <c r="AA43" s="149">
        <v>1</v>
      </c>
      <c r="AB43" s="149" t="s">
        <v>665</v>
      </c>
      <c r="AC43" s="149" t="s">
        <v>665</v>
      </c>
      <c r="AD43" s="149" t="s">
        <v>665</v>
      </c>
      <c r="AE43" s="149" t="s">
        <v>665</v>
      </c>
      <c r="AF43" s="149">
        <v>0</v>
      </c>
      <c r="AG43" s="149">
        <v>0</v>
      </c>
      <c r="AH43" s="149">
        <v>1</v>
      </c>
      <c r="AI43" s="149" t="s">
        <v>669</v>
      </c>
      <c r="AJ43" s="150" t="s">
        <v>792</v>
      </c>
      <c r="AK43" s="149" t="s">
        <v>665</v>
      </c>
      <c r="AL43" s="149" t="s">
        <v>590</v>
      </c>
      <c r="AM43" s="151" t="s">
        <v>677</v>
      </c>
      <c r="AN43" s="151"/>
      <c r="AO43" s="151"/>
      <c r="AP43" s="151"/>
      <c r="AQ43" s="151"/>
      <c r="AR43" s="151"/>
      <c r="AS43" s="152" t="s">
        <v>1999</v>
      </c>
      <c r="AT43" s="151"/>
      <c r="AU43" s="151"/>
      <c r="AV43" s="151"/>
      <c r="AW43" s="153"/>
      <c r="AX43" s="154"/>
      <c r="AY43" s="155"/>
      <c r="AZ43" s="155"/>
      <c r="BA43" s="155"/>
      <c r="BB43" s="155"/>
      <c r="BC43" s="155"/>
      <c r="BD43" s="155"/>
      <c r="BE43" s="155"/>
    </row>
    <row r="44" spans="1:57" s="459" customFormat="1" ht="30">
      <c r="A44" s="451" t="s">
        <v>6</v>
      </c>
      <c r="B44" s="452">
        <v>42</v>
      </c>
      <c r="C44" s="452" t="s">
        <v>699</v>
      </c>
      <c r="D44" s="452" t="s">
        <v>3102</v>
      </c>
      <c r="E44" s="450" t="s">
        <v>793</v>
      </c>
      <c r="F44" s="450" t="s">
        <v>794</v>
      </c>
      <c r="G44" s="450" t="s">
        <v>665</v>
      </c>
      <c r="H44" s="450" t="s">
        <v>203</v>
      </c>
      <c r="I44" s="450" t="s">
        <v>752</v>
      </c>
      <c r="J44" s="452" t="s">
        <v>668</v>
      </c>
      <c r="K44" s="452" t="s">
        <v>192</v>
      </c>
      <c r="L44" s="452" t="s">
        <v>669</v>
      </c>
      <c r="M44" s="452" t="s">
        <v>669</v>
      </c>
      <c r="N44" s="452">
        <v>100</v>
      </c>
      <c r="O44" s="452" t="s">
        <v>669</v>
      </c>
      <c r="P44" s="452" t="s">
        <v>669</v>
      </c>
      <c r="Q44" s="452">
        <v>8</v>
      </c>
      <c r="R44" s="450">
        <v>63</v>
      </c>
      <c r="S44" s="450">
        <v>63</v>
      </c>
      <c r="T44" s="450">
        <v>1</v>
      </c>
      <c r="U44" s="450" t="s">
        <v>670</v>
      </c>
      <c r="V44" s="450" t="s">
        <v>671</v>
      </c>
      <c r="W44" s="450" t="s">
        <v>665</v>
      </c>
      <c r="X44" s="450" t="s">
        <v>665</v>
      </c>
      <c r="Y44" s="452" t="s">
        <v>679</v>
      </c>
      <c r="Z44" s="452" t="s">
        <v>665</v>
      </c>
      <c r="AA44" s="450">
        <v>1</v>
      </c>
      <c r="AB44" s="450" t="s">
        <v>665</v>
      </c>
      <c r="AC44" s="450" t="s">
        <v>665</v>
      </c>
      <c r="AD44" s="450" t="s">
        <v>665</v>
      </c>
      <c r="AE44" s="450" t="s">
        <v>665</v>
      </c>
      <c r="AF44" s="450">
        <v>0</v>
      </c>
      <c r="AG44" s="450">
        <v>0</v>
      </c>
      <c r="AH44" s="450">
        <v>1</v>
      </c>
      <c r="AI44" s="450" t="s">
        <v>669</v>
      </c>
      <c r="AJ44" s="455" t="s">
        <v>795</v>
      </c>
      <c r="AK44" s="450" t="s">
        <v>665</v>
      </c>
      <c r="AL44" s="450" t="s">
        <v>590</v>
      </c>
      <c r="AM44" s="285" t="s">
        <v>677</v>
      </c>
      <c r="AN44" s="285"/>
      <c r="AO44" s="285" t="s">
        <v>677</v>
      </c>
      <c r="AP44" s="285"/>
      <c r="AQ44" s="285"/>
      <c r="AR44" s="285"/>
      <c r="AS44" s="467" t="s">
        <v>1995</v>
      </c>
      <c r="AT44" s="285"/>
      <c r="AU44" s="285"/>
      <c r="AV44" s="285"/>
      <c r="AW44" s="456"/>
      <c r="AX44" s="457"/>
      <c r="AY44" s="458"/>
      <c r="AZ44" s="458"/>
      <c r="BA44" s="458"/>
      <c r="BB44" s="458"/>
      <c r="BC44" s="458"/>
      <c r="BD44" s="458"/>
      <c r="BE44" s="458"/>
    </row>
    <row r="45" spans="1:57" s="179" customFormat="1" ht="30">
      <c r="A45" s="146" t="s">
        <v>6</v>
      </c>
      <c r="B45" s="129">
        <v>43</v>
      </c>
      <c r="C45" s="147" t="s">
        <v>717</v>
      </c>
      <c r="D45" s="147" t="s">
        <v>3095</v>
      </c>
      <c r="E45" s="157" t="s">
        <v>2704</v>
      </c>
      <c r="F45" s="149" t="s">
        <v>767</v>
      </c>
      <c r="G45" s="149" t="s">
        <v>665</v>
      </c>
      <c r="H45" s="149" t="s">
        <v>203</v>
      </c>
      <c r="I45" s="149" t="s">
        <v>765</v>
      </c>
      <c r="J45" s="147" t="s">
        <v>192</v>
      </c>
      <c r="K45" s="147" t="s">
        <v>192</v>
      </c>
      <c r="L45" s="147" t="s">
        <v>712</v>
      </c>
      <c r="M45" s="147" t="s">
        <v>712</v>
      </c>
      <c r="N45" s="147">
        <v>100</v>
      </c>
      <c r="O45" s="147" t="s">
        <v>712</v>
      </c>
      <c r="P45" s="147" t="s">
        <v>712</v>
      </c>
      <c r="Q45" s="147">
        <v>8</v>
      </c>
      <c r="R45" s="174">
        <v>62</v>
      </c>
      <c r="S45" s="174">
        <v>62</v>
      </c>
      <c r="T45" s="147">
        <v>1</v>
      </c>
      <c r="U45" s="149" t="s">
        <v>713</v>
      </c>
      <c r="V45" s="149" t="s">
        <v>714</v>
      </c>
      <c r="W45" s="149" t="s">
        <v>703</v>
      </c>
      <c r="X45" s="149" t="s">
        <v>703</v>
      </c>
      <c r="Y45" s="147" t="s">
        <v>715</v>
      </c>
      <c r="Z45" s="147" t="s">
        <v>703</v>
      </c>
      <c r="AA45" s="147">
        <v>1</v>
      </c>
      <c r="AB45" s="149" t="s">
        <v>703</v>
      </c>
      <c r="AC45" s="149" t="s">
        <v>703</v>
      </c>
      <c r="AD45" s="149" t="s">
        <v>703</v>
      </c>
      <c r="AE45" s="149" t="s">
        <v>703</v>
      </c>
      <c r="AF45" s="149">
        <v>0</v>
      </c>
      <c r="AG45" s="149">
        <v>0</v>
      </c>
      <c r="AH45" s="147">
        <v>1</v>
      </c>
      <c r="AI45" s="147" t="s">
        <v>712</v>
      </c>
      <c r="AJ45" s="150" t="s">
        <v>768</v>
      </c>
      <c r="AK45" s="149" t="s">
        <v>703</v>
      </c>
      <c r="AL45" s="149" t="s">
        <v>769</v>
      </c>
      <c r="AM45" s="174" t="s">
        <v>705</v>
      </c>
      <c r="AN45" s="174"/>
      <c r="AO45" s="174"/>
      <c r="AP45" s="174"/>
      <c r="AQ45" s="174"/>
      <c r="AR45" s="174"/>
      <c r="AS45" s="175"/>
      <c r="AT45" s="174"/>
      <c r="AU45" s="174"/>
      <c r="AV45" s="174"/>
      <c r="AW45" s="176"/>
      <c r="AX45" s="177"/>
      <c r="AY45" s="178"/>
      <c r="AZ45" s="178"/>
      <c r="BA45" s="178"/>
      <c r="BB45" s="178"/>
      <c r="BC45" s="178"/>
      <c r="BD45" s="178"/>
      <c r="BE45" s="178"/>
    </row>
    <row r="46" spans="1:57" s="156" customFormat="1" ht="25">
      <c r="A46" s="146" t="s">
        <v>6</v>
      </c>
      <c r="B46" s="129">
        <v>44</v>
      </c>
      <c r="C46" s="147" t="s">
        <v>191</v>
      </c>
      <c r="D46" s="147" t="s">
        <v>3097</v>
      </c>
      <c r="E46" s="151" t="s">
        <v>796</v>
      </c>
      <c r="F46" s="147" t="s">
        <v>797</v>
      </c>
      <c r="G46" s="149" t="s">
        <v>665</v>
      </c>
      <c r="H46" s="149" t="s">
        <v>203</v>
      </c>
      <c r="I46" s="149" t="s">
        <v>752</v>
      </c>
      <c r="J46" s="147" t="s">
        <v>668</v>
      </c>
      <c r="K46" s="147" t="s">
        <v>192</v>
      </c>
      <c r="L46" s="147" t="s">
        <v>669</v>
      </c>
      <c r="M46" s="147" t="s">
        <v>669</v>
      </c>
      <c r="N46" s="147">
        <v>100</v>
      </c>
      <c r="O46" s="147" t="s">
        <v>669</v>
      </c>
      <c r="P46" s="147" t="s">
        <v>669</v>
      </c>
      <c r="Q46" s="147">
        <v>8</v>
      </c>
      <c r="R46" s="149">
        <v>59</v>
      </c>
      <c r="S46" s="149">
        <v>56</v>
      </c>
      <c r="T46" s="149">
        <v>4</v>
      </c>
      <c r="U46" s="149" t="s">
        <v>670</v>
      </c>
      <c r="V46" s="149" t="s">
        <v>671</v>
      </c>
      <c r="W46" s="149" t="s">
        <v>665</v>
      </c>
      <c r="X46" s="149" t="s">
        <v>665</v>
      </c>
      <c r="Y46" s="147" t="s">
        <v>679</v>
      </c>
      <c r="Z46" s="147" t="s">
        <v>194</v>
      </c>
      <c r="AA46" s="147">
        <v>1</v>
      </c>
      <c r="AB46" s="149" t="s">
        <v>665</v>
      </c>
      <c r="AC46" s="149" t="s">
        <v>665</v>
      </c>
      <c r="AD46" s="149" t="s">
        <v>665</v>
      </c>
      <c r="AE46" s="149" t="s">
        <v>665</v>
      </c>
      <c r="AF46" s="147">
        <v>0</v>
      </c>
      <c r="AG46" s="147">
        <v>0</v>
      </c>
      <c r="AH46" s="147">
        <v>15</v>
      </c>
      <c r="AI46" s="147" t="s">
        <v>665</v>
      </c>
      <c r="AJ46" s="150" t="s">
        <v>2123</v>
      </c>
      <c r="AK46" s="149" t="s">
        <v>665</v>
      </c>
      <c r="AL46" s="149"/>
      <c r="AM46" s="151"/>
      <c r="AN46" s="151"/>
      <c r="AO46" s="151"/>
      <c r="AP46" s="151"/>
      <c r="AQ46" s="151"/>
      <c r="AR46" s="151"/>
      <c r="AS46" s="151" t="s">
        <v>674</v>
      </c>
      <c r="AT46" s="151"/>
      <c r="AU46" s="151"/>
      <c r="AV46" s="151"/>
      <c r="AW46" s="153"/>
      <c r="AX46" s="154"/>
      <c r="AY46" s="155"/>
      <c r="AZ46" s="155"/>
      <c r="BA46" s="155"/>
      <c r="BB46" s="155"/>
      <c r="BC46" s="155"/>
      <c r="BD46" s="155"/>
      <c r="BE46" s="155"/>
    </row>
    <row r="47" spans="1:57" s="156" customFormat="1" ht="44">
      <c r="A47" s="146" t="s">
        <v>6</v>
      </c>
      <c r="B47" s="129">
        <v>45</v>
      </c>
      <c r="C47" s="147" t="s">
        <v>191</v>
      </c>
      <c r="D47" s="147" t="s">
        <v>3103</v>
      </c>
      <c r="E47" s="149" t="s">
        <v>798</v>
      </c>
      <c r="F47" s="149" t="s">
        <v>1991</v>
      </c>
      <c r="G47" s="149" t="s">
        <v>665</v>
      </c>
      <c r="H47" s="149" t="s">
        <v>799</v>
      </c>
      <c r="I47" s="149" t="s">
        <v>800</v>
      </c>
      <c r="J47" s="147" t="s">
        <v>668</v>
      </c>
      <c r="K47" s="147" t="s">
        <v>668</v>
      </c>
      <c r="L47" s="147" t="s">
        <v>669</v>
      </c>
      <c r="M47" s="147" t="s">
        <v>669</v>
      </c>
      <c r="N47" s="147">
        <v>10</v>
      </c>
      <c r="O47" s="149" t="s">
        <v>209</v>
      </c>
      <c r="P47" s="147" t="s">
        <v>801</v>
      </c>
      <c r="Q47" s="147">
        <v>8</v>
      </c>
      <c r="R47" s="147">
        <v>7</v>
      </c>
      <c r="S47" s="147">
        <v>0</v>
      </c>
      <c r="T47" s="147">
        <v>8</v>
      </c>
      <c r="U47" s="149" t="s">
        <v>802</v>
      </c>
      <c r="V47" s="149" t="s">
        <v>803</v>
      </c>
      <c r="W47" s="149" t="s">
        <v>804</v>
      </c>
      <c r="X47" s="149" t="s">
        <v>804</v>
      </c>
      <c r="Y47" s="149" t="s">
        <v>805</v>
      </c>
      <c r="Z47" s="147" t="s">
        <v>194</v>
      </c>
      <c r="AA47" s="149">
        <v>1</v>
      </c>
      <c r="AB47" s="149" t="s">
        <v>804</v>
      </c>
      <c r="AC47" s="149" t="s">
        <v>804</v>
      </c>
      <c r="AD47" s="149" t="s">
        <v>804</v>
      </c>
      <c r="AE47" s="149" t="s">
        <v>804</v>
      </c>
      <c r="AF47" s="149">
        <v>0</v>
      </c>
      <c r="AG47" s="149">
        <v>0</v>
      </c>
      <c r="AH47" s="149">
        <v>255</v>
      </c>
      <c r="AI47" s="149" t="s">
        <v>806</v>
      </c>
      <c r="AJ47" s="150" t="s">
        <v>2121</v>
      </c>
      <c r="AK47" s="149" t="s">
        <v>804</v>
      </c>
      <c r="AL47" s="149" t="s">
        <v>804</v>
      </c>
      <c r="AM47" s="151"/>
      <c r="AN47" s="151"/>
      <c r="AO47" s="151"/>
      <c r="AP47" s="151"/>
      <c r="AQ47" s="151"/>
      <c r="AR47" s="151" t="s">
        <v>807</v>
      </c>
      <c r="AS47" s="151"/>
      <c r="AT47" s="151"/>
      <c r="AU47" s="151"/>
      <c r="AV47" s="151"/>
      <c r="AW47" s="153"/>
      <c r="AX47" s="154"/>
      <c r="AY47" s="155"/>
      <c r="AZ47" s="155"/>
      <c r="BA47" s="155"/>
      <c r="BB47" s="155"/>
      <c r="BC47" s="155"/>
      <c r="BD47" s="155"/>
      <c r="BE47" s="155"/>
    </row>
    <row r="48" spans="1:57" s="156" customFormat="1" ht="30">
      <c r="A48" s="146" t="s">
        <v>6</v>
      </c>
      <c r="B48" s="129">
        <v>46</v>
      </c>
      <c r="C48" s="147" t="s">
        <v>808</v>
      </c>
      <c r="D48" s="151" t="s">
        <v>3103</v>
      </c>
      <c r="E48" s="149" t="s">
        <v>810</v>
      </c>
      <c r="F48" s="149" t="s">
        <v>811</v>
      </c>
      <c r="G48" s="149" t="s">
        <v>812</v>
      </c>
      <c r="H48" s="149" t="s">
        <v>813</v>
      </c>
      <c r="I48" s="149" t="s">
        <v>814</v>
      </c>
      <c r="J48" s="149" t="s">
        <v>815</v>
      </c>
      <c r="K48" s="149" t="s">
        <v>815</v>
      </c>
      <c r="L48" s="149" t="s">
        <v>785</v>
      </c>
      <c r="M48" s="149" t="s">
        <v>785</v>
      </c>
      <c r="N48" s="147">
        <v>10</v>
      </c>
      <c r="O48" s="149" t="s">
        <v>209</v>
      </c>
      <c r="P48" s="149" t="s">
        <v>806</v>
      </c>
      <c r="Q48" s="149">
        <v>8</v>
      </c>
      <c r="R48" s="149">
        <v>15</v>
      </c>
      <c r="S48" s="149">
        <v>16</v>
      </c>
      <c r="T48" s="149">
        <v>16</v>
      </c>
      <c r="U48" s="149" t="s">
        <v>816</v>
      </c>
      <c r="V48" s="149" t="s">
        <v>803</v>
      </c>
      <c r="W48" s="149" t="s">
        <v>804</v>
      </c>
      <c r="X48" s="149" t="s">
        <v>804</v>
      </c>
      <c r="Y48" s="149" t="s">
        <v>817</v>
      </c>
      <c r="Z48" s="149" t="s">
        <v>804</v>
      </c>
      <c r="AA48" s="149">
        <v>1</v>
      </c>
      <c r="AB48" s="149" t="s">
        <v>804</v>
      </c>
      <c r="AC48" s="149" t="s">
        <v>804</v>
      </c>
      <c r="AD48" s="149" t="s">
        <v>804</v>
      </c>
      <c r="AE48" s="149" t="s">
        <v>804</v>
      </c>
      <c r="AF48" s="180">
        <v>-32768</v>
      </c>
      <c r="AG48" s="180">
        <v>-32768</v>
      </c>
      <c r="AH48" s="180">
        <v>32767</v>
      </c>
      <c r="AI48" s="181" t="s">
        <v>818</v>
      </c>
      <c r="AJ48" s="182" t="s">
        <v>2127</v>
      </c>
      <c r="AK48" s="149" t="s">
        <v>804</v>
      </c>
      <c r="AL48" s="149" t="s">
        <v>819</v>
      </c>
      <c r="AM48" s="151"/>
      <c r="AN48" s="151"/>
      <c r="AO48" s="151"/>
      <c r="AP48" s="151"/>
      <c r="AQ48" s="151"/>
      <c r="AR48" s="151" t="s">
        <v>807</v>
      </c>
      <c r="AS48" s="151"/>
      <c r="AT48" s="151"/>
      <c r="AU48" s="151"/>
      <c r="AV48" s="151"/>
      <c r="AW48" s="153"/>
      <c r="AX48" s="154"/>
      <c r="AY48" s="155"/>
      <c r="AZ48" s="155"/>
      <c r="BA48" s="155"/>
      <c r="BB48" s="155"/>
      <c r="BC48" s="155"/>
      <c r="BD48" s="155"/>
      <c r="BE48" s="155"/>
    </row>
    <row r="49" spans="1:58" s="156" customFormat="1" ht="44">
      <c r="A49" s="146" t="s">
        <v>6</v>
      </c>
      <c r="B49" s="129">
        <v>47</v>
      </c>
      <c r="C49" s="147" t="s">
        <v>808</v>
      </c>
      <c r="D49" s="151" t="s">
        <v>3093</v>
      </c>
      <c r="E49" s="149" t="s">
        <v>820</v>
      </c>
      <c r="F49" s="149" t="s">
        <v>821</v>
      </c>
      <c r="G49" s="149" t="s">
        <v>822</v>
      </c>
      <c r="H49" s="149" t="s">
        <v>823</v>
      </c>
      <c r="I49" s="149" t="s">
        <v>824</v>
      </c>
      <c r="J49" s="149" t="s">
        <v>825</v>
      </c>
      <c r="K49" s="149" t="s">
        <v>825</v>
      </c>
      <c r="L49" s="149" t="s">
        <v>804</v>
      </c>
      <c r="M49" s="149" t="s">
        <v>804</v>
      </c>
      <c r="N49" s="147">
        <v>10</v>
      </c>
      <c r="O49" s="149" t="s">
        <v>209</v>
      </c>
      <c r="P49" s="149" t="s">
        <v>806</v>
      </c>
      <c r="Q49" s="149">
        <v>8</v>
      </c>
      <c r="R49" s="149">
        <v>31</v>
      </c>
      <c r="S49" s="149">
        <v>32</v>
      </c>
      <c r="T49" s="149">
        <v>16</v>
      </c>
      <c r="U49" s="149" t="s">
        <v>816</v>
      </c>
      <c r="V49" s="149" t="s">
        <v>803</v>
      </c>
      <c r="W49" s="149" t="s">
        <v>804</v>
      </c>
      <c r="X49" s="149" t="s">
        <v>804</v>
      </c>
      <c r="Y49" s="149" t="s">
        <v>817</v>
      </c>
      <c r="Z49" s="149" t="s">
        <v>804</v>
      </c>
      <c r="AA49" s="149">
        <v>1</v>
      </c>
      <c r="AB49" s="149" t="s">
        <v>804</v>
      </c>
      <c r="AC49" s="149" t="s">
        <v>804</v>
      </c>
      <c r="AD49" s="149" t="s">
        <v>804</v>
      </c>
      <c r="AE49" s="149" t="s">
        <v>804</v>
      </c>
      <c r="AF49" s="180">
        <v>-32768</v>
      </c>
      <c r="AG49" s="180">
        <v>-32768</v>
      </c>
      <c r="AH49" s="180">
        <v>32767</v>
      </c>
      <c r="AI49" s="181" t="s">
        <v>818</v>
      </c>
      <c r="AJ49" s="182" t="s">
        <v>2127</v>
      </c>
      <c r="AK49" s="149" t="s">
        <v>804</v>
      </c>
      <c r="AL49" s="149" t="s">
        <v>2730</v>
      </c>
      <c r="AM49" s="151" t="s">
        <v>677</v>
      </c>
      <c r="AN49" s="151"/>
      <c r="AO49" s="151"/>
      <c r="AP49" s="151"/>
      <c r="AQ49" s="151"/>
      <c r="AR49" s="151" t="s">
        <v>807</v>
      </c>
      <c r="AS49" s="151"/>
      <c r="AT49" s="151"/>
      <c r="AU49" s="151"/>
      <c r="AV49" s="151"/>
      <c r="AW49" s="153"/>
      <c r="AX49" s="154"/>
      <c r="AY49" s="155"/>
      <c r="AZ49" s="155"/>
      <c r="BA49" s="155"/>
      <c r="BB49" s="155"/>
      <c r="BC49" s="155"/>
      <c r="BD49" s="155"/>
      <c r="BE49" s="155"/>
    </row>
    <row r="50" spans="1:58" s="156" customFormat="1" ht="30">
      <c r="A50" s="146" t="s">
        <v>6</v>
      </c>
      <c r="B50" s="129">
        <v>48</v>
      </c>
      <c r="C50" s="147" t="s">
        <v>808</v>
      </c>
      <c r="D50" s="149" t="s">
        <v>3093</v>
      </c>
      <c r="E50" s="149" t="s">
        <v>826</v>
      </c>
      <c r="F50" s="149" t="s">
        <v>827</v>
      </c>
      <c r="G50" s="149" t="s">
        <v>828</v>
      </c>
      <c r="H50" s="149" t="s">
        <v>823</v>
      </c>
      <c r="I50" s="149" t="s">
        <v>824</v>
      </c>
      <c r="J50" s="147" t="s">
        <v>829</v>
      </c>
      <c r="K50" s="149" t="s">
        <v>192</v>
      </c>
      <c r="L50" s="149" t="s">
        <v>804</v>
      </c>
      <c r="M50" s="149" t="s">
        <v>804</v>
      </c>
      <c r="N50" s="147">
        <v>10</v>
      </c>
      <c r="O50" s="149" t="s">
        <v>209</v>
      </c>
      <c r="P50" s="147" t="s">
        <v>804</v>
      </c>
      <c r="Q50" s="149">
        <v>8</v>
      </c>
      <c r="R50" s="149">
        <v>47</v>
      </c>
      <c r="S50" s="149">
        <v>53</v>
      </c>
      <c r="T50" s="149">
        <v>11</v>
      </c>
      <c r="U50" s="149" t="s">
        <v>802</v>
      </c>
      <c r="V50" s="149" t="s">
        <v>803</v>
      </c>
      <c r="W50" s="147" t="s">
        <v>804</v>
      </c>
      <c r="X50" s="149" t="s">
        <v>804</v>
      </c>
      <c r="Y50" s="149" t="s">
        <v>817</v>
      </c>
      <c r="Z50" s="149" t="s">
        <v>804</v>
      </c>
      <c r="AA50" s="149">
        <v>1</v>
      </c>
      <c r="AB50" s="149" t="s">
        <v>804</v>
      </c>
      <c r="AC50" s="149" t="s">
        <v>804</v>
      </c>
      <c r="AD50" s="149" t="s">
        <v>804</v>
      </c>
      <c r="AE50" s="149" t="s">
        <v>804</v>
      </c>
      <c r="AF50" s="149">
        <v>0</v>
      </c>
      <c r="AG50" s="149">
        <v>0</v>
      </c>
      <c r="AH50" s="149">
        <v>2000</v>
      </c>
      <c r="AI50" s="149" t="s">
        <v>830</v>
      </c>
      <c r="AJ50" s="162" t="s">
        <v>2128</v>
      </c>
      <c r="AK50" s="151" t="s">
        <v>804</v>
      </c>
      <c r="AL50" s="151" t="s">
        <v>590</v>
      </c>
      <c r="AM50" s="149" t="s">
        <v>677</v>
      </c>
      <c r="AN50" s="149"/>
      <c r="AO50" s="149"/>
      <c r="AP50" s="149"/>
      <c r="AQ50" s="149"/>
      <c r="AR50" s="151" t="s">
        <v>807</v>
      </c>
      <c r="AS50" s="151"/>
      <c r="AT50" s="151"/>
      <c r="AU50" s="151"/>
      <c r="AV50" s="151"/>
      <c r="AW50" s="153"/>
      <c r="AX50" s="154"/>
      <c r="AY50" s="155"/>
      <c r="AZ50" s="155"/>
      <c r="BA50" s="155"/>
      <c r="BB50" s="155"/>
      <c r="BC50" s="155"/>
      <c r="BD50" s="155"/>
      <c r="BE50" s="155"/>
    </row>
    <row r="51" spans="1:58" s="156" customFormat="1" ht="30">
      <c r="A51" s="146" t="s">
        <v>6</v>
      </c>
      <c r="B51" s="129">
        <v>49</v>
      </c>
      <c r="C51" s="147" t="s">
        <v>808</v>
      </c>
      <c r="D51" s="149" t="s">
        <v>3103</v>
      </c>
      <c r="E51" s="149" t="s">
        <v>831</v>
      </c>
      <c r="F51" s="149" t="s">
        <v>832</v>
      </c>
      <c r="G51" s="149" t="s">
        <v>828</v>
      </c>
      <c r="H51" s="149" t="s">
        <v>823</v>
      </c>
      <c r="I51" s="149" t="s">
        <v>824</v>
      </c>
      <c r="J51" s="147" t="s">
        <v>829</v>
      </c>
      <c r="K51" s="149" t="s">
        <v>192</v>
      </c>
      <c r="L51" s="149" t="s">
        <v>804</v>
      </c>
      <c r="M51" s="149" t="s">
        <v>804</v>
      </c>
      <c r="N51" s="147">
        <v>10</v>
      </c>
      <c r="O51" s="149" t="s">
        <v>209</v>
      </c>
      <c r="P51" s="147" t="s">
        <v>804</v>
      </c>
      <c r="Q51" s="149">
        <v>8</v>
      </c>
      <c r="R51" s="149">
        <v>52</v>
      </c>
      <c r="S51" s="149">
        <v>52</v>
      </c>
      <c r="T51" s="149">
        <v>1</v>
      </c>
      <c r="U51" s="149" t="s">
        <v>802</v>
      </c>
      <c r="V51" s="149" t="s">
        <v>803</v>
      </c>
      <c r="W51" s="147" t="s">
        <v>804</v>
      </c>
      <c r="X51" s="149" t="s">
        <v>804</v>
      </c>
      <c r="Y51" s="149" t="s">
        <v>817</v>
      </c>
      <c r="Z51" s="149" t="s">
        <v>804</v>
      </c>
      <c r="AA51" s="149">
        <v>1</v>
      </c>
      <c r="AB51" s="149" t="s">
        <v>804</v>
      </c>
      <c r="AC51" s="149" t="s">
        <v>804</v>
      </c>
      <c r="AD51" s="149" t="s">
        <v>804</v>
      </c>
      <c r="AE51" s="149" t="s">
        <v>804</v>
      </c>
      <c r="AF51" s="149">
        <v>0</v>
      </c>
      <c r="AG51" s="149">
        <v>0</v>
      </c>
      <c r="AH51" s="149">
        <v>1</v>
      </c>
      <c r="AI51" s="149" t="s">
        <v>804</v>
      </c>
      <c r="AJ51" s="162" t="s">
        <v>202</v>
      </c>
      <c r="AK51" s="151" t="s">
        <v>804</v>
      </c>
      <c r="AL51" s="151" t="s">
        <v>804</v>
      </c>
      <c r="AM51" s="149"/>
      <c r="AN51" s="149"/>
      <c r="AO51" s="149"/>
      <c r="AP51" s="149"/>
      <c r="AQ51" s="149"/>
      <c r="AR51" s="151" t="s">
        <v>807</v>
      </c>
      <c r="AS51" s="151"/>
      <c r="AT51" s="151"/>
      <c r="AU51" s="151"/>
      <c r="AV51" s="151"/>
      <c r="AW51" s="153"/>
      <c r="AX51" s="154"/>
      <c r="AY51" s="155"/>
      <c r="AZ51" s="155"/>
      <c r="BA51" s="155"/>
      <c r="BB51" s="155"/>
      <c r="BC51" s="155"/>
      <c r="BD51" s="155"/>
      <c r="BE51" s="155"/>
    </row>
    <row r="52" spans="1:58" s="156" customFormat="1" ht="58">
      <c r="A52" s="146" t="s">
        <v>6</v>
      </c>
      <c r="B52" s="129">
        <v>50</v>
      </c>
      <c r="C52" s="147" t="s">
        <v>808</v>
      </c>
      <c r="D52" s="151" t="s">
        <v>3104</v>
      </c>
      <c r="E52" s="149" t="s">
        <v>833</v>
      </c>
      <c r="F52" s="149" t="s">
        <v>834</v>
      </c>
      <c r="G52" s="149" t="s">
        <v>703</v>
      </c>
      <c r="H52" s="149" t="s">
        <v>2733</v>
      </c>
      <c r="I52" s="149" t="s">
        <v>835</v>
      </c>
      <c r="J52" s="149" t="s">
        <v>836</v>
      </c>
      <c r="K52" s="149" t="s">
        <v>836</v>
      </c>
      <c r="L52" s="149" t="s">
        <v>837</v>
      </c>
      <c r="M52" s="149" t="s">
        <v>703</v>
      </c>
      <c r="N52" s="147">
        <v>10</v>
      </c>
      <c r="O52" s="149" t="s">
        <v>209</v>
      </c>
      <c r="P52" s="149" t="s">
        <v>806</v>
      </c>
      <c r="Q52" s="149">
        <v>8</v>
      </c>
      <c r="R52" s="149">
        <v>51</v>
      </c>
      <c r="S52" s="149">
        <v>50</v>
      </c>
      <c r="T52" s="149">
        <v>2</v>
      </c>
      <c r="U52" s="149" t="s">
        <v>816</v>
      </c>
      <c r="V52" s="149" t="s">
        <v>803</v>
      </c>
      <c r="W52" s="147" t="s">
        <v>804</v>
      </c>
      <c r="X52" s="149" t="s">
        <v>804</v>
      </c>
      <c r="Y52" s="149" t="s">
        <v>817</v>
      </c>
      <c r="Z52" s="149" t="s">
        <v>804</v>
      </c>
      <c r="AA52" s="149">
        <v>1</v>
      </c>
      <c r="AB52" s="149" t="s">
        <v>804</v>
      </c>
      <c r="AC52" s="149" t="s">
        <v>804</v>
      </c>
      <c r="AD52" s="149" t="s">
        <v>804</v>
      </c>
      <c r="AE52" s="149" t="s">
        <v>804</v>
      </c>
      <c r="AF52" s="149">
        <v>0</v>
      </c>
      <c r="AG52" s="149">
        <v>0</v>
      </c>
      <c r="AH52" s="149">
        <v>3</v>
      </c>
      <c r="AI52" s="149" t="s">
        <v>806</v>
      </c>
      <c r="AJ52" s="162" t="s">
        <v>210</v>
      </c>
      <c r="AK52" s="151" t="s">
        <v>804</v>
      </c>
      <c r="AL52" s="151" t="s">
        <v>590</v>
      </c>
      <c r="AM52" s="151" t="s">
        <v>2734</v>
      </c>
      <c r="AN52" s="151"/>
      <c r="AO52" s="151"/>
      <c r="AP52" s="151"/>
      <c r="AQ52" s="151"/>
      <c r="AR52" s="151" t="s">
        <v>807</v>
      </c>
      <c r="AS52" s="151"/>
      <c r="AT52" s="151"/>
      <c r="AU52" s="151"/>
      <c r="AV52" s="151" t="s">
        <v>838</v>
      </c>
      <c r="AW52" s="153"/>
      <c r="AX52" s="154"/>
      <c r="AY52" s="155"/>
      <c r="AZ52" s="155"/>
      <c r="BA52" s="155"/>
      <c r="BB52" s="155"/>
      <c r="BC52" s="155"/>
      <c r="BD52" s="155"/>
      <c r="BE52" s="155"/>
    </row>
    <row r="53" spans="1:58" s="156" customFormat="1" ht="58">
      <c r="A53" s="146" t="s">
        <v>6</v>
      </c>
      <c r="B53" s="129">
        <v>51</v>
      </c>
      <c r="C53" s="147" t="s">
        <v>808</v>
      </c>
      <c r="D53" s="151" t="s">
        <v>3103</v>
      </c>
      <c r="E53" s="149" t="s">
        <v>841</v>
      </c>
      <c r="F53" s="149" t="s">
        <v>842</v>
      </c>
      <c r="G53" s="149" t="s">
        <v>822</v>
      </c>
      <c r="H53" s="149" t="s">
        <v>823</v>
      </c>
      <c r="I53" s="149" t="s">
        <v>824</v>
      </c>
      <c r="J53" s="149" t="s">
        <v>843</v>
      </c>
      <c r="K53" s="149" t="s">
        <v>843</v>
      </c>
      <c r="L53" s="149" t="s">
        <v>804</v>
      </c>
      <c r="M53" s="149" t="s">
        <v>804</v>
      </c>
      <c r="N53" s="147">
        <v>10</v>
      </c>
      <c r="O53" s="149" t="s">
        <v>209</v>
      </c>
      <c r="P53" s="149" t="s">
        <v>806</v>
      </c>
      <c r="Q53" s="149">
        <v>8</v>
      </c>
      <c r="R53" s="149">
        <v>63</v>
      </c>
      <c r="S53" s="149">
        <v>62</v>
      </c>
      <c r="T53" s="149">
        <v>2</v>
      </c>
      <c r="U53" s="149" t="s">
        <v>816</v>
      </c>
      <c r="V53" s="149" t="s">
        <v>803</v>
      </c>
      <c r="W53" s="149" t="s">
        <v>804</v>
      </c>
      <c r="X53" s="149" t="s">
        <v>804</v>
      </c>
      <c r="Y53" s="149" t="s">
        <v>817</v>
      </c>
      <c r="Z53" s="149" t="s">
        <v>804</v>
      </c>
      <c r="AA53" s="149">
        <v>1</v>
      </c>
      <c r="AB53" s="149" t="s">
        <v>804</v>
      </c>
      <c r="AC53" s="149" t="s">
        <v>804</v>
      </c>
      <c r="AD53" s="149" t="s">
        <v>804</v>
      </c>
      <c r="AE53" s="149" t="s">
        <v>804</v>
      </c>
      <c r="AF53" s="149">
        <v>0</v>
      </c>
      <c r="AG53" s="149">
        <v>0</v>
      </c>
      <c r="AH53" s="149">
        <v>2</v>
      </c>
      <c r="AI53" s="149" t="s">
        <v>806</v>
      </c>
      <c r="AJ53" s="162" t="s">
        <v>212</v>
      </c>
      <c r="AK53" s="149" t="s">
        <v>804</v>
      </c>
      <c r="AL53" s="149" t="s">
        <v>804</v>
      </c>
      <c r="AM53" s="151"/>
      <c r="AN53" s="151"/>
      <c r="AO53" s="151"/>
      <c r="AP53" s="151"/>
      <c r="AQ53" s="151"/>
      <c r="AR53" s="151" t="s">
        <v>807</v>
      </c>
      <c r="AS53" s="151"/>
      <c r="AT53" s="151"/>
      <c r="AU53" s="151"/>
      <c r="AV53" s="151"/>
      <c r="AW53" s="153"/>
      <c r="AX53" s="154"/>
      <c r="AY53" s="155"/>
      <c r="AZ53" s="155"/>
      <c r="BA53" s="155"/>
      <c r="BB53" s="155"/>
      <c r="BC53" s="155"/>
      <c r="BD53" s="155"/>
      <c r="BE53" s="155"/>
    </row>
    <row r="54" spans="1:58" s="156" customFormat="1" ht="58">
      <c r="A54" s="146" t="s">
        <v>6</v>
      </c>
      <c r="B54" s="129">
        <v>52</v>
      </c>
      <c r="C54" s="147" t="s">
        <v>808</v>
      </c>
      <c r="D54" s="151" t="s">
        <v>3103</v>
      </c>
      <c r="E54" s="149" t="s">
        <v>844</v>
      </c>
      <c r="F54" s="149" t="s">
        <v>845</v>
      </c>
      <c r="G54" s="149" t="s">
        <v>822</v>
      </c>
      <c r="H54" s="149" t="s">
        <v>823</v>
      </c>
      <c r="I54" s="149" t="s">
        <v>824</v>
      </c>
      <c r="J54" s="149" t="s">
        <v>825</v>
      </c>
      <c r="K54" s="149" t="s">
        <v>825</v>
      </c>
      <c r="L54" s="149" t="s">
        <v>804</v>
      </c>
      <c r="M54" s="149" t="s">
        <v>804</v>
      </c>
      <c r="N54" s="147">
        <v>10</v>
      </c>
      <c r="O54" s="149" t="s">
        <v>209</v>
      </c>
      <c r="P54" s="149" t="s">
        <v>806</v>
      </c>
      <c r="Q54" s="149">
        <v>8</v>
      </c>
      <c r="R54" s="149">
        <v>61</v>
      </c>
      <c r="S54" s="149">
        <v>60</v>
      </c>
      <c r="T54" s="149">
        <v>2</v>
      </c>
      <c r="U54" s="149" t="s">
        <v>816</v>
      </c>
      <c r="V54" s="149" t="s">
        <v>803</v>
      </c>
      <c r="W54" s="149" t="s">
        <v>804</v>
      </c>
      <c r="X54" s="149" t="s">
        <v>804</v>
      </c>
      <c r="Y54" s="149" t="s">
        <v>817</v>
      </c>
      <c r="Z54" s="149" t="s">
        <v>804</v>
      </c>
      <c r="AA54" s="149">
        <v>1</v>
      </c>
      <c r="AB54" s="149" t="s">
        <v>804</v>
      </c>
      <c r="AC54" s="149" t="s">
        <v>804</v>
      </c>
      <c r="AD54" s="149" t="s">
        <v>804</v>
      </c>
      <c r="AE54" s="149" t="s">
        <v>804</v>
      </c>
      <c r="AF54" s="149">
        <v>0</v>
      </c>
      <c r="AG54" s="149">
        <v>0</v>
      </c>
      <c r="AH54" s="149">
        <v>2</v>
      </c>
      <c r="AI54" s="149" t="s">
        <v>806</v>
      </c>
      <c r="AJ54" s="162" t="s">
        <v>212</v>
      </c>
      <c r="AK54" s="149" t="s">
        <v>804</v>
      </c>
      <c r="AL54" s="149" t="s">
        <v>804</v>
      </c>
      <c r="AM54" s="151"/>
      <c r="AN54" s="151"/>
      <c r="AO54" s="151"/>
      <c r="AP54" s="151"/>
      <c r="AQ54" s="151"/>
      <c r="AR54" s="151" t="s">
        <v>807</v>
      </c>
      <c r="AS54" s="151"/>
      <c r="AT54" s="151"/>
      <c r="AU54" s="151"/>
      <c r="AV54" s="151"/>
      <c r="AW54" s="153"/>
      <c r="AX54" s="154"/>
      <c r="AY54" s="155"/>
      <c r="AZ54" s="155"/>
      <c r="BA54" s="155"/>
      <c r="BB54" s="155"/>
      <c r="BC54" s="155"/>
      <c r="BD54" s="155"/>
      <c r="BE54" s="155"/>
    </row>
    <row r="55" spans="1:58" s="156" customFormat="1" ht="25">
      <c r="A55" s="146" t="s">
        <v>6</v>
      </c>
      <c r="B55" s="129">
        <v>53</v>
      </c>
      <c r="C55" s="147" t="s">
        <v>191</v>
      </c>
      <c r="D55" s="147" t="s">
        <v>3103</v>
      </c>
      <c r="E55" s="151" t="s">
        <v>846</v>
      </c>
      <c r="F55" s="147" t="s">
        <v>847</v>
      </c>
      <c r="G55" s="149" t="s">
        <v>665</v>
      </c>
      <c r="H55" s="149" t="s">
        <v>799</v>
      </c>
      <c r="I55" s="149" t="s">
        <v>800</v>
      </c>
      <c r="J55" s="147" t="s">
        <v>668</v>
      </c>
      <c r="K55" s="147" t="s">
        <v>192</v>
      </c>
      <c r="L55" s="147" t="s">
        <v>669</v>
      </c>
      <c r="M55" s="147" t="s">
        <v>669</v>
      </c>
      <c r="N55" s="147">
        <v>10</v>
      </c>
      <c r="O55" s="149" t="s">
        <v>209</v>
      </c>
      <c r="P55" s="147" t="s">
        <v>801</v>
      </c>
      <c r="Q55" s="147">
        <v>8</v>
      </c>
      <c r="R55" s="149">
        <v>59</v>
      </c>
      <c r="S55" s="149">
        <v>56</v>
      </c>
      <c r="T55" s="149">
        <v>4</v>
      </c>
      <c r="U55" s="149" t="s">
        <v>802</v>
      </c>
      <c r="V55" s="149" t="s">
        <v>803</v>
      </c>
      <c r="W55" s="149" t="s">
        <v>804</v>
      </c>
      <c r="X55" s="149" t="s">
        <v>804</v>
      </c>
      <c r="Y55" s="147" t="s">
        <v>817</v>
      </c>
      <c r="Z55" s="147" t="s">
        <v>194</v>
      </c>
      <c r="AA55" s="147">
        <v>1</v>
      </c>
      <c r="AB55" s="149" t="s">
        <v>804</v>
      </c>
      <c r="AC55" s="149" t="s">
        <v>804</v>
      </c>
      <c r="AD55" s="149" t="s">
        <v>804</v>
      </c>
      <c r="AE55" s="149" t="s">
        <v>804</v>
      </c>
      <c r="AF55" s="147">
        <v>0</v>
      </c>
      <c r="AG55" s="147">
        <v>0</v>
      </c>
      <c r="AH55" s="147">
        <v>15</v>
      </c>
      <c r="AI55" s="147" t="s">
        <v>804</v>
      </c>
      <c r="AJ55" s="150" t="s">
        <v>2123</v>
      </c>
      <c r="AK55" s="149" t="s">
        <v>804</v>
      </c>
      <c r="AL55" s="149" t="s">
        <v>804</v>
      </c>
      <c r="AM55" s="151"/>
      <c r="AN55" s="151"/>
      <c r="AO55" s="151"/>
      <c r="AP55" s="151"/>
      <c r="AQ55" s="151"/>
      <c r="AR55" s="151" t="s">
        <v>807</v>
      </c>
      <c r="AS55" s="151"/>
      <c r="AT55" s="151"/>
      <c r="AU55" s="151"/>
      <c r="AV55" s="151"/>
      <c r="AW55" s="153"/>
      <c r="AX55" s="154"/>
      <c r="AY55" s="155"/>
      <c r="AZ55" s="155"/>
      <c r="BA55" s="155"/>
      <c r="BB55" s="155"/>
      <c r="BC55" s="155"/>
      <c r="BD55" s="155"/>
      <c r="BE55" s="155"/>
    </row>
    <row r="56" spans="1:58" s="156" customFormat="1" ht="44">
      <c r="A56" s="146" t="s">
        <v>6</v>
      </c>
      <c r="B56" s="129">
        <v>54</v>
      </c>
      <c r="C56" s="147" t="s">
        <v>191</v>
      </c>
      <c r="D56" s="147" t="s">
        <v>3105</v>
      </c>
      <c r="E56" s="149" t="s">
        <v>848</v>
      </c>
      <c r="F56" s="149" t="s">
        <v>1991</v>
      </c>
      <c r="G56" s="149" t="s">
        <v>665</v>
      </c>
      <c r="H56" s="149" t="s">
        <v>849</v>
      </c>
      <c r="I56" s="149" t="s">
        <v>850</v>
      </c>
      <c r="J56" s="147" t="s">
        <v>668</v>
      </c>
      <c r="K56" s="147" t="s">
        <v>668</v>
      </c>
      <c r="L56" s="147" t="s">
        <v>669</v>
      </c>
      <c r="M56" s="147" t="s">
        <v>669</v>
      </c>
      <c r="N56" s="147">
        <v>200</v>
      </c>
      <c r="O56" s="147" t="s">
        <v>669</v>
      </c>
      <c r="P56" s="147" t="s">
        <v>669</v>
      </c>
      <c r="Q56" s="147">
        <v>8</v>
      </c>
      <c r="R56" s="147">
        <v>7</v>
      </c>
      <c r="S56" s="147">
        <v>0</v>
      </c>
      <c r="T56" s="147">
        <v>8</v>
      </c>
      <c r="U56" s="149" t="s">
        <v>670</v>
      </c>
      <c r="V56" s="149" t="s">
        <v>671</v>
      </c>
      <c r="W56" s="149" t="s">
        <v>665</v>
      </c>
      <c r="X56" s="149" t="s">
        <v>665</v>
      </c>
      <c r="Y56" s="149" t="s">
        <v>672</v>
      </c>
      <c r="Z56" s="147" t="s">
        <v>194</v>
      </c>
      <c r="AA56" s="149">
        <v>1</v>
      </c>
      <c r="AB56" s="149" t="s">
        <v>665</v>
      </c>
      <c r="AC56" s="149" t="s">
        <v>665</v>
      </c>
      <c r="AD56" s="149" t="s">
        <v>665</v>
      </c>
      <c r="AE56" s="149" t="s">
        <v>665</v>
      </c>
      <c r="AF56" s="149">
        <v>0</v>
      </c>
      <c r="AG56" s="149">
        <v>0</v>
      </c>
      <c r="AH56" s="149">
        <v>255</v>
      </c>
      <c r="AI56" s="149" t="s">
        <v>673</v>
      </c>
      <c r="AJ56" s="150" t="s">
        <v>2121</v>
      </c>
      <c r="AK56" s="149" t="s">
        <v>665</v>
      </c>
      <c r="AL56" s="149" t="s">
        <v>665</v>
      </c>
      <c r="AM56" s="151"/>
      <c r="AN56" s="151"/>
      <c r="AO56" s="151"/>
      <c r="AP56" s="151"/>
      <c r="AQ56" s="151"/>
      <c r="AR56" s="151"/>
      <c r="AS56" s="151"/>
      <c r="AT56" s="151"/>
      <c r="AU56" s="151"/>
      <c r="AV56" s="151"/>
      <c r="AW56" s="153"/>
      <c r="AX56" s="154" t="s">
        <v>685</v>
      </c>
      <c r="AY56" s="155"/>
      <c r="AZ56" s="155"/>
      <c r="BA56" s="155"/>
      <c r="BB56" s="155"/>
      <c r="BC56" s="155"/>
      <c r="BD56" s="155"/>
      <c r="BE56" s="155"/>
    </row>
    <row r="57" spans="1:58" s="156" customFormat="1" ht="30">
      <c r="A57" s="146" t="s">
        <v>2735</v>
      </c>
      <c r="B57" s="129">
        <v>55</v>
      </c>
      <c r="C57" s="149" t="s">
        <v>699</v>
      </c>
      <c r="D57" s="151" t="s">
        <v>3106</v>
      </c>
      <c r="E57" s="149" t="s">
        <v>851</v>
      </c>
      <c r="F57" s="149" t="s">
        <v>852</v>
      </c>
      <c r="G57" s="149" t="s">
        <v>665</v>
      </c>
      <c r="H57" s="149" t="s">
        <v>853</v>
      </c>
      <c r="I57" s="149" t="s">
        <v>850</v>
      </c>
      <c r="J57" s="147" t="s">
        <v>668</v>
      </c>
      <c r="K57" s="149" t="s">
        <v>854</v>
      </c>
      <c r="L57" s="147" t="s">
        <v>665</v>
      </c>
      <c r="M57" s="147" t="s">
        <v>665</v>
      </c>
      <c r="N57" s="147">
        <v>200</v>
      </c>
      <c r="O57" s="149" t="s">
        <v>665</v>
      </c>
      <c r="P57" s="149" t="s">
        <v>665</v>
      </c>
      <c r="Q57" s="149">
        <v>8</v>
      </c>
      <c r="R57" s="149">
        <v>15</v>
      </c>
      <c r="S57" s="149">
        <v>22</v>
      </c>
      <c r="T57" s="149">
        <v>10</v>
      </c>
      <c r="U57" s="149" t="s">
        <v>670</v>
      </c>
      <c r="V57" s="149" t="s">
        <v>671</v>
      </c>
      <c r="W57" s="147" t="s">
        <v>665</v>
      </c>
      <c r="X57" s="149" t="s">
        <v>665</v>
      </c>
      <c r="Y57" s="149" t="s">
        <v>676</v>
      </c>
      <c r="Z57" s="149" t="s">
        <v>665</v>
      </c>
      <c r="AA57" s="149">
        <v>0.1</v>
      </c>
      <c r="AB57" s="149" t="s">
        <v>665</v>
      </c>
      <c r="AC57" s="149" t="s">
        <v>665</v>
      </c>
      <c r="AD57" s="149" t="s">
        <v>665</v>
      </c>
      <c r="AE57" s="149" t="s">
        <v>665</v>
      </c>
      <c r="AF57" s="147">
        <v>0</v>
      </c>
      <c r="AG57" s="149">
        <v>0</v>
      </c>
      <c r="AH57" s="147">
        <v>99</v>
      </c>
      <c r="AI57" s="149" t="s">
        <v>855</v>
      </c>
      <c r="AJ57" s="162" t="s">
        <v>2129</v>
      </c>
      <c r="AK57" s="151" t="s">
        <v>665</v>
      </c>
      <c r="AL57" s="149" t="s">
        <v>2731</v>
      </c>
      <c r="AM57" s="151" t="s">
        <v>779</v>
      </c>
      <c r="AN57" s="151"/>
      <c r="AO57" s="151"/>
      <c r="AP57" s="151"/>
      <c r="AQ57" s="151"/>
      <c r="AR57" s="151"/>
      <c r="AS57" s="151"/>
      <c r="AT57" s="151"/>
      <c r="AU57" s="151"/>
      <c r="AV57" s="151"/>
      <c r="AW57" s="153"/>
      <c r="AX57" s="154"/>
      <c r="AY57" s="155"/>
      <c r="AZ57" s="155"/>
      <c r="BA57" s="155"/>
      <c r="BB57" s="155"/>
      <c r="BC57" s="155"/>
      <c r="BD57" s="155"/>
      <c r="BE57" s="155"/>
    </row>
    <row r="58" spans="1:58" s="156" customFormat="1" ht="117">
      <c r="A58" s="146" t="s">
        <v>6</v>
      </c>
      <c r="B58" s="129">
        <v>56</v>
      </c>
      <c r="C58" s="147" t="s">
        <v>191</v>
      </c>
      <c r="D58" s="147" t="s">
        <v>3095</v>
      </c>
      <c r="E58" s="149" t="s">
        <v>856</v>
      </c>
      <c r="F58" s="149" t="s">
        <v>857</v>
      </c>
      <c r="G58" s="149" t="s">
        <v>665</v>
      </c>
      <c r="H58" s="149" t="s">
        <v>849</v>
      </c>
      <c r="I58" s="149" t="s">
        <v>850</v>
      </c>
      <c r="J58" s="147" t="s">
        <v>668</v>
      </c>
      <c r="K58" s="147" t="s">
        <v>192</v>
      </c>
      <c r="L58" s="147" t="s">
        <v>669</v>
      </c>
      <c r="M58" s="147" t="s">
        <v>669</v>
      </c>
      <c r="N58" s="147">
        <v>200</v>
      </c>
      <c r="O58" s="147" t="s">
        <v>669</v>
      </c>
      <c r="P58" s="147" t="s">
        <v>669</v>
      </c>
      <c r="Q58" s="147">
        <v>8</v>
      </c>
      <c r="R58" s="149">
        <v>20</v>
      </c>
      <c r="S58" s="149">
        <v>18</v>
      </c>
      <c r="T58" s="149">
        <v>3</v>
      </c>
      <c r="U58" s="149" t="s">
        <v>670</v>
      </c>
      <c r="V58" s="149" t="s">
        <v>671</v>
      </c>
      <c r="W58" s="149" t="s">
        <v>665</v>
      </c>
      <c r="X58" s="149" t="s">
        <v>665</v>
      </c>
      <c r="Y58" s="149" t="s">
        <v>679</v>
      </c>
      <c r="Z58" s="147" t="s">
        <v>194</v>
      </c>
      <c r="AA58" s="149">
        <v>1</v>
      </c>
      <c r="AB58" s="149" t="s">
        <v>665</v>
      </c>
      <c r="AC58" s="149" t="s">
        <v>665</v>
      </c>
      <c r="AD58" s="149" t="s">
        <v>665</v>
      </c>
      <c r="AE58" s="149" t="s">
        <v>665</v>
      </c>
      <c r="AF58" s="149">
        <v>0</v>
      </c>
      <c r="AG58" s="147">
        <v>0</v>
      </c>
      <c r="AH58" s="149">
        <v>7</v>
      </c>
      <c r="AI58" s="149"/>
      <c r="AJ58" s="150" t="s">
        <v>858</v>
      </c>
      <c r="AK58" s="149" t="s">
        <v>665</v>
      </c>
      <c r="AL58" s="149" t="s">
        <v>590</v>
      </c>
      <c r="AM58" s="151" t="s">
        <v>2718</v>
      </c>
      <c r="AN58" s="151"/>
      <c r="AO58" s="151"/>
      <c r="AP58" s="151"/>
      <c r="AQ58" s="151"/>
      <c r="AR58" s="151"/>
      <c r="AS58" s="151"/>
      <c r="AT58" s="151"/>
      <c r="AU58" s="151"/>
      <c r="AV58" s="151"/>
      <c r="AW58" s="153"/>
      <c r="AX58" s="154"/>
      <c r="AY58" s="155"/>
      <c r="AZ58" s="155"/>
      <c r="BA58" s="155"/>
      <c r="BB58" s="155"/>
      <c r="BC58" s="155"/>
      <c r="BD58" s="155"/>
      <c r="BE58" s="155"/>
    </row>
    <row r="59" spans="1:58" s="156" customFormat="1" ht="31">
      <c r="A59" s="146" t="s">
        <v>6</v>
      </c>
      <c r="B59" s="129">
        <v>57</v>
      </c>
      <c r="C59" s="147" t="s">
        <v>859</v>
      </c>
      <c r="D59" s="147" t="s">
        <v>3095</v>
      </c>
      <c r="E59" s="149" t="s">
        <v>860</v>
      </c>
      <c r="F59" s="149" t="s">
        <v>861</v>
      </c>
      <c r="G59" s="149" t="s">
        <v>684</v>
      </c>
      <c r="H59" s="149" t="s">
        <v>862</v>
      </c>
      <c r="I59" s="149" t="s">
        <v>863</v>
      </c>
      <c r="J59" s="147" t="s">
        <v>724</v>
      </c>
      <c r="K59" s="147" t="s">
        <v>864</v>
      </c>
      <c r="L59" s="147" t="s">
        <v>684</v>
      </c>
      <c r="M59" s="147" t="s">
        <v>684</v>
      </c>
      <c r="N59" s="147">
        <v>200</v>
      </c>
      <c r="O59" s="149" t="s">
        <v>684</v>
      </c>
      <c r="P59" s="147" t="s">
        <v>684</v>
      </c>
      <c r="Q59" s="149">
        <v>8</v>
      </c>
      <c r="R59" s="174">
        <v>17</v>
      </c>
      <c r="S59" s="174">
        <v>24</v>
      </c>
      <c r="T59" s="147">
        <v>10</v>
      </c>
      <c r="U59" s="149" t="s">
        <v>726</v>
      </c>
      <c r="V59" s="149" t="s">
        <v>727</v>
      </c>
      <c r="W59" s="147" t="s">
        <v>684</v>
      </c>
      <c r="X59" s="149" t="s">
        <v>684</v>
      </c>
      <c r="Y59" s="149" t="s">
        <v>778</v>
      </c>
      <c r="Z59" s="147" t="s">
        <v>684</v>
      </c>
      <c r="AA59" s="147">
        <v>0.1</v>
      </c>
      <c r="AB59" s="149" t="s">
        <v>684</v>
      </c>
      <c r="AC59" s="149" t="s">
        <v>684</v>
      </c>
      <c r="AD59" s="149" t="s">
        <v>684</v>
      </c>
      <c r="AE59" s="149" t="s">
        <v>684</v>
      </c>
      <c r="AF59" s="147">
        <v>0</v>
      </c>
      <c r="AG59" s="147">
        <v>0</v>
      </c>
      <c r="AH59" s="147">
        <v>99</v>
      </c>
      <c r="AI59" s="149" t="s">
        <v>865</v>
      </c>
      <c r="AJ59" s="162" t="s">
        <v>2129</v>
      </c>
      <c r="AK59" s="151" t="s">
        <v>684</v>
      </c>
      <c r="AL59" s="149" t="s">
        <v>2732</v>
      </c>
      <c r="AM59" s="151" t="s">
        <v>779</v>
      </c>
      <c r="AN59" s="151"/>
      <c r="AO59" s="151"/>
      <c r="AP59" s="151"/>
      <c r="AQ59" s="151"/>
      <c r="AR59" s="151"/>
      <c r="AS59" s="151"/>
      <c r="AT59" s="151"/>
      <c r="AU59" s="151"/>
      <c r="AV59" s="151"/>
      <c r="AW59" s="153"/>
      <c r="AX59" s="154"/>
      <c r="AY59" s="155"/>
      <c r="AZ59" s="155"/>
      <c r="BA59" s="155"/>
      <c r="BB59" s="155"/>
      <c r="BC59" s="155"/>
      <c r="BD59" s="155"/>
      <c r="BE59" s="155"/>
    </row>
    <row r="60" spans="1:58" s="156" customFormat="1" ht="58">
      <c r="A60" s="146" t="s">
        <v>6</v>
      </c>
      <c r="B60" s="129">
        <v>58</v>
      </c>
      <c r="C60" s="147" t="s">
        <v>733</v>
      </c>
      <c r="D60" s="147" t="s">
        <v>3095</v>
      </c>
      <c r="E60" s="157" t="s">
        <v>1837</v>
      </c>
      <c r="F60" s="149" t="s">
        <v>867</v>
      </c>
      <c r="G60" s="149" t="s">
        <v>684</v>
      </c>
      <c r="H60" s="149" t="s">
        <v>862</v>
      </c>
      <c r="I60" s="149" t="s">
        <v>863</v>
      </c>
      <c r="J60" s="147" t="s">
        <v>724</v>
      </c>
      <c r="K60" s="147" t="s">
        <v>864</v>
      </c>
      <c r="L60" s="147" t="s">
        <v>684</v>
      </c>
      <c r="M60" s="147" t="s">
        <v>684</v>
      </c>
      <c r="N60" s="147">
        <v>200</v>
      </c>
      <c r="O60" s="149" t="s">
        <v>684</v>
      </c>
      <c r="P60" s="147" t="s">
        <v>684</v>
      </c>
      <c r="Q60" s="149">
        <v>8</v>
      </c>
      <c r="R60" s="174">
        <v>39</v>
      </c>
      <c r="S60" s="174">
        <v>38</v>
      </c>
      <c r="T60" s="147">
        <v>2</v>
      </c>
      <c r="U60" s="149" t="s">
        <v>726</v>
      </c>
      <c r="V60" s="149" t="s">
        <v>727</v>
      </c>
      <c r="W60" s="147" t="s">
        <v>684</v>
      </c>
      <c r="X60" s="149" t="s">
        <v>684</v>
      </c>
      <c r="Y60" s="149" t="s">
        <v>728</v>
      </c>
      <c r="Z60" s="147" t="s">
        <v>194</v>
      </c>
      <c r="AA60" s="147">
        <v>1</v>
      </c>
      <c r="AB60" s="149" t="s">
        <v>684</v>
      </c>
      <c r="AC60" s="149" t="s">
        <v>684</v>
      </c>
      <c r="AD60" s="149" t="s">
        <v>684</v>
      </c>
      <c r="AE60" s="149" t="s">
        <v>684</v>
      </c>
      <c r="AF60" s="147">
        <v>0</v>
      </c>
      <c r="AG60" s="147">
        <v>0</v>
      </c>
      <c r="AH60" s="147">
        <v>3</v>
      </c>
      <c r="AI60" s="149" t="s">
        <v>684</v>
      </c>
      <c r="AJ60" s="162" t="s">
        <v>868</v>
      </c>
      <c r="AK60" s="151" t="s">
        <v>684</v>
      </c>
      <c r="AL60" s="149" t="s">
        <v>589</v>
      </c>
      <c r="AM60" s="151" t="s">
        <v>685</v>
      </c>
      <c r="AN60" s="151"/>
      <c r="AO60" s="151"/>
      <c r="AP60" s="151"/>
      <c r="AQ60" s="151"/>
      <c r="AR60" s="151"/>
      <c r="AS60" s="151"/>
      <c r="AT60" s="151"/>
      <c r="AU60" s="151"/>
      <c r="AV60" s="151"/>
      <c r="AW60" s="153"/>
      <c r="AX60" s="154"/>
      <c r="AY60" s="155"/>
      <c r="AZ60" s="155"/>
      <c r="BA60" s="155"/>
      <c r="BB60" s="155"/>
      <c r="BC60" s="155"/>
      <c r="BD60" s="155"/>
      <c r="BE60" s="155"/>
    </row>
    <row r="61" spans="1:58" s="156" customFormat="1" ht="30">
      <c r="A61" s="146" t="s">
        <v>6</v>
      </c>
      <c r="B61" s="129">
        <v>59</v>
      </c>
      <c r="C61" s="147" t="s">
        <v>191</v>
      </c>
      <c r="D61" s="147" t="s">
        <v>3095</v>
      </c>
      <c r="E61" s="183" t="s">
        <v>1893</v>
      </c>
      <c r="F61" s="158" t="s">
        <v>1894</v>
      </c>
      <c r="G61" s="149" t="s">
        <v>1892</v>
      </c>
      <c r="H61" s="149" t="s">
        <v>1895</v>
      </c>
      <c r="I61" s="149" t="s">
        <v>1896</v>
      </c>
      <c r="J61" s="147" t="s">
        <v>1897</v>
      </c>
      <c r="K61" s="147" t="s">
        <v>1898</v>
      </c>
      <c r="L61" s="147" t="s">
        <v>1899</v>
      </c>
      <c r="M61" s="147" t="s">
        <v>1899</v>
      </c>
      <c r="N61" s="147">
        <v>200</v>
      </c>
      <c r="O61" s="149" t="s">
        <v>1899</v>
      </c>
      <c r="P61" s="147" t="s">
        <v>1899</v>
      </c>
      <c r="Q61" s="149">
        <v>8</v>
      </c>
      <c r="R61" s="149">
        <v>37</v>
      </c>
      <c r="S61" s="149">
        <v>37</v>
      </c>
      <c r="T61" s="149">
        <v>1</v>
      </c>
      <c r="U61" s="149" t="s">
        <v>1900</v>
      </c>
      <c r="V61" s="149" t="s">
        <v>1901</v>
      </c>
      <c r="W61" s="147" t="s">
        <v>1899</v>
      </c>
      <c r="X61" s="149" t="s">
        <v>1899</v>
      </c>
      <c r="Y61" s="147">
        <v>0</v>
      </c>
      <c r="Z61" s="148" t="s">
        <v>1899</v>
      </c>
      <c r="AA61" s="147">
        <v>1</v>
      </c>
      <c r="AB61" s="149" t="s">
        <v>1899</v>
      </c>
      <c r="AC61" s="149" t="s">
        <v>1899</v>
      </c>
      <c r="AD61" s="149" t="s">
        <v>1899</v>
      </c>
      <c r="AE61" s="149" t="s">
        <v>1899</v>
      </c>
      <c r="AF61" s="147">
        <v>0</v>
      </c>
      <c r="AG61" s="147">
        <v>0</v>
      </c>
      <c r="AH61" s="147">
        <v>1</v>
      </c>
      <c r="AI61" s="149" t="s">
        <v>1899</v>
      </c>
      <c r="AJ61" s="161" t="s">
        <v>1902</v>
      </c>
      <c r="AK61" s="151" t="s">
        <v>1899</v>
      </c>
      <c r="AL61" s="152" t="s">
        <v>1910</v>
      </c>
      <c r="AM61" s="151" t="s">
        <v>1903</v>
      </c>
      <c r="AN61" s="151"/>
      <c r="AO61" s="151"/>
      <c r="AP61" s="151"/>
      <c r="AQ61" s="151"/>
      <c r="AR61" s="151"/>
      <c r="AS61" s="151"/>
      <c r="AT61" s="151"/>
      <c r="AU61" s="151"/>
      <c r="AV61" s="151"/>
      <c r="AW61" s="153"/>
      <c r="AX61" s="154"/>
      <c r="AY61" s="155"/>
      <c r="AZ61" s="155"/>
      <c r="BA61" s="155"/>
      <c r="BB61" s="155"/>
      <c r="BC61" s="155"/>
      <c r="BD61" s="155"/>
      <c r="BE61" s="155"/>
    </row>
    <row r="62" spans="1:58" s="156" customFormat="1" ht="103">
      <c r="A62" s="146" t="s">
        <v>6</v>
      </c>
      <c r="B62" s="129">
        <v>60</v>
      </c>
      <c r="C62" s="147" t="s">
        <v>191</v>
      </c>
      <c r="D62" s="147"/>
      <c r="E62" s="161" t="s">
        <v>2587</v>
      </c>
      <c r="F62" s="161" t="s">
        <v>2588</v>
      </c>
      <c r="G62" s="149" t="s">
        <v>665</v>
      </c>
      <c r="H62" s="157" t="s">
        <v>849</v>
      </c>
      <c r="I62" s="157" t="s">
        <v>850</v>
      </c>
      <c r="J62" s="147" t="s">
        <v>668</v>
      </c>
      <c r="K62" s="147" t="s">
        <v>192</v>
      </c>
      <c r="L62" s="147" t="s">
        <v>193</v>
      </c>
      <c r="M62" s="147" t="s">
        <v>193</v>
      </c>
      <c r="N62" s="147">
        <v>200</v>
      </c>
      <c r="O62" s="147" t="s">
        <v>193</v>
      </c>
      <c r="P62" s="147" t="s">
        <v>193</v>
      </c>
      <c r="Q62" s="147">
        <v>8</v>
      </c>
      <c r="R62" s="149">
        <v>36</v>
      </c>
      <c r="S62" s="149">
        <v>34</v>
      </c>
      <c r="T62" s="149">
        <v>3</v>
      </c>
      <c r="U62" s="149" t="s">
        <v>670</v>
      </c>
      <c r="V62" s="149" t="s">
        <v>671</v>
      </c>
      <c r="W62" s="149" t="s">
        <v>665</v>
      </c>
      <c r="X62" s="149" t="s">
        <v>665</v>
      </c>
      <c r="Y62" s="149" t="s">
        <v>679</v>
      </c>
      <c r="Z62" s="147" t="s">
        <v>194</v>
      </c>
      <c r="AA62" s="149">
        <v>1</v>
      </c>
      <c r="AB62" s="149" t="s">
        <v>665</v>
      </c>
      <c r="AC62" s="149" t="s">
        <v>665</v>
      </c>
      <c r="AD62" s="149" t="s">
        <v>665</v>
      </c>
      <c r="AE62" s="149" t="s">
        <v>665</v>
      </c>
      <c r="AF62" s="149">
        <v>0</v>
      </c>
      <c r="AG62" s="147">
        <v>0</v>
      </c>
      <c r="AH62" s="149">
        <v>7</v>
      </c>
      <c r="AI62" s="157" t="s">
        <v>665</v>
      </c>
      <c r="AJ62" s="158" t="s">
        <v>2589</v>
      </c>
      <c r="AK62" s="149" t="s">
        <v>665</v>
      </c>
      <c r="AL62" s="149" t="s">
        <v>665</v>
      </c>
      <c r="AM62" s="149" t="s">
        <v>665</v>
      </c>
      <c r="AN62" s="151"/>
      <c r="AO62" s="151"/>
      <c r="AP62" s="151"/>
      <c r="AQ62" s="151"/>
      <c r="AR62" s="151"/>
      <c r="AS62" s="151"/>
      <c r="AT62" s="151"/>
      <c r="AU62" s="151"/>
      <c r="AV62" s="151"/>
      <c r="AW62" s="153"/>
      <c r="AX62" s="154"/>
      <c r="AY62" s="155"/>
      <c r="AZ62" s="155"/>
      <c r="BA62" s="155"/>
      <c r="BB62" s="155"/>
      <c r="BC62" s="155"/>
      <c r="BD62" s="155"/>
      <c r="BE62" s="155"/>
      <c r="BF62" s="155"/>
    </row>
    <row r="63" spans="1:58" s="192" customFormat="1" ht="44">
      <c r="A63" s="146" t="s">
        <v>6</v>
      </c>
      <c r="B63" s="129">
        <v>61</v>
      </c>
      <c r="C63" s="147" t="s">
        <v>191</v>
      </c>
      <c r="D63" s="184" t="s">
        <v>3095</v>
      </c>
      <c r="E63" s="185" t="s">
        <v>1904</v>
      </c>
      <c r="F63" s="185" t="s">
        <v>1905</v>
      </c>
      <c r="G63" s="186" t="s">
        <v>198</v>
      </c>
      <c r="H63" s="149" t="s">
        <v>1906</v>
      </c>
      <c r="I63" s="149" t="s">
        <v>1896</v>
      </c>
      <c r="J63" s="186" t="s">
        <v>192</v>
      </c>
      <c r="K63" s="186" t="s">
        <v>192</v>
      </c>
      <c r="L63" s="186" t="s">
        <v>198</v>
      </c>
      <c r="M63" s="186" t="s">
        <v>198</v>
      </c>
      <c r="N63" s="147">
        <v>200</v>
      </c>
      <c r="O63" s="147" t="s">
        <v>1907</v>
      </c>
      <c r="P63" s="187" t="s">
        <v>198</v>
      </c>
      <c r="Q63" s="186">
        <v>8</v>
      </c>
      <c r="R63" s="186">
        <v>47</v>
      </c>
      <c r="S63" s="186">
        <v>40</v>
      </c>
      <c r="T63" s="186">
        <v>8</v>
      </c>
      <c r="U63" s="186" t="s">
        <v>240</v>
      </c>
      <c r="V63" s="186" t="s">
        <v>535</v>
      </c>
      <c r="W63" s="186" t="s">
        <v>1899</v>
      </c>
      <c r="X63" s="186" t="s">
        <v>198</v>
      </c>
      <c r="Y63" s="147">
        <v>0</v>
      </c>
      <c r="Z63" s="148" t="s">
        <v>1899</v>
      </c>
      <c r="AA63" s="186">
        <v>0.59</v>
      </c>
      <c r="AB63" s="186" t="s">
        <v>1908</v>
      </c>
      <c r="AC63" s="186" t="s">
        <v>1908</v>
      </c>
      <c r="AD63" s="186" t="s">
        <v>1908</v>
      </c>
      <c r="AE63" s="186" t="s">
        <v>198</v>
      </c>
      <c r="AF63" s="186">
        <v>0</v>
      </c>
      <c r="AG63" s="186">
        <v>0</v>
      </c>
      <c r="AH63" s="186">
        <v>149.86000000000001</v>
      </c>
      <c r="AI63" s="186" t="s">
        <v>1909</v>
      </c>
      <c r="AJ63" s="185" t="s">
        <v>2130</v>
      </c>
      <c r="AK63" s="186" t="s">
        <v>198</v>
      </c>
      <c r="AL63" s="152" t="s">
        <v>1911</v>
      </c>
      <c r="AM63" s="151" t="s">
        <v>1903</v>
      </c>
      <c r="AN63" s="184"/>
      <c r="AO63" s="188"/>
      <c r="AP63" s="188"/>
      <c r="AQ63" s="188"/>
      <c r="AR63" s="188"/>
      <c r="AS63" s="189"/>
      <c r="AT63" s="189"/>
      <c r="AU63" s="189"/>
      <c r="AV63" s="189"/>
      <c r="AW63" s="190"/>
      <c r="AX63" s="191"/>
    </row>
    <row r="64" spans="1:58" s="156" customFormat="1" ht="25">
      <c r="A64" s="146" t="s">
        <v>6</v>
      </c>
      <c r="B64" s="129">
        <v>62</v>
      </c>
      <c r="C64" s="147" t="s">
        <v>191</v>
      </c>
      <c r="D64" s="147" t="s">
        <v>3105</v>
      </c>
      <c r="E64" s="151" t="s">
        <v>869</v>
      </c>
      <c r="F64" s="147" t="s">
        <v>870</v>
      </c>
      <c r="G64" s="149" t="s">
        <v>665</v>
      </c>
      <c r="H64" s="149" t="s">
        <v>853</v>
      </c>
      <c r="I64" s="149" t="s">
        <v>850</v>
      </c>
      <c r="J64" s="147" t="s">
        <v>668</v>
      </c>
      <c r="K64" s="147" t="s">
        <v>192</v>
      </c>
      <c r="L64" s="147" t="s">
        <v>669</v>
      </c>
      <c r="M64" s="147" t="s">
        <v>669</v>
      </c>
      <c r="N64" s="147">
        <v>200</v>
      </c>
      <c r="O64" s="147" t="s">
        <v>669</v>
      </c>
      <c r="P64" s="147" t="s">
        <v>669</v>
      </c>
      <c r="Q64" s="147">
        <v>8</v>
      </c>
      <c r="R64" s="149">
        <v>59</v>
      </c>
      <c r="S64" s="149">
        <v>56</v>
      </c>
      <c r="T64" s="149">
        <v>4</v>
      </c>
      <c r="U64" s="149" t="s">
        <v>670</v>
      </c>
      <c r="V64" s="149" t="s">
        <v>671</v>
      </c>
      <c r="W64" s="149" t="s">
        <v>665</v>
      </c>
      <c r="X64" s="149" t="s">
        <v>665</v>
      </c>
      <c r="Y64" s="147" t="s">
        <v>679</v>
      </c>
      <c r="Z64" s="147" t="s">
        <v>194</v>
      </c>
      <c r="AA64" s="147">
        <v>1</v>
      </c>
      <c r="AB64" s="149" t="s">
        <v>665</v>
      </c>
      <c r="AC64" s="149" t="s">
        <v>665</v>
      </c>
      <c r="AD64" s="149" t="s">
        <v>665</v>
      </c>
      <c r="AE64" s="149" t="s">
        <v>665</v>
      </c>
      <c r="AF64" s="147">
        <v>0</v>
      </c>
      <c r="AG64" s="147">
        <v>0</v>
      </c>
      <c r="AH64" s="147">
        <v>15</v>
      </c>
      <c r="AI64" s="147" t="s">
        <v>665</v>
      </c>
      <c r="AJ64" s="150" t="s">
        <v>2123</v>
      </c>
      <c r="AK64" s="149" t="s">
        <v>665</v>
      </c>
      <c r="AL64" s="151" t="s">
        <v>665</v>
      </c>
      <c r="AM64" s="151"/>
      <c r="AN64" s="151"/>
      <c r="AO64" s="151"/>
      <c r="AP64" s="151"/>
      <c r="AQ64" s="151"/>
      <c r="AR64" s="151"/>
      <c r="AS64" s="151"/>
      <c r="AT64" s="151"/>
      <c r="AU64" s="151"/>
      <c r="AV64" s="151"/>
      <c r="AW64" s="153"/>
      <c r="AX64" s="154" t="s">
        <v>2343</v>
      </c>
      <c r="AY64" s="155"/>
      <c r="AZ64" s="155"/>
      <c r="BA64" s="155"/>
      <c r="BB64" s="155"/>
      <c r="BC64" s="155"/>
      <c r="BD64" s="155"/>
      <c r="BE64" s="155"/>
    </row>
    <row r="65" spans="1:57" s="156" customFormat="1" ht="44">
      <c r="A65" s="146" t="s">
        <v>6</v>
      </c>
      <c r="B65" s="129">
        <v>63</v>
      </c>
      <c r="C65" s="147" t="s">
        <v>191</v>
      </c>
      <c r="D65" s="147" t="s">
        <v>3103</v>
      </c>
      <c r="E65" s="149" t="s">
        <v>871</v>
      </c>
      <c r="F65" s="149" t="s">
        <v>1991</v>
      </c>
      <c r="G65" s="149" t="s">
        <v>665</v>
      </c>
      <c r="H65" s="149" t="s">
        <v>872</v>
      </c>
      <c r="I65" s="149" t="s">
        <v>873</v>
      </c>
      <c r="J65" s="147" t="s">
        <v>724</v>
      </c>
      <c r="K65" s="147" t="s">
        <v>724</v>
      </c>
      <c r="L65" s="147" t="s">
        <v>725</v>
      </c>
      <c r="M65" s="147" t="s">
        <v>725</v>
      </c>
      <c r="N65" s="147">
        <v>10</v>
      </c>
      <c r="O65" s="147" t="s">
        <v>725</v>
      </c>
      <c r="P65" s="147" t="s">
        <v>725</v>
      </c>
      <c r="Q65" s="147">
        <v>8</v>
      </c>
      <c r="R65" s="147">
        <v>7</v>
      </c>
      <c r="S65" s="147">
        <v>0</v>
      </c>
      <c r="T65" s="147">
        <v>8</v>
      </c>
      <c r="U65" s="149" t="s">
        <v>726</v>
      </c>
      <c r="V65" s="149" t="s">
        <v>727</v>
      </c>
      <c r="W65" s="149" t="s">
        <v>684</v>
      </c>
      <c r="X65" s="149" t="s">
        <v>684</v>
      </c>
      <c r="Y65" s="149" t="s">
        <v>874</v>
      </c>
      <c r="Z65" s="147" t="s">
        <v>194</v>
      </c>
      <c r="AA65" s="149">
        <v>1</v>
      </c>
      <c r="AB65" s="149" t="s">
        <v>684</v>
      </c>
      <c r="AC65" s="149" t="s">
        <v>684</v>
      </c>
      <c r="AD65" s="149" t="s">
        <v>684</v>
      </c>
      <c r="AE65" s="149" t="s">
        <v>684</v>
      </c>
      <c r="AF65" s="149">
        <v>0</v>
      </c>
      <c r="AG65" s="149">
        <v>0</v>
      </c>
      <c r="AH65" s="149">
        <v>255</v>
      </c>
      <c r="AI65" s="149" t="s">
        <v>875</v>
      </c>
      <c r="AJ65" s="150" t="s">
        <v>2121</v>
      </c>
      <c r="AK65" s="149" t="s">
        <v>684</v>
      </c>
      <c r="AL65" s="151" t="s">
        <v>684</v>
      </c>
      <c r="AM65" s="151"/>
      <c r="AN65" s="151"/>
      <c r="AO65" s="151"/>
      <c r="AP65" s="151"/>
      <c r="AQ65" s="151"/>
      <c r="AR65" s="151" t="s">
        <v>685</v>
      </c>
      <c r="AS65" s="151"/>
      <c r="AT65" s="151"/>
      <c r="AU65" s="151"/>
      <c r="AV65" s="151"/>
      <c r="AW65" s="153"/>
      <c r="AX65" s="154"/>
      <c r="AY65" s="155"/>
      <c r="AZ65" s="155"/>
      <c r="BA65" s="155"/>
      <c r="BB65" s="155"/>
      <c r="BC65" s="155"/>
      <c r="BD65" s="155"/>
      <c r="BE65" s="155"/>
    </row>
    <row r="66" spans="1:57" s="156" customFormat="1" ht="30">
      <c r="A66" s="146" t="s">
        <v>6</v>
      </c>
      <c r="B66" s="129">
        <v>64</v>
      </c>
      <c r="C66" s="147" t="s">
        <v>733</v>
      </c>
      <c r="D66" s="151" t="s">
        <v>3107</v>
      </c>
      <c r="E66" s="193" t="s">
        <v>2430</v>
      </c>
      <c r="F66" s="157" t="s">
        <v>2429</v>
      </c>
      <c r="G66" s="149" t="s">
        <v>684</v>
      </c>
      <c r="H66" s="149" t="s">
        <v>876</v>
      </c>
      <c r="I66" s="149" t="s">
        <v>873</v>
      </c>
      <c r="J66" s="149" t="s">
        <v>192</v>
      </c>
      <c r="K66" s="149" t="s">
        <v>192</v>
      </c>
      <c r="L66" s="149" t="s">
        <v>684</v>
      </c>
      <c r="M66" s="149" t="s">
        <v>684</v>
      </c>
      <c r="N66" s="147">
        <v>10</v>
      </c>
      <c r="O66" s="149" t="s">
        <v>684</v>
      </c>
      <c r="P66" s="149" t="s">
        <v>875</v>
      </c>
      <c r="Q66" s="149">
        <v>8</v>
      </c>
      <c r="R66" s="149">
        <v>15</v>
      </c>
      <c r="S66" s="149">
        <v>8</v>
      </c>
      <c r="T66" s="149">
        <v>8</v>
      </c>
      <c r="U66" s="149" t="s">
        <v>877</v>
      </c>
      <c r="V66" s="149" t="s">
        <v>727</v>
      </c>
      <c r="W66" s="147" t="s">
        <v>684</v>
      </c>
      <c r="X66" s="149" t="s">
        <v>684</v>
      </c>
      <c r="Y66" s="149" t="s">
        <v>728</v>
      </c>
      <c r="Z66" s="149" t="s">
        <v>878</v>
      </c>
      <c r="AA66" s="149">
        <v>0.39369999999999999</v>
      </c>
      <c r="AB66" s="149" t="s">
        <v>684</v>
      </c>
      <c r="AC66" s="149" t="s">
        <v>684</v>
      </c>
      <c r="AD66" s="149" t="s">
        <v>684</v>
      </c>
      <c r="AE66" s="149" t="s">
        <v>684</v>
      </c>
      <c r="AF66" s="149">
        <v>0</v>
      </c>
      <c r="AG66" s="149">
        <v>0</v>
      </c>
      <c r="AH66" s="149">
        <v>100.3935</v>
      </c>
      <c r="AI66" s="149" t="s">
        <v>879</v>
      </c>
      <c r="AJ66" s="162" t="s">
        <v>2121</v>
      </c>
      <c r="AK66" s="151" t="s">
        <v>684</v>
      </c>
      <c r="AL66" s="151" t="s">
        <v>590</v>
      </c>
      <c r="AM66" s="151" t="s">
        <v>693</v>
      </c>
      <c r="AN66" s="151"/>
      <c r="AO66" s="151"/>
      <c r="AP66" s="151"/>
      <c r="AQ66" s="151"/>
      <c r="AR66" s="151" t="s">
        <v>685</v>
      </c>
      <c r="AS66" s="151"/>
      <c r="AT66" s="151"/>
      <c r="AU66" s="151"/>
      <c r="AV66" s="151" t="s">
        <v>779</v>
      </c>
      <c r="AW66" s="153"/>
      <c r="AX66" s="154"/>
      <c r="AY66" s="155"/>
      <c r="AZ66" s="155"/>
      <c r="BA66" s="155"/>
      <c r="BB66" s="155"/>
      <c r="BC66" s="155"/>
      <c r="BD66" s="155"/>
      <c r="BE66" s="155"/>
    </row>
    <row r="67" spans="1:57" s="156" customFormat="1" ht="44">
      <c r="A67" s="146" t="s">
        <v>6</v>
      </c>
      <c r="B67" s="129">
        <v>65</v>
      </c>
      <c r="C67" s="147" t="s">
        <v>880</v>
      </c>
      <c r="D67" s="147" t="s">
        <v>3108</v>
      </c>
      <c r="E67" s="149" t="s">
        <v>881</v>
      </c>
      <c r="F67" s="149" t="s">
        <v>882</v>
      </c>
      <c r="G67" s="149" t="s">
        <v>684</v>
      </c>
      <c r="H67" s="149" t="s">
        <v>883</v>
      </c>
      <c r="I67" s="149" t="s">
        <v>873</v>
      </c>
      <c r="J67" s="147" t="s">
        <v>724</v>
      </c>
      <c r="K67" s="147" t="s">
        <v>192</v>
      </c>
      <c r="L67" s="147" t="s">
        <v>725</v>
      </c>
      <c r="M67" s="147" t="s">
        <v>725</v>
      </c>
      <c r="N67" s="147">
        <v>10</v>
      </c>
      <c r="O67" s="147" t="s">
        <v>725</v>
      </c>
      <c r="P67" s="147" t="s">
        <v>684</v>
      </c>
      <c r="Q67" s="149">
        <v>8</v>
      </c>
      <c r="R67" s="149">
        <v>23</v>
      </c>
      <c r="S67" s="149">
        <v>29</v>
      </c>
      <c r="T67" s="149">
        <v>11</v>
      </c>
      <c r="U67" s="149" t="s">
        <v>884</v>
      </c>
      <c r="V67" s="149" t="s">
        <v>885</v>
      </c>
      <c r="W67" s="149" t="s">
        <v>725</v>
      </c>
      <c r="X67" s="149" t="s">
        <v>725</v>
      </c>
      <c r="Y67" s="149" t="s">
        <v>886</v>
      </c>
      <c r="Z67" s="147" t="s">
        <v>194</v>
      </c>
      <c r="AA67" s="149">
        <v>1</v>
      </c>
      <c r="AB67" s="149" t="s">
        <v>725</v>
      </c>
      <c r="AC67" s="149" t="s">
        <v>725</v>
      </c>
      <c r="AD67" s="149" t="s">
        <v>725</v>
      </c>
      <c r="AE67" s="149" t="s">
        <v>725</v>
      </c>
      <c r="AF67" s="149">
        <v>40</v>
      </c>
      <c r="AG67" s="149">
        <v>40</v>
      </c>
      <c r="AH67" s="149">
        <v>150</v>
      </c>
      <c r="AI67" s="149" t="s">
        <v>887</v>
      </c>
      <c r="AJ67" s="194" t="s">
        <v>2447</v>
      </c>
      <c r="AK67" s="149" t="s">
        <v>725</v>
      </c>
      <c r="AL67" s="149" t="s">
        <v>2728</v>
      </c>
      <c r="AM67" s="151" t="s">
        <v>685</v>
      </c>
      <c r="AN67" s="151"/>
      <c r="AO67" s="151"/>
      <c r="AP67" s="151"/>
      <c r="AQ67" s="151"/>
      <c r="AR67" s="151"/>
      <c r="AS67" s="151"/>
      <c r="AT67" s="151"/>
      <c r="AU67" s="151"/>
      <c r="AV67" s="151"/>
      <c r="AW67" s="153"/>
      <c r="AX67" s="154"/>
      <c r="AY67" s="155"/>
      <c r="AZ67" s="155"/>
      <c r="BA67" s="155"/>
      <c r="BB67" s="155"/>
      <c r="BC67" s="155"/>
      <c r="BD67" s="155"/>
      <c r="BE67" s="155"/>
    </row>
    <row r="68" spans="1:57" s="156" customFormat="1" ht="30">
      <c r="A68" s="146" t="s">
        <v>6</v>
      </c>
      <c r="B68" s="129">
        <v>66</v>
      </c>
      <c r="C68" s="147" t="s">
        <v>880</v>
      </c>
      <c r="D68" s="147" t="s">
        <v>3095</v>
      </c>
      <c r="E68" s="149" t="s">
        <v>888</v>
      </c>
      <c r="F68" s="149" t="s">
        <v>889</v>
      </c>
      <c r="G68" s="149" t="s">
        <v>684</v>
      </c>
      <c r="H68" s="149" t="s">
        <v>883</v>
      </c>
      <c r="I68" s="149" t="s">
        <v>873</v>
      </c>
      <c r="J68" s="147" t="s">
        <v>724</v>
      </c>
      <c r="K68" s="147" t="s">
        <v>192</v>
      </c>
      <c r="L68" s="147" t="s">
        <v>725</v>
      </c>
      <c r="M68" s="147" t="s">
        <v>725</v>
      </c>
      <c r="N68" s="147">
        <v>10</v>
      </c>
      <c r="O68" s="147" t="s">
        <v>725</v>
      </c>
      <c r="P68" s="147" t="s">
        <v>684</v>
      </c>
      <c r="Q68" s="149">
        <v>8</v>
      </c>
      <c r="R68" s="149">
        <v>28</v>
      </c>
      <c r="S68" s="149">
        <v>28</v>
      </c>
      <c r="T68" s="149">
        <v>1</v>
      </c>
      <c r="U68" s="149" t="s">
        <v>884</v>
      </c>
      <c r="V68" s="149" t="s">
        <v>885</v>
      </c>
      <c r="W68" s="149" t="s">
        <v>725</v>
      </c>
      <c r="X68" s="149" t="s">
        <v>725</v>
      </c>
      <c r="Y68" s="149" t="s">
        <v>890</v>
      </c>
      <c r="Z68" s="147" t="s">
        <v>684</v>
      </c>
      <c r="AA68" s="149">
        <v>1</v>
      </c>
      <c r="AB68" s="149" t="s">
        <v>725</v>
      </c>
      <c r="AC68" s="149" t="s">
        <v>725</v>
      </c>
      <c r="AD68" s="149" t="s">
        <v>725</v>
      </c>
      <c r="AE68" s="149" t="s">
        <v>725</v>
      </c>
      <c r="AF68" s="149">
        <v>0</v>
      </c>
      <c r="AG68" s="149">
        <v>0</v>
      </c>
      <c r="AH68" s="149">
        <v>1</v>
      </c>
      <c r="AI68" s="149" t="s">
        <v>684</v>
      </c>
      <c r="AJ68" s="162" t="s">
        <v>891</v>
      </c>
      <c r="AK68" s="149" t="s">
        <v>725</v>
      </c>
      <c r="AL68" s="149" t="s">
        <v>774</v>
      </c>
      <c r="AM68" s="152" t="s">
        <v>1887</v>
      </c>
      <c r="AN68" s="151"/>
      <c r="AO68" s="151"/>
      <c r="AP68" s="151"/>
      <c r="AQ68" s="151"/>
      <c r="AR68" s="151"/>
      <c r="AS68" s="151"/>
      <c r="AT68" s="151"/>
      <c r="AU68" s="151"/>
      <c r="AV68" s="151"/>
      <c r="AW68" s="153"/>
      <c r="AX68" s="154"/>
      <c r="AY68" s="155"/>
      <c r="AZ68" s="155"/>
      <c r="BA68" s="155"/>
      <c r="BB68" s="155"/>
      <c r="BC68" s="155"/>
      <c r="BD68" s="155"/>
      <c r="BE68" s="155"/>
    </row>
    <row r="69" spans="1:57" s="156" customFormat="1" ht="58">
      <c r="A69" s="146" t="s">
        <v>6</v>
      </c>
      <c r="B69" s="129">
        <v>67</v>
      </c>
      <c r="C69" s="147" t="s">
        <v>808</v>
      </c>
      <c r="D69" s="151" t="s">
        <v>3103</v>
      </c>
      <c r="E69" s="149" t="s">
        <v>839</v>
      </c>
      <c r="F69" s="149" t="s">
        <v>840</v>
      </c>
      <c r="G69" s="149" t="s">
        <v>804</v>
      </c>
      <c r="H69" s="149" t="s">
        <v>883</v>
      </c>
      <c r="I69" s="149" t="s">
        <v>873</v>
      </c>
      <c r="J69" s="149" t="s">
        <v>192</v>
      </c>
      <c r="K69" s="149" t="s">
        <v>192</v>
      </c>
      <c r="L69" s="149" t="s">
        <v>804</v>
      </c>
      <c r="M69" s="149" t="s">
        <v>804</v>
      </c>
      <c r="N69" s="147">
        <v>10</v>
      </c>
      <c r="O69" s="147" t="s">
        <v>725</v>
      </c>
      <c r="P69" s="149" t="s">
        <v>806</v>
      </c>
      <c r="Q69" s="149">
        <v>8</v>
      </c>
      <c r="R69" s="149">
        <v>27</v>
      </c>
      <c r="S69" s="149">
        <v>26</v>
      </c>
      <c r="T69" s="149">
        <v>2</v>
      </c>
      <c r="U69" s="149" t="s">
        <v>816</v>
      </c>
      <c r="V69" s="149" t="s">
        <v>803</v>
      </c>
      <c r="W69" s="147" t="s">
        <v>804</v>
      </c>
      <c r="X69" s="149" t="s">
        <v>804</v>
      </c>
      <c r="Y69" s="149" t="s">
        <v>817</v>
      </c>
      <c r="Z69" s="149" t="s">
        <v>804</v>
      </c>
      <c r="AA69" s="149">
        <v>1</v>
      </c>
      <c r="AB69" s="149" t="s">
        <v>806</v>
      </c>
      <c r="AC69" s="149" t="s">
        <v>804</v>
      </c>
      <c r="AD69" s="149" t="s">
        <v>804</v>
      </c>
      <c r="AE69" s="149" t="s">
        <v>804</v>
      </c>
      <c r="AF69" s="149">
        <v>0</v>
      </c>
      <c r="AG69" s="149">
        <v>0</v>
      </c>
      <c r="AH69" s="149">
        <v>2</v>
      </c>
      <c r="AI69" s="149" t="s">
        <v>806</v>
      </c>
      <c r="AJ69" s="162" t="s">
        <v>211</v>
      </c>
      <c r="AK69" s="151" t="s">
        <v>804</v>
      </c>
      <c r="AL69" s="151" t="s">
        <v>804</v>
      </c>
      <c r="AM69" s="151"/>
      <c r="AN69" s="151"/>
      <c r="AO69" s="151"/>
      <c r="AP69" s="151"/>
      <c r="AQ69" s="151"/>
      <c r="AR69" s="151" t="s">
        <v>807</v>
      </c>
      <c r="AS69" s="151"/>
      <c r="AT69" s="151"/>
      <c r="AU69" s="151"/>
      <c r="AV69" s="151"/>
      <c r="AW69" s="153"/>
      <c r="AX69" s="154"/>
      <c r="AY69" s="155"/>
      <c r="AZ69" s="155"/>
      <c r="BA69" s="155"/>
      <c r="BB69" s="155"/>
      <c r="BC69" s="155"/>
      <c r="BD69" s="155"/>
      <c r="BE69" s="155"/>
    </row>
    <row r="70" spans="1:57" s="155" customFormat="1" ht="30">
      <c r="A70" s="146" t="s">
        <v>6</v>
      </c>
      <c r="B70" s="129">
        <v>68</v>
      </c>
      <c r="C70" s="147" t="s">
        <v>191</v>
      </c>
      <c r="D70" s="147" t="s">
        <v>3109</v>
      </c>
      <c r="E70" s="149" t="s">
        <v>1915</v>
      </c>
      <c r="F70" s="149" t="s">
        <v>1916</v>
      </c>
      <c r="G70" s="149" t="s">
        <v>1892</v>
      </c>
      <c r="H70" s="157" t="s">
        <v>1917</v>
      </c>
      <c r="I70" s="157" t="s">
        <v>1918</v>
      </c>
      <c r="J70" s="147" t="s">
        <v>1919</v>
      </c>
      <c r="K70" s="147" t="s">
        <v>192</v>
      </c>
      <c r="L70" s="147" t="s">
        <v>1891</v>
      </c>
      <c r="M70" s="147" t="s">
        <v>1891</v>
      </c>
      <c r="N70" s="147">
        <v>10</v>
      </c>
      <c r="O70" s="147" t="s">
        <v>1891</v>
      </c>
      <c r="P70" s="147" t="s">
        <v>1891</v>
      </c>
      <c r="Q70" s="147">
        <v>8</v>
      </c>
      <c r="R70" s="149">
        <v>34</v>
      </c>
      <c r="S70" s="149">
        <v>40</v>
      </c>
      <c r="T70" s="149">
        <v>11</v>
      </c>
      <c r="U70" s="149" t="s">
        <v>1920</v>
      </c>
      <c r="V70" s="149" t="s">
        <v>1921</v>
      </c>
      <c r="W70" s="149" t="s">
        <v>1891</v>
      </c>
      <c r="X70" s="149" t="s">
        <v>1891</v>
      </c>
      <c r="Y70" s="149" t="s">
        <v>1922</v>
      </c>
      <c r="Z70" s="147" t="s">
        <v>194</v>
      </c>
      <c r="AA70" s="149">
        <v>6.25E-2</v>
      </c>
      <c r="AB70" s="149" t="s">
        <v>1891</v>
      </c>
      <c r="AC70" s="149" t="s">
        <v>1891</v>
      </c>
      <c r="AD70" s="149" t="s">
        <v>1891</v>
      </c>
      <c r="AE70" s="149" t="s">
        <v>1891</v>
      </c>
      <c r="AF70" s="149">
        <v>-108</v>
      </c>
      <c r="AG70" s="149">
        <v>-108</v>
      </c>
      <c r="AH70" s="149">
        <v>5</v>
      </c>
      <c r="AI70" s="149" t="s">
        <v>1923</v>
      </c>
      <c r="AJ70" s="158" t="s">
        <v>2131</v>
      </c>
      <c r="AK70" s="149" t="s">
        <v>1891</v>
      </c>
      <c r="AL70" s="149" t="s">
        <v>1891</v>
      </c>
      <c r="AM70" s="151"/>
      <c r="AN70" s="151"/>
      <c r="AO70" s="151"/>
      <c r="AP70" s="151"/>
      <c r="AQ70" s="151"/>
      <c r="AR70" s="152" t="s">
        <v>1924</v>
      </c>
      <c r="AS70" s="151"/>
      <c r="AT70" s="151"/>
      <c r="AU70" s="151"/>
      <c r="AV70" s="151"/>
      <c r="AW70" s="153"/>
      <c r="AX70" s="154"/>
    </row>
    <row r="71" spans="1:57" s="156" customFormat="1" ht="58">
      <c r="A71" s="146" t="s">
        <v>6</v>
      </c>
      <c r="B71" s="129">
        <v>69</v>
      </c>
      <c r="C71" s="147" t="s">
        <v>880</v>
      </c>
      <c r="D71" s="147" t="s">
        <v>3110</v>
      </c>
      <c r="E71" s="157" t="s">
        <v>892</v>
      </c>
      <c r="F71" s="149" t="s">
        <v>893</v>
      </c>
      <c r="G71" s="149" t="s">
        <v>684</v>
      </c>
      <c r="H71" s="149" t="s">
        <v>883</v>
      </c>
      <c r="I71" s="149" t="s">
        <v>873</v>
      </c>
      <c r="J71" s="147" t="s">
        <v>724</v>
      </c>
      <c r="K71" s="147" t="s">
        <v>192</v>
      </c>
      <c r="L71" s="147" t="s">
        <v>725</v>
      </c>
      <c r="M71" s="147" t="s">
        <v>725</v>
      </c>
      <c r="N71" s="147">
        <v>10</v>
      </c>
      <c r="O71" s="147" t="s">
        <v>725</v>
      </c>
      <c r="P71" s="147" t="s">
        <v>684</v>
      </c>
      <c r="Q71" s="149">
        <v>8</v>
      </c>
      <c r="R71" s="149">
        <v>39</v>
      </c>
      <c r="S71" s="149">
        <v>38</v>
      </c>
      <c r="T71" s="149">
        <v>2</v>
      </c>
      <c r="U71" s="149" t="s">
        <v>884</v>
      </c>
      <c r="V71" s="149" t="s">
        <v>885</v>
      </c>
      <c r="W71" s="149" t="s">
        <v>725</v>
      </c>
      <c r="X71" s="149" t="s">
        <v>725</v>
      </c>
      <c r="Y71" s="149" t="s">
        <v>890</v>
      </c>
      <c r="Z71" s="147" t="s">
        <v>194</v>
      </c>
      <c r="AA71" s="149">
        <v>1</v>
      </c>
      <c r="AB71" s="149" t="s">
        <v>725</v>
      </c>
      <c r="AC71" s="149" t="s">
        <v>725</v>
      </c>
      <c r="AD71" s="149" t="s">
        <v>725</v>
      </c>
      <c r="AE71" s="149" t="s">
        <v>725</v>
      </c>
      <c r="AF71" s="149">
        <v>0</v>
      </c>
      <c r="AG71" s="149">
        <v>0</v>
      </c>
      <c r="AH71" s="149">
        <v>3</v>
      </c>
      <c r="AI71" s="149"/>
      <c r="AJ71" s="150" t="s">
        <v>2736</v>
      </c>
      <c r="AK71" s="149" t="s">
        <v>725</v>
      </c>
      <c r="AL71" s="149" t="s">
        <v>2728</v>
      </c>
      <c r="AM71" s="151" t="s">
        <v>685</v>
      </c>
      <c r="AN71" s="151"/>
      <c r="AO71" s="151"/>
      <c r="AP71" s="151"/>
      <c r="AQ71" s="151"/>
      <c r="AR71" s="151" t="s">
        <v>677</v>
      </c>
      <c r="AS71" s="151"/>
      <c r="AT71" s="151"/>
      <c r="AU71" s="151"/>
      <c r="AV71" s="151"/>
      <c r="AW71" s="153"/>
      <c r="AX71" s="154"/>
      <c r="AY71" s="155"/>
      <c r="AZ71" s="155"/>
      <c r="BA71" s="155"/>
      <c r="BB71" s="155"/>
      <c r="BC71" s="155"/>
      <c r="BD71" s="155"/>
      <c r="BE71" s="155"/>
    </row>
    <row r="72" spans="1:57" s="156" customFormat="1" ht="25">
      <c r="A72" s="146" t="s">
        <v>6</v>
      </c>
      <c r="B72" s="129">
        <v>70</v>
      </c>
      <c r="C72" s="147" t="s">
        <v>191</v>
      </c>
      <c r="D72" s="147" t="s">
        <v>3103</v>
      </c>
      <c r="E72" s="151" t="s">
        <v>894</v>
      </c>
      <c r="F72" s="147" t="s">
        <v>895</v>
      </c>
      <c r="G72" s="149" t="s">
        <v>665</v>
      </c>
      <c r="H72" s="149" t="s">
        <v>896</v>
      </c>
      <c r="I72" s="149" t="s">
        <v>897</v>
      </c>
      <c r="J72" s="147" t="s">
        <v>668</v>
      </c>
      <c r="K72" s="147" t="s">
        <v>192</v>
      </c>
      <c r="L72" s="147" t="s">
        <v>669</v>
      </c>
      <c r="M72" s="147" t="s">
        <v>669</v>
      </c>
      <c r="N72" s="147">
        <v>10</v>
      </c>
      <c r="O72" s="147" t="s">
        <v>669</v>
      </c>
      <c r="P72" s="147" t="s">
        <v>669</v>
      </c>
      <c r="Q72" s="147">
        <v>8</v>
      </c>
      <c r="R72" s="149">
        <v>59</v>
      </c>
      <c r="S72" s="149">
        <v>56</v>
      </c>
      <c r="T72" s="149">
        <v>4</v>
      </c>
      <c r="U72" s="149" t="s">
        <v>670</v>
      </c>
      <c r="V72" s="149" t="s">
        <v>671</v>
      </c>
      <c r="W72" s="149" t="s">
        <v>665</v>
      </c>
      <c r="X72" s="149" t="s">
        <v>665</v>
      </c>
      <c r="Y72" s="147" t="s">
        <v>679</v>
      </c>
      <c r="Z72" s="147" t="s">
        <v>194</v>
      </c>
      <c r="AA72" s="147">
        <v>1</v>
      </c>
      <c r="AB72" s="149" t="s">
        <v>665</v>
      </c>
      <c r="AC72" s="149" t="s">
        <v>665</v>
      </c>
      <c r="AD72" s="149" t="s">
        <v>665</v>
      </c>
      <c r="AE72" s="149" t="s">
        <v>665</v>
      </c>
      <c r="AF72" s="147">
        <v>0</v>
      </c>
      <c r="AG72" s="147">
        <v>0</v>
      </c>
      <c r="AH72" s="147">
        <v>15</v>
      </c>
      <c r="AI72" s="147" t="s">
        <v>665</v>
      </c>
      <c r="AJ72" s="150" t="s">
        <v>2123</v>
      </c>
      <c r="AK72" s="149" t="s">
        <v>665</v>
      </c>
      <c r="AL72" s="149" t="s">
        <v>669</v>
      </c>
      <c r="AM72" s="151"/>
      <c r="AN72" s="151"/>
      <c r="AO72" s="151"/>
      <c r="AP72" s="151"/>
      <c r="AQ72" s="151"/>
      <c r="AR72" s="151" t="s">
        <v>677</v>
      </c>
      <c r="AS72" s="151"/>
      <c r="AT72" s="151"/>
      <c r="AU72" s="151"/>
      <c r="AV72" s="151"/>
      <c r="AW72" s="153"/>
      <c r="AX72" s="154"/>
      <c r="AY72" s="155"/>
      <c r="AZ72" s="155"/>
      <c r="BA72" s="155"/>
      <c r="BB72" s="155"/>
      <c r="BC72" s="155"/>
      <c r="BD72" s="155"/>
      <c r="BE72" s="155"/>
    </row>
    <row r="73" spans="1:57" s="155" customFormat="1" ht="30">
      <c r="A73" s="146" t="s">
        <v>6</v>
      </c>
      <c r="B73" s="129">
        <v>71</v>
      </c>
      <c r="C73" s="147" t="s">
        <v>191</v>
      </c>
      <c r="D73" s="147" t="s">
        <v>3095</v>
      </c>
      <c r="E73" s="149" t="s">
        <v>898</v>
      </c>
      <c r="F73" s="149" t="s">
        <v>899</v>
      </c>
      <c r="G73" s="149" t="s">
        <v>665</v>
      </c>
      <c r="H73" s="149" t="s">
        <v>900</v>
      </c>
      <c r="I73" s="149" t="s">
        <v>901</v>
      </c>
      <c r="J73" s="147" t="s">
        <v>668</v>
      </c>
      <c r="K73" s="147" t="s">
        <v>192</v>
      </c>
      <c r="L73" s="147" t="s">
        <v>669</v>
      </c>
      <c r="M73" s="147" t="s">
        <v>669</v>
      </c>
      <c r="N73" s="147">
        <v>100</v>
      </c>
      <c r="O73" s="147" t="s">
        <v>669</v>
      </c>
      <c r="P73" s="147" t="s">
        <v>669</v>
      </c>
      <c r="Q73" s="147">
        <v>8</v>
      </c>
      <c r="R73" s="149">
        <v>7</v>
      </c>
      <c r="S73" s="149">
        <v>12</v>
      </c>
      <c r="T73" s="149">
        <v>12</v>
      </c>
      <c r="U73" s="149" t="s">
        <v>755</v>
      </c>
      <c r="V73" s="149" t="s">
        <v>756</v>
      </c>
      <c r="W73" s="149" t="s">
        <v>669</v>
      </c>
      <c r="X73" s="149" t="s">
        <v>669</v>
      </c>
      <c r="Y73" s="147" t="s">
        <v>676</v>
      </c>
      <c r="Z73" s="147" t="s">
        <v>194</v>
      </c>
      <c r="AA73" s="149">
        <v>0.1</v>
      </c>
      <c r="AB73" s="149" t="s">
        <v>669</v>
      </c>
      <c r="AC73" s="149" t="s">
        <v>669</v>
      </c>
      <c r="AD73" s="149" t="s">
        <v>669</v>
      </c>
      <c r="AE73" s="149" t="s">
        <v>669</v>
      </c>
      <c r="AF73" s="149">
        <v>0</v>
      </c>
      <c r="AG73" s="149">
        <v>0</v>
      </c>
      <c r="AH73" s="149">
        <v>300</v>
      </c>
      <c r="AI73" s="149" t="s">
        <v>902</v>
      </c>
      <c r="AJ73" s="150" t="s">
        <v>2132</v>
      </c>
      <c r="AK73" s="149" t="s">
        <v>669</v>
      </c>
      <c r="AL73" s="149" t="s">
        <v>590</v>
      </c>
      <c r="AM73" s="151" t="s">
        <v>685</v>
      </c>
      <c r="AN73" s="151"/>
      <c r="AO73" s="151"/>
      <c r="AP73" s="151"/>
      <c r="AQ73" s="151"/>
      <c r="AR73" s="151"/>
      <c r="AS73" s="151"/>
      <c r="AT73" s="151"/>
      <c r="AU73" s="151"/>
      <c r="AV73" s="151"/>
      <c r="AW73" s="153"/>
      <c r="AX73" s="154"/>
    </row>
    <row r="74" spans="1:57" s="155" customFormat="1" ht="30">
      <c r="A74" s="146" t="s">
        <v>6</v>
      </c>
      <c r="B74" s="129">
        <v>72</v>
      </c>
      <c r="C74" s="147" t="s">
        <v>191</v>
      </c>
      <c r="D74" s="147" t="s">
        <v>3095</v>
      </c>
      <c r="E74" s="157" t="s">
        <v>2683</v>
      </c>
      <c r="F74" s="149" t="s">
        <v>903</v>
      </c>
      <c r="G74" s="149" t="s">
        <v>665</v>
      </c>
      <c r="H74" s="149" t="s">
        <v>900</v>
      </c>
      <c r="I74" s="149" t="s">
        <v>901</v>
      </c>
      <c r="J74" s="147" t="s">
        <v>668</v>
      </c>
      <c r="K74" s="147" t="s">
        <v>192</v>
      </c>
      <c r="L74" s="147" t="s">
        <v>669</v>
      </c>
      <c r="M74" s="147" t="s">
        <v>669</v>
      </c>
      <c r="N74" s="147">
        <v>100</v>
      </c>
      <c r="O74" s="147" t="s">
        <v>669</v>
      </c>
      <c r="P74" s="147" t="s">
        <v>669</v>
      </c>
      <c r="Q74" s="147">
        <v>8</v>
      </c>
      <c r="R74" s="149">
        <v>11</v>
      </c>
      <c r="S74" s="149">
        <v>11</v>
      </c>
      <c r="T74" s="149">
        <v>1</v>
      </c>
      <c r="U74" s="149" t="s">
        <v>755</v>
      </c>
      <c r="V74" s="149" t="s">
        <v>756</v>
      </c>
      <c r="W74" s="149" t="s">
        <v>669</v>
      </c>
      <c r="X74" s="149" t="s">
        <v>669</v>
      </c>
      <c r="Y74" s="149" t="s">
        <v>904</v>
      </c>
      <c r="Z74" s="147" t="s">
        <v>194</v>
      </c>
      <c r="AA74" s="149">
        <v>1</v>
      </c>
      <c r="AB74" s="149" t="s">
        <v>669</v>
      </c>
      <c r="AC74" s="149" t="s">
        <v>669</v>
      </c>
      <c r="AD74" s="149" t="s">
        <v>669</v>
      </c>
      <c r="AE74" s="149" t="s">
        <v>669</v>
      </c>
      <c r="AF74" s="149">
        <v>0</v>
      </c>
      <c r="AG74" s="149">
        <v>0</v>
      </c>
      <c r="AH74" s="149">
        <v>1</v>
      </c>
      <c r="AI74" s="149" t="s">
        <v>673</v>
      </c>
      <c r="AJ74" s="150" t="s">
        <v>905</v>
      </c>
      <c r="AK74" s="149" t="s">
        <v>669</v>
      </c>
      <c r="AL74" s="149" t="s">
        <v>590</v>
      </c>
      <c r="AM74" s="151" t="s">
        <v>685</v>
      </c>
      <c r="AN74" s="151"/>
      <c r="AO74" s="151"/>
      <c r="AP74" s="151"/>
      <c r="AQ74" s="151"/>
      <c r="AR74" s="151"/>
      <c r="AS74" s="151"/>
      <c r="AT74" s="151"/>
      <c r="AU74" s="151"/>
      <c r="AV74" s="151"/>
      <c r="AW74" s="153"/>
      <c r="AX74" s="154"/>
    </row>
    <row r="75" spans="1:57" s="155" customFormat="1" ht="30">
      <c r="A75" s="146" t="s">
        <v>6</v>
      </c>
      <c r="B75" s="129">
        <v>73</v>
      </c>
      <c r="C75" s="147" t="s">
        <v>191</v>
      </c>
      <c r="D75" s="147" t="s">
        <v>3111</v>
      </c>
      <c r="E75" s="149" t="s">
        <v>906</v>
      </c>
      <c r="F75" s="149" t="s">
        <v>907</v>
      </c>
      <c r="G75" s="149" t="s">
        <v>665</v>
      </c>
      <c r="H75" s="149" t="s">
        <v>900</v>
      </c>
      <c r="I75" s="149" t="s">
        <v>901</v>
      </c>
      <c r="J75" s="147" t="s">
        <v>668</v>
      </c>
      <c r="K75" s="147" t="s">
        <v>192</v>
      </c>
      <c r="L75" s="147" t="s">
        <v>669</v>
      </c>
      <c r="M75" s="147" t="s">
        <v>669</v>
      </c>
      <c r="N75" s="147">
        <v>100</v>
      </c>
      <c r="O75" s="147" t="s">
        <v>669</v>
      </c>
      <c r="P75" s="147" t="s">
        <v>669</v>
      </c>
      <c r="Q75" s="147">
        <v>8</v>
      </c>
      <c r="R75" s="149">
        <v>9</v>
      </c>
      <c r="S75" s="149">
        <v>9</v>
      </c>
      <c r="T75" s="149">
        <v>1</v>
      </c>
      <c r="U75" s="149" t="s">
        <v>755</v>
      </c>
      <c r="V75" s="149" t="s">
        <v>756</v>
      </c>
      <c r="W75" s="149" t="s">
        <v>669</v>
      </c>
      <c r="X75" s="149" t="s">
        <v>669</v>
      </c>
      <c r="Y75" s="149" t="s">
        <v>904</v>
      </c>
      <c r="Z75" s="147" t="s">
        <v>194</v>
      </c>
      <c r="AA75" s="149">
        <v>1</v>
      </c>
      <c r="AB75" s="149" t="s">
        <v>669</v>
      </c>
      <c r="AC75" s="149" t="s">
        <v>669</v>
      </c>
      <c r="AD75" s="149" t="s">
        <v>669</v>
      </c>
      <c r="AE75" s="149" t="s">
        <v>669</v>
      </c>
      <c r="AF75" s="149">
        <v>0</v>
      </c>
      <c r="AG75" s="149">
        <v>0</v>
      </c>
      <c r="AH75" s="149">
        <v>1</v>
      </c>
      <c r="AI75" s="149" t="s">
        <v>673</v>
      </c>
      <c r="AJ75" s="150" t="s">
        <v>908</v>
      </c>
      <c r="AK75" s="149" t="s">
        <v>669</v>
      </c>
      <c r="AL75" s="149" t="s">
        <v>669</v>
      </c>
      <c r="AM75" s="151" t="s">
        <v>2627</v>
      </c>
      <c r="AN75" s="151"/>
      <c r="AO75" s="151"/>
      <c r="AP75" s="151"/>
      <c r="AQ75" s="151"/>
      <c r="AR75" s="151"/>
      <c r="AS75" s="151"/>
      <c r="AT75" s="151"/>
      <c r="AU75" s="151"/>
      <c r="AV75" s="151"/>
      <c r="AW75" s="153"/>
      <c r="AX75" s="154" t="s">
        <v>2343</v>
      </c>
    </row>
    <row r="76" spans="1:57" s="155" customFormat="1" ht="25">
      <c r="A76" s="146" t="s">
        <v>6</v>
      </c>
      <c r="B76" s="129">
        <v>74</v>
      </c>
      <c r="C76" s="147" t="s">
        <v>191</v>
      </c>
      <c r="D76" s="147" t="s">
        <v>3105</v>
      </c>
      <c r="E76" s="149" t="s">
        <v>910</v>
      </c>
      <c r="F76" s="149" t="s">
        <v>911</v>
      </c>
      <c r="G76" s="149" t="s">
        <v>665</v>
      </c>
      <c r="H76" s="149" t="s">
        <v>900</v>
      </c>
      <c r="I76" s="149" t="s">
        <v>901</v>
      </c>
      <c r="J76" s="147" t="s">
        <v>668</v>
      </c>
      <c r="K76" s="147" t="s">
        <v>192</v>
      </c>
      <c r="L76" s="147" t="s">
        <v>669</v>
      </c>
      <c r="M76" s="147" t="s">
        <v>669</v>
      </c>
      <c r="N76" s="147">
        <v>100</v>
      </c>
      <c r="O76" s="147" t="s">
        <v>669</v>
      </c>
      <c r="P76" s="147" t="s">
        <v>669</v>
      </c>
      <c r="Q76" s="147">
        <v>8</v>
      </c>
      <c r="R76" s="149">
        <v>23</v>
      </c>
      <c r="S76" s="149">
        <v>16</v>
      </c>
      <c r="T76" s="149">
        <v>8</v>
      </c>
      <c r="U76" s="149" t="s">
        <v>755</v>
      </c>
      <c r="V76" s="149" t="s">
        <v>756</v>
      </c>
      <c r="W76" s="149" t="s">
        <v>669</v>
      </c>
      <c r="X76" s="149" t="s">
        <v>669</v>
      </c>
      <c r="Y76" s="149" t="s">
        <v>912</v>
      </c>
      <c r="Z76" s="147" t="s">
        <v>194</v>
      </c>
      <c r="AA76" s="149">
        <v>0.1</v>
      </c>
      <c r="AB76" s="149" t="s">
        <v>669</v>
      </c>
      <c r="AC76" s="149" t="s">
        <v>669</v>
      </c>
      <c r="AD76" s="149" t="s">
        <v>669</v>
      </c>
      <c r="AE76" s="149" t="s">
        <v>669</v>
      </c>
      <c r="AF76" s="149">
        <v>0</v>
      </c>
      <c r="AG76" s="149">
        <v>0</v>
      </c>
      <c r="AH76" s="149">
        <v>25.5</v>
      </c>
      <c r="AI76" s="149" t="s">
        <v>913</v>
      </c>
      <c r="AJ76" s="150" t="s">
        <v>2121</v>
      </c>
      <c r="AK76" s="149" t="s">
        <v>669</v>
      </c>
      <c r="AL76" s="149" t="s">
        <v>669</v>
      </c>
      <c r="AM76" s="151"/>
      <c r="AN76" s="151"/>
      <c r="AO76" s="151"/>
      <c r="AP76" s="151"/>
      <c r="AQ76" s="151"/>
      <c r="AR76" s="151"/>
      <c r="AS76" s="151"/>
      <c r="AT76" s="151"/>
      <c r="AU76" s="151"/>
      <c r="AV76" s="151"/>
      <c r="AW76" s="153"/>
      <c r="AX76" s="154" t="s">
        <v>685</v>
      </c>
    </row>
    <row r="77" spans="1:57" s="155" customFormat="1" ht="25">
      <c r="A77" s="146" t="s">
        <v>6</v>
      </c>
      <c r="B77" s="129">
        <v>75</v>
      </c>
      <c r="C77" s="147" t="s">
        <v>191</v>
      </c>
      <c r="D77" s="147" t="s">
        <v>3095</v>
      </c>
      <c r="E77" s="149" t="s">
        <v>914</v>
      </c>
      <c r="F77" s="149" t="s">
        <v>915</v>
      </c>
      <c r="G77" s="149" t="s">
        <v>665</v>
      </c>
      <c r="H77" s="149" t="s">
        <v>900</v>
      </c>
      <c r="I77" s="149" t="s">
        <v>901</v>
      </c>
      <c r="J77" s="147" t="s">
        <v>668</v>
      </c>
      <c r="K77" s="147" t="s">
        <v>192</v>
      </c>
      <c r="L77" s="147" t="s">
        <v>669</v>
      </c>
      <c r="M77" s="147" t="s">
        <v>669</v>
      </c>
      <c r="N77" s="147">
        <v>100</v>
      </c>
      <c r="O77" s="147" t="s">
        <v>669</v>
      </c>
      <c r="P77" s="147" t="s">
        <v>669</v>
      </c>
      <c r="Q77" s="147">
        <v>8</v>
      </c>
      <c r="R77" s="149">
        <v>31</v>
      </c>
      <c r="S77" s="149">
        <v>24</v>
      </c>
      <c r="T77" s="149">
        <v>8</v>
      </c>
      <c r="U77" s="149" t="s">
        <v>755</v>
      </c>
      <c r="V77" s="149" t="s">
        <v>756</v>
      </c>
      <c r="W77" s="149" t="s">
        <v>669</v>
      </c>
      <c r="X77" s="149" t="s">
        <v>669</v>
      </c>
      <c r="Y77" s="149" t="s">
        <v>912</v>
      </c>
      <c r="Z77" s="147" t="s">
        <v>665</v>
      </c>
      <c r="AA77" s="149">
        <v>1</v>
      </c>
      <c r="AB77" s="149" t="s">
        <v>669</v>
      </c>
      <c r="AC77" s="149" t="s">
        <v>669</v>
      </c>
      <c r="AD77" s="149" t="s">
        <v>669</v>
      </c>
      <c r="AE77" s="149" t="s">
        <v>669</v>
      </c>
      <c r="AF77" s="149">
        <v>0</v>
      </c>
      <c r="AG77" s="149">
        <v>0</v>
      </c>
      <c r="AH77" s="149">
        <v>255</v>
      </c>
      <c r="AI77" s="149" t="s">
        <v>665</v>
      </c>
      <c r="AJ77" s="150" t="s">
        <v>2121</v>
      </c>
      <c r="AK77" s="149" t="s">
        <v>669</v>
      </c>
      <c r="AL77" s="149" t="s">
        <v>590</v>
      </c>
      <c r="AM77" s="151" t="s">
        <v>2719</v>
      </c>
      <c r="AN77" s="151"/>
      <c r="AO77" s="151"/>
      <c r="AP77" s="151"/>
      <c r="AQ77" s="151"/>
      <c r="AR77" s="151"/>
      <c r="AS77" s="151"/>
      <c r="AT77" s="151"/>
      <c r="AU77" s="151"/>
      <c r="AV77" s="151"/>
      <c r="AW77" s="153"/>
      <c r="AX77" s="154"/>
    </row>
    <row r="78" spans="1:57" s="155" customFormat="1" ht="114">
      <c r="A78" s="146" t="s">
        <v>6</v>
      </c>
      <c r="B78" s="129">
        <v>76</v>
      </c>
      <c r="C78" s="147" t="s">
        <v>191</v>
      </c>
      <c r="D78" s="147" t="s">
        <v>3095</v>
      </c>
      <c r="E78" s="149" t="s">
        <v>916</v>
      </c>
      <c r="F78" s="149" t="s">
        <v>917</v>
      </c>
      <c r="G78" s="149" t="s">
        <v>665</v>
      </c>
      <c r="H78" s="149" t="s">
        <v>900</v>
      </c>
      <c r="I78" s="149" t="s">
        <v>901</v>
      </c>
      <c r="J78" s="147" t="s">
        <v>668</v>
      </c>
      <c r="K78" s="147" t="s">
        <v>192</v>
      </c>
      <c r="L78" s="147" t="s">
        <v>2737</v>
      </c>
      <c r="M78" s="147" t="s">
        <v>669</v>
      </c>
      <c r="N78" s="147">
        <v>100</v>
      </c>
      <c r="O78" s="147" t="s">
        <v>669</v>
      </c>
      <c r="P78" s="147" t="s">
        <v>669</v>
      </c>
      <c r="Q78" s="147">
        <v>8</v>
      </c>
      <c r="R78" s="149">
        <v>37</v>
      </c>
      <c r="S78" s="149">
        <v>35</v>
      </c>
      <c r="T78" s="149">
        <v>3</v>
      </c>
      <c r="U78" s="149" t="s">
        <v>755</v>
      </c>
      <c r="V78" s="149" t="s">
        <v>756</v>
      </c>
      <c r="W78" s="149" t="s">
        <v>669</v>
      </c>
      <c r="X78" s="149" t="s">
        <v>669</v>
      </c>
      <c r="Y78" s="149" t="s">
        <v>904</v>
      </c>
      <c r="Z78" s="147" t="s">
        <v>194</v>
      </c>
      <c r="AA78" s="149">
        <v>1</v>
      </c>
      <c r="AB78" s="149" t="s">
        <v>669</v>
      </c>
      <c r="AC78" s="149" t="s">
        <v>669</v>
      </c>
      <c r="AD78" s="149" t="s">
        <v>669</v>
      </c>
      <c r="AE78" s="149" t="s">
        <v>669</v>
      </c>
      <c r="AF78" s="149">
        <v>0</v>
      </c>
      <c r="AG78" s="149">
        <v>0</v>
      </c>
      <c r="AH78" s="149">
        <v>7</v>
      </c>
      <c r="AI78" s="149" t="s">
        <v>673</v>
      </c>
      <c r="AJ78" s="150" t="s">
        <v>2738</v>
      </c>
      <c r="AK78" s="149" t="s">
        <v>669</v>
      </c>
      <c r="AL78" s="149" t="s">
        <v>918</v>
      </c>
      <c r="AM78" s="151" t="s">
        <v>677</v>
      </c>
      <c r="AN78" s="151"/>
      <c r="AO78" s="151"/>
      <c r="AP78" s="151"/>
      <c r="AQ78" s="151"/>
      <c r="AR78" s="151"/>
      <c r="AS78" s="151"/>
      <c r="AT78" s="151"/>
      <c r="AU78" s="151"/>
      <c r="AV78" s="151"/>
      <c r="AW78" s="153"/>
      <c r="AX78" s="154"/>
    </row>
    <row r="79" spans="1:57" s="155" customFormat="1" ht="30">
      <c r="A79" s="146" t="s">
        <v>6</v>
      </c>
      <c r="B79" s="129">
        <v>77</v>
      </c>
      <c r="C79" s="147" t="s">
        <v>191</v>
      </c>
      <c r="D79" s="147" t="s">
        <v>3105</v>
      </c>
      <c r="E79" s="149" t="s">
        <v>2739</v>
      </c>
      <c r="F79" s="149" t="s">
        <v>919</v>
      </c>
      <c r="G79" s="149" t="s">
        <v>665</v>
      </c>
      <c r="H79" s="149" t="s">
        <v>900</v>
      </c>
      <c r="I79" s="149" t="s">
        <v>901</v>
      </c>
      <c r="J79" s="147" t="s">
        <v>668</v>
      </c>
      <c r="K79" s="147" t="s">
        <v>192</v>
      </c>
      <c r="L79" s="147" t="s">
        <v>669</v>
      </c>
      <c r="M79" s="147" t="s">
        <v>669</v>
      </c>
      <c r="N79" s="147">
        <v>100</v>
      </c>
      <c r="O79" s="147" t="s">
        <v>669</v>
      </c>
      <c r="P79" s="147" t="s">
        <v>669</v>
      </c>
      <c r="Q79" s="147">
        <v>8</v>
      </c>
      <c r="R79" s="149">
        <v>33</v>
      </c>
      <c r="S79" s="149">
        <v>33</v>
      </c>
      <c r="T79" s="149">
        <v>1</v>
      </c>
      <c r="U79" s="149" t="s">
        <v>755</v>
      </c>
      <c r="V79" s="149" t="s">
        <v>756</v>
      </c>
      <c r="W79" s="149" t="s">
        <v>669</v>
      </c>
      <c r="X79" s="149" t="s">
        <v>669</v>
      </c>
      <c r="Y79" s="149" t="s">
        <v>904</v>
      </c>
      <c r="Z79" s="147" t="s">
        <v>194</v>
      </c>
      <c r="AA79" s="149">
        <v>1</v>
      </c>
      <c r="AB79" s="149" t="s">
        <v>669</v>
      </c>
      <c r="AC79" s="149" t="s">
        <v>669</v>
      </c>
      <c r="AD79" s="149" t="s">
        <v>669</v>
      </c>
      <c r="AE79" s="149" t="s">
        <v>669</v>
      </c>
      <c r="AF79" s="149">
        <v>0</v>
      </c>
      <c r="AG79" s="149">
        <v>0</v>
      </c>
      <c r="AH79" s="149">
        <v>1</v>
      </c>
      <c r="AI79" s="149" t="s">
        <v>673</v>
      </c>
      <c r="AJ79" s="150" t="s">
        <v>909</v>
      </c>
      <c r="AK79" s="149" t="s">
        <v>669</v>
      </c>
      <c r="AL79" s="149" t="s">
        <v>669</v>
      </c>
      <c r="AM79" s="151"/>
      <c r="AN79" s="151"/>
      <c r="AO79" s="151"/>
      <c r="AP79" s="151"/>
      <c r="AQ79" s="151"/>
      <c r="AR79" s="151"/>
      <c r="AS79" s="151"/>
      <c r="AT79" s="151"/>
      <c r="AU79" s="151"/>
      <c r="AV79" s="151"/>
      <c r="AW79" s="153"/>
      <c r="AX79" s="154" t="s">
        <v>2344</v>
      </c>
    </row>
    <row r="80" spans="1:57" s="155" customFormat="1" ht="30">
      <c r="A80" s="146" t="s">
        <v>6</v>
      </c>
      <c r="B80" s="129">
        <v>78</v>
      </c>
      <c r="C80" s="147" t="s">
        <v>191</v>
      </c>
      <c r="D80" s="147" t="s">
        <v>3105</v>
      </c>
      <c r="E80" s="149" t="s">
        <v>2740</v>
      </c>
      <c r="F80" s="149" t="s">
        <v>920</v>
      </c>
      <c r="G80" s="149" t="s">
        <v>665</v>
      </c>
      <c r="H80" s="149" t="s">
        <v>900</v>
      </c>
      <c r="I80" s="149" t="s">
        <v>901</v>
      </c>
      <c r="J80" s="147" t="s">
        <v>668</v>
      </c>
      <c r="K80" s="147" t="s">
        <v>192</v>
      </c>
      <c r="L80" s="147" t="s">
        <v>669</v>
      </c>
      <c r="M80" s="147" t="s">
        <v>669</v>
      </c>
      <c r="N80" s="147">
        <v>100</v>
      </c>
      <c r="O80" s="147" t="s">
        <v>669</v>
      </c>
      <c r="P80" s="147" t="s">
        <v>669</v>
      </c>
      <c r="Q80" s="147">
        <v>8</v>
      </c>
      <c r="R80" s="149">
        <v>32</v>
      </c>
      <c r="S80" s="149">
        <v>32</v>
      </c>
      <c r="T80" s="149">
        <v>1</v>
      </c>
      <c r="U80" s="149" t="s">
        <v>755</v>
      </c>
      <c r="V80" s="149" t="s">
        <v>756</v>
      </c>
      <c r="W80" s="149" t="s">
        <v>669</v>
      </c>
      <c r="X80" s="149" t="s">
        <v>669</v>
      </c>
      <c r="Y80" s="149" t="s">
        <v>904</v>
      </c>
      <c r="Z80" s="147" t="s">
        <v>194</v>
      </c>
      <c r="AA80" s="149">
        <v>1</v>
      </c>
      <c r="AB80" s="149" t="s">
        <v>669</v>
      </c>
      <c r="AC80" s="149" t="s">
        <v>669</v>
      </c>
      <c r="AD80" s="149" t="s">
        <v>669</v>
      </c>
      <c r="AE80" s="149" t="s">
        <v>669</v>
      </c>
      <c r="AF80" s="149">
        <v>0</v>
      </c>
      <c r="AG80" s="149">
        <v>0</v>
      </c>
      <c r="AH80" s="149">
        <v>1</v>
      </c>
      <c r="AI80" s="149" t="s">
        <v>673</v>
      </c>
      <c r="AJ80" s="150" t="s">
        <v>909</v>
      </c>
      <c r="AK80" s="149" t="s">
        <v>669</v>
      </c>
      <c r="AL80" s="149" t="s">
        <v>669</v>
      </c>
      <c r="AM80" s="151"/>
      <c r="AN80" s="151"/>
      <c r="AO80" s="151"/>
      <c r="AP80" s="151"/>
      <c r="AQ80" s="151"/>
      <c r="AR80" s="151"/>
      <c r="AS80" s="151"/>
      <c r="AT80" s="151"/>
      <c r="AU80" s="151"/>
      <c r="AV80" s="151"/>
      <c r="AW80" s="153"/>
      <c r="AX80" s="154" t="s">
        <v>2344</v>
      </c>
    </row>
    <row r="81" spans="1:57" s="155" customFormat="1" ht="45">
      <c r="A81" s="195" t="s">
        <v>6</v>
      </c>
      <c r="B81" s="129">
        <v>79</v>
      </c>
      <c r="C81" s="147" t="s">
        <v>699</v>
      </c>
      <c r="D81" s="147" t="s">
        <v>3095</v>
      </c>
      <c r="E81" s="161" t="s">
        <v>2675</v>
      </c>
      <c r="F81" s="162" t="s">
        <v>777</v>
      </c>
      <c r="G81" s="149" t="s">
        <v>665</v>
      </c>
      <c r="H81" s="149" t="s">
        <v>2670</v>
      </c>
      <c r="I81" s="149" t="s">
        <v>2671</v>
      </c>
      <c r="J81" s="147" t="s">
        <v>192</v>
      </c>
      <c r="K81" s="147" t="s">
        <v>192</v>
      </c>
      <c r="L81" s="147" t="s">
        <v>193</v>
      </c>
      <c r="M81" s="147" t="s">
        <v>193</v>
      </c>
      <c r="N81" s="147">
        <v>100</v>
      </c>
      <c r="O81" s="147" t="s">
        <v>193</v>
      </c>
      <c r="P81" s="147" t="s">
        <v>193</v>
      </c>
      <c r="Q81" s="147">
        <v>8</v>
      </c>
      <c r="R81" s="174">
        <v>47</v>
      </c>
      <c r="S81" s="174">
        <v>54</v>
      </c>
      <c r="T81" s="174">
        <v>10</v>
      </c>
      <c r="U81" s="149" t="s">
        <v>2672</v>
      </c>
      <c r="V81" s="149" t="s">
        <v>2673</v>
      </c>
      <c r="W81" s="149" t="s">
        <v>665</v>
      </c>
      <c r="X81" s="149" t="s">
        <v>665</v>
      </c>
      <c r="Y81" s="147" t="s">
        <v>339</v>
      </c>
      <c r="Z81" s="147" t="s">
        <v>665</v>
      </c>
      <c r="AA81" s="147">
        <v>1</v>
      </c>
      <c r="AB81" s="149" t="s">
        <v>665</v>
      </c>
      <c r="AC81" s="149" t="s">
        <v>665</v>
      </c>
      <c r="AD81" s="149" t="s">
        <v>665</v>
      </c>
      <c r="AE81" s="149" t="s">
        <v>665</v>
      </c>
      <c r="AF81" s="149">
        <v>0</v>
      </c>
      <c r="AG81" s="149">
        <v>0</v>
      </c>
      <c r="AH81" s="147">
        <v>999</v>
      </c>
      <c r="AI81" s="149" t="s">
        <v>2674</v>
      </c>
      <c r="AJ81" s="161" t="s">
        <v>2171</v>
      </c>
      <c r="AK81" s="149" t="s">
        <v>665</v>
      </c>
      <c r="AL81" s="149" t="s">
        <v>2669</v>
      </c>
      <c r="AM81" s="149" t="s">
        <v>2676</v>
      </c>
      <c r="AN81" s="151"/>
      <c r="AO81" s="151"/>
      <c r="AP81" s="151"/>
      <c r="AQ81" s="151"/>
      <c r="AR81" s="151"/>
      <c r="AS81" s="151"/>
      <c r="AT81" s="151"/>
      <c r="AU81" s="151"/>
      <c r="AV81" s="151"/>
      <c r="AW81" s="153"/>
      <c r="AX81" s="154"/>
    </row>
    <row r="82" spans="1:57" s="155" customFormat="1" ht="259">
      <c r="A82" s="146" t="s">
        <v>6</v>
      </c>
      <c r="B82" s="129">
        <v>80</v>
      </c>
      <c r="C82" s="147" t="s">
        <v>191</v>
      </c>
      <c r="D82" s="147" t="s">
        <v>3105</v>
      </c>
      <c r="E82" s="149" t="s">
        <v>921</v>
      </c>
      <c r="F82" s="149" t="s">
        <v>922</v>
      </c>
      <c r="G82" s="149" t="s">
        <v>665</v>
      </c>
      <c r="H82" s="149" t="s">
        <v>900</v>
      </c>
      <c r="I82" s="149" t="s">
        <v>901</v>
      </c>
      <c r="J82" s="147" t="s">
        <v>668</v>
      </c>
      <c r="K82" s="147" t="s">
        <v>192</v>
      </c>
      <c r="L82" s="147" t="s">
        <v>669</v>
      </c>
      <c r="M82" s="147" t="s">
        <v>669</v>
      </c>
      <c r="N82" s="147">
        <v>100</v>
      </c>
      <c r="O82" s="147" t="s">
        <v>669</v>
      </c>
      <c r="P82" s="147" t="s">
        <v>669</v>
      </c>
      <c r="Q82" s="147">
        <v>8</v>
      </c>
      <c r="R82" s="149">
        <v>53</v>
      </c>
      <c r="S82" s="149">
        <v>50</v>
      </c>
      <c r="T82" s="149">
        <v>4</v>
      </c>
      <c r="U82" s="149" t="s">
        <v>755</v>
      </c>
      <c r="V82" s="149" t="s">
        <v>756</v>
      </c>
      <c r="W82" s="149" t="s">
        <v>669</v>
      </c>
      <c r="X82" s="149" t="s">
        <v>669</v>
      </c>
      <c r="Y82" s="149" t="s">
        <v>904</v>
      </c>
      <c r="Z82" s="147" t="s">
        <v>194</v>
      </c>
      <c r="AA82" s="149">
        <v>1</v>
      </c>
      <c r="AB82" s="149" t="s">
        <v>669</v>
      </c>
      <c r="AC82" s="149" t="s">
        <v>669</v>
      </c>
      <c r="AD82" s="149" t="s">
        <v>669</v>
      </c>
      <c r="AE82" s="149" t="s">
        <v>669</v>
      </c>
      <c r="AF82" s="149">
        <v>0</v>
      </c>
      <c r="AG82" s="149">
        <v>0</v>
      </c>
      <c r="AH82" s="149">
        <v>15</v>
      </c>
      <c r="AI82" s="149" t="s">
        <v>673</v>
      </c>
      <c r="AJ82" s="196" t="s">
        <v>1984</v>
      </c>
      <c r="AK82" s="149" t="s">
        <v>669</v>
      </c>
      <c r="AL82" s="149" t="s">
        <v>669</v>
      </c>
      <c r="AM82" s="151"/>
      <c r="AN82" s="151"/>
      <c r="AO82" s="151"/>
      <c r="AP82" s="151"/>
      <c r="AQ82" s="151"/>
      <c r="AR82" s="151"/>
      <c r="AS82" s="151"/>
      <c r="AT82" s="151"/>
      <c r="AU82" s="151"/>
      <c r="AV82" s="151"/>
      <c r="AW82" s="153"/>
      <c r="AX82" s="154" t="s">
        <v>2344</v>
      </c>
    </row>
    <row r="83" spans="1:57" s="155" customFormat="1" ht="86">
      <c r="A83" s="146" t="s">
        <v>3001</v>
      </c>
      <c r="B83" s="129">
        <v>81</v>
      </c>
      <c r="C83" s="147" t="s">
        <v>3002</v>
      </c>
      <c r="D83" s="147" t="s">
        <v>3095</v>
      </c>
      <c r="E83" s="157" t="s">
        <v>3003</v>
      </c>
      <c r="F83" s="149" t="s">
        <v>3004</v>
      </c>
      <c r="G83" s="149" t="s">
        <v>3005</v>
      </c>
      <c r="H83" s="149" t="s">
        <v>3006</v>
      </c>
      <c r="I83" s="149" t="s">
        <v>3007</v>
      </c>
      <c r="J83" s="147" t="s">
        <v>3008</v>
      </c>
      <c r="K83" s="147" t="s">
        <v>3008</v>
      </c>
      <c r="L83" s="147"/>
      <c r="M83" s="147" t="s">
        <v>3005</v>
      </c>
      <c r="N83" s="147">
        <v>100</v>
      </c>
      <c r="O83" s="147" t="s">
        <v>3009</v>
      </c>
      <c r="P83" s="147" t="s">
        <v>3009</v>
      </c>
      <c r="Q83" s="147">
        <v>8</v>
      </c>
      <c r="R83" s="149">
        <v>58</v>
      </c>
      <c r="S83" s="149">
        <v>56</v>
      </c>
      <c r="T83" s="149">
        <v>3</v>
      </c>
      <c r="U83" s="149" t="s">
        <v>3010</v>
      </c>
      <c r="V83" s="149" t="s">
        <v>3011</v>
      </c>
      <c r="W83" s="149" t="s">
        <v>3005</v>
      </c>
      <c r="X83" s="149" t="s">
        <v>3005</v>
      </c>
      <c r="Y83" s="148" t="s">
        <v>3012</v>
      </c>
      <c r="Z83" s="148" t="s">
        <v>3012</v>
      </c>
      <c r="AA83" s="149">
        <v>1</v>
      </c>
      <c r="AB83" s="149" t="s">
        <v>3005</v>
      </c>
      <c r="AC83" s="149" t="s">
        <v>3005</v>
      </c>
      <c r="AD83" s="149" t="s">
        <v>3005</v>
      </c>
      <c r="AE83" s="149" t="s">
        <v>3005</v>
      </c>
      <c r="AF83" s="149">
        <v>0</v>
      </c>
      <c r="AG83" s="149">
        <v>0</v>
      </c>
      <c r="AH83" s="149">
        <v>7</v>
      </c>
      <c r="AI83" s="147"/>
      <c r="AJ83" s="150" t="s">
        <v>3014</v>
      </c>
      <c r="AK83" s="151" t="s">
        <v>3005</v>
      </c>
      <c r="AL83" s="149" t="s">
        <v>3015</v>
      </c>
      <c r="AM83" s="151" t="s">
        <v>3013</v>
      </c>
      <c r="AN83" s="151"/>
      <c r="AO83" s="151"/>
      <c r="AP83" s="151"/>
      <c r="AQ83" s="151"/>
      <c r="AR83" s="151"/>
      <c r="AS83" s="151"/>
      <c r="AT83" s="151"/>
      <c r="AU83" s="151"/>
      <c r="AV83" s="151"/>
      <c r="AW83" s="153"/>
      <c r="AX83" s="154"/>
    </row>
    <row r="84" spans="1:57" s="155" customFormat="1" ht="30">
      <c r="A84" s="146" t="s">
        <v>6</v>
      </c>
      <c r="B84" s="129">
        <v>82</v>
      </c>
      <c r="C84" s="157" t="s">
        <v>2399</v>
      </c>
      <c r="D84" s="157" t="s">
        <v>3095</v>
      </c>
      <c r="E84" s="157" t="s">
        <v>2424</v>
      </c>
      <c r="F84" s="161" t="s">
        <v>2425</v>
      </c>
      <c r="G84" s="149" t="s">
        <v>2401</v>
      </c>
      <c r="H84" s="157" t="s">
        <v>2426</v>
      </c>
      <c r="I84" s="157" t="s">
        <v>2427</v>
      </c>
      <c r="J84" s="147" t="s">
        <v>192</v>
      </c>
      <c r="K84" s="147" t="s">
        <v>192</v>
      </c>
      <c r="L84" s="147" t="s">
        <v>2405</v>
      </c>
      <c r="M84" s="147" t="s">
        <v>2405</v>
      </c>
      <c r="N84" s="147">
        <v>100</v>
      </c>
      <c r="O84" s="147" t="s">
        <v>2405</v>
      </c>
      <c r="P84" s="147" t="s">
        <v>2405</v>
      </c>
      <c r="Q84" s="147">
        <v>8</v>
      </c>
      <c r="R84" s="147">
        <v>60</v>
      </c>
      <c r="S84" s="147">
        <v>60</v>
      </c>
      <c r="T84" s="147">
        <v>1</v>
      </c>
      <c r="U84" s="149" t="s">
        <v>2406</v>
      </c>
      <c r="V84" s="149" t="s">
        <v>2407</v>
      </c>
      <c r="W84" s="149" t="s">
        <v>2401</v>
      </c>
      <c r="X84" s="149" t="s">
        <v>2401</v>
      </c>
      <c r="Y84" s="147" t="s">
        <v>2410</v>
      </c>
      <c r="Z84" s="147" t="s">
        <v>2401</v>
      </c>
      <c r="AA84" s="147">
        <v>1</v>
      </c>
      <c r="AB84" s="149" t="s">
        <v>2401</v>
      </c>
      <c r="AC84" s="149" t="s">
        <v>2401</v>
      </c>
      <c r="AD84" s="149" t="s">
        <v>2401</v>
      </c>
      <c r="AE84" s="149" t="s">
        <v>2401</v>
      </c>
      <c r="AF84" s="147">
        <v>0</v>
      </c>
      <c r="AG84" s="147">
        <v>0</v>
      </c>
      <c r="AH84" s="147">
        <v>1</v>
      </c>
      <c r="AI84" s="147" t="s">
        <v>2405</v>
      </c>
      <c r="AJ84" s="158" t="s">
        <v>2694</v>
      </c>
      <c r="AK84" s="147"/>
      <c r="AL84" s="157" t="s">
        <v>2428</v>
      </c>
      <c r="AM84" s="152" t="s">
        <v>2397</v>
      </c>
      <c r="AN84" s="151"/>
      <c r="AO84" s="151"/>
      <c r="AP84" s="151"/>
      <c r="AQ84" s="151"/>
      <c r="AR84" s="151"/>
      <c r="AS84" s="151"/>
      <c r="AT84" s="151"/>
      <c r="AU84" s="151"/>
      <c r="AV84" s="151"/>
      <c r="AW84" s="153"/>
      <c r="AX84" s="154"/>
    </row>
    <row r="85" spans="1:57" s="155" customFormat="1" ht="58">
      <c r="A85" s="146" t="s">
        <v>6</v>
      </c>
      <c r="B85" s="129">
        <v>83</v>
      </c>
      <c r="C85" s="157" t="s">
        <v>2684</v>
      </c>
      <c r="D85" s="157" t="s">
        <v>3095</v>
      </c>
      <c r="E85" s="157" t="s">
        <v>2685</v>
      </c>
      <c r="F85" s="161" t="s">
        <v>2687</v>
      </c>
      <c r="G85" s="149" t="s">
        <v>665</v>
      </c>
      <c r="H85" s="157" t="s">
        <v>2688</v>
      </c>
      <c r="I85" s="157" t="s">
        <v>2689</v>
      </c>
      <c r="J85" s="147" t="s">
        <v>192</v>
      </c>
      <c r="K85" s="147" t="s">
        <v>192</v>
      </c>
      <c r="L85" s="147" t="s">
        <v>193</v>
      </c>
      <c r="M85" s="147" t="s">
        <v>193</v>
      </c>
      <c r="N85" s="147">
        <v>100</v>
      </c>
      <c r="O85" s="147" t="s">
        <v>2690</v>
      </c>
      <c r="P85" s="147" t="s">
        <v>2691</v>
      </c>
      <c r="Q85" s="147">
        <v>8</v>
      </c>
      <c r="R85" s="147">
        <v>39</v>
      </c>
      <c r="S85" s="147">
        <v>38</v>
      </c>
      <c r="T85" s="147">
        <v>2</v>
      </c>
      <c r="U85" s="149" t="s">
        <v>670</v>
      </c>
      <c r="V85" s="149" t="s">
        <v>671</v>
      </c>
      <c r="W85" s="149" t="s">
        <v>2691</v>
      </c>
      <c r="X85" s="149" t="s">
        <v>2691</v>
      </c>
      <c r="Y85" s="147" t="s">
        <v>2692</v>
      </c>
      <c r="Z85" s="147" t="s">
        <v>2692</v>
      </c>
      <c r="AA85" s="147">
        <v>1</v>
      </c>
      <c r="AB85" s="149" t="s">
        <v>2693</v>
      </c>
      <c r="AC85" s="149" t="s">
        <v>2693</v>
      </c>
      <c r="AD85" s="149" t="s">
        <v>2693</v>
      </c>
      <c r="AE85" s="149" t="s">
        <v>2693</v>
      </c>
      <c r="AF85" s="147">
        <v>0</v>
      </c>
      <c r="AG85" s="147">
        <v>0</v>
      </c>
      <c r="AH85" s="147">
        <v>3</v>
      </c>
      <c r="AI85" s="147" t="s">
        <v>665</v>
      </c>
      <c r="AJ85" s="158" t="s">
        <v>3025</v>
      </c>
      <c r="AK85" s="147" t="s">
        <v>2691</v>
      </c>
      <c r="AL85" s="157" t="s">
        <v>3026</v>
      </c>
      <c r="AM85" s="152" t="s">
        <v>2695</v>
      </c>
      <c r="AN85" s="151"/>
      <c r="AO85" s="151"/>
      <c r="AP85" s="151"/>
      <c r="AQ85" s="151"/>
      <c r="AR85" s="151"/>
      <c r="AS85" s="151"/>
      <c r="AT85" s="151"/>
      <c r="AU85" s="151"/>
      <c r="AV85" s="151"/>
      <c r="AW85" s="153"/>
      <c r="AX85" s="154"/>
    </row>
    <row r="86" spans="1:57" s="155" customFormat="1" ht="30">
      <c r="A86" s="146" t="s">
        <v>6</v>
      </c>
      <c r="B86" s="129">
        <v>84</v>
      </c>
      <c r="C86" s="147" t="s">
        <v>923</v>
      </c>
      <c r="D86" s="147" t="s">
        <v>3095</v>
      </c>
      <c r="E86" s="151" t="s">
        <v>924</v>
      </c>
      <c r="F86" s="157" t="s">
        <v>2686</v>
      </c>
      <c r="G86" s="149" t="s">
        <v>665</v>
      </c>
      <c r="H86" s="149" t="s">
        <v>925</v>
      </c>
      <c r="I86" s="149" t="s">
        <v>926</v>
      </c>
      <c r="J86" s="147" t="s">
        <v>927</v>
      </c>
      <c r="K86" s="147" t="s">
        <v>927</v>
      </c>
      <c r="L86" s="147" t="s">
        <v>669</v>
      </c>
      <c r="M86" s="147" t="s">
        <v>669</v>
      </c>
      <c r="N86" s="147" t="s">
        <v>669</v>
      </c>
      <c r="O86" s="147" t="s">
        <v>669</v>
      </c>
      <c r="P86" s="147" t="s">
        <v>669</v>
      </c>
      <c r="Q86" s="147">
        <v>8</v>
      </c>
      <c r="R86" s="149">
        <v>7</v>
      </c>
      <c r="S86" s="149">
        <v>56</v>
      </c>
      <c r="T86" s="149">
        <v>64</v>
      </c>
      <c r="U86" s="149" t="s">
        <v>755</v>
      </c>
      <c r="V86" s="149" t="s">
        <v>756</v>
      </c>
      <c r="W86" s="149" t="s">
        <v>669</v>
      </c>
      <c r="X86" s="149" t="s">
        <v>669</v>
      </c>
      <c r="Y86" s="149" t="s">
        <v>669</v>
      </c>
      <c r="Z86" s="149" t="s">
        <v>669</v>
      </c>
      <c r="AA86" s="149" t="s">
        <v>669</v>
      </c>
      <c r="AB86" s="149" t="s">
        <v>669</v>
      </c>
      <c r="AC86" s="149" t="s">
        <v>669</v>
      </c>
      <c r="AD86" s="149" t="s">
        <v>669</v>
      </c>
      <c r="AE86" s="149" t="s">
        <v>669</v>
      </c>
      <c r="AF86" s="149" t="s">
        <v>669</v>
      </c>
      <c r="AG86" s="149" t="s">
        <v>669</v>
      </c>
      <c r="AH86" s="149" t="s">
        <v>669</v>
      </c>
      <c r="AI86" s="149" t="s">
        <v>669</v>
      </c>
      <c r="AJ86" s="162" t="s">
        <v>669</v>
      </c>
      <c r="AK86" s="149" t="s">
        <v>669</v>
      </c>
      <c r="AL86" s="157" t="s">
        <v>2390</v>
      </c>
      <c r="AM86" s="149" t="s">
        <v>677</v>
      </c>
      <c r="AN86" s="149"/>
      <c r="AO86" s="151"/>
      <c r="AP86" s="151"/>
      <c r="AQ86" s="151"/>
      <c r="AR86" s="151"/>
      <c r="AS86" s="151"/>
      <c r="AT86" s="151"/>
      <c r="AU86" s="151"/>
      <c r="AV86" s="151"/>
      <c r="AW86" s="153"/>
      <c r="AX86" s="154"/>
    </row>
    <row r="87" spans="1:57" s="199" customFormat="1" ht="44">
      <c r="A87" s="146" t="s">
        <v>6</v>
      </c>
      <c r="B87" s="129">
        <v>85</v>
      </c>
      <c r="C87" s="147" t="s">
        <v>706</v>
      </c>
      <c r="D87" s="151" t="s">
        <v>3095</v>
      </c>
      <c r="E87" s="157" t="s">
        <v>3047</v>
      </c>
      <c r="F87" s="157" t="s">
        <v>3048</v>
      </c>
      <c r="G87" s="149" t="s">
        <v>665</v>
      </c>
      <c r="H87" s="149" t="s">
        <v>928</v>
      </c>
      <c r="I87" s="151" t="s">
        <v>929</v>
      </c>
      <c r="J87" s="147" t="s">
        <v>927</v>
      </c>
      <c r="K87" s="147" t="s">
        <v>927</v>
      </c>
      <c r="L87" s="149" t="s">
        <v>584</v>
      </c>
      <c r="M87" s="147" t="s">
        <v>193</v>
      </c>
      <c r="N87" s="151" t="s">
        <v>665</v>
      </c>
      <c r="O87" s="151" t="s">
        <v>930</v>
      </c>
      <c r="P87" s="151" t="s">
        <v>930</v>
      </c>
      <c r="Q87" s="151">
        <v>8</v>
      </c>
      <c r="R87" s="151">
        <v>5</v>
      </c>
      <c r="S87" s="151">
        <v>12</v>
      </c>
      <c r="T87" s="151">
        <v>10</v>
      </c>
      <c r="U87" s="149" t="s">
        <v>755</v>
      </c>
      <c r="V87" s="149" t="s">
        <v>756</v>
      </c>
      <c r="W87" s="149" t="s">
        <v>193</v>
      </c>
      <c r="X87" s="151"/>
      <c r="Y87" s="151" t="s">
        <v>3044</v>
      </c>
      <c r="Z87" s="151" t="s">
        <v>3044</v>
      </c>
      <c r="AA87" s="285">
        <v>0.1</v>
      </c>
      <c r="AB87" s="151">
        <v>1</v>
      </c>
      <c r="AC87" s="151" t="s">
        <v>930</v>
      </c>
      <c r="AD87" s="151" t="s">
        <v>930</v>
      </c>
      <c r="AE87" s="151" t="s">
        <v>930</v>
      </c>
      <c r="AF87" s="151">
        <v>0</v>
      </c>
      <c r="AG87" s="151">
        <v>0</v>
      </c>
      <c r="AH87" s="285">
        <v>102.3</v>
      </c>
      <c r="AI87" s="149" t="s">
        <v>193</v>
      </c>
      <c r="AJ87" s="162" t="s">
        <v>3045</v>
      </c>
      <c r="AK87" s="149"/>
      <c r="AL87" s="149" t="s">
        <v>3046</v>
      </c>
      <c r="AM87" s="149" t="s">
        <v>3038</v>
      </c>
      <c r="AN87" s="149"/>
      <c r="AO87" s="149"/>
      <c r="AP87" s="149"/>
      <c r="AQ87" s="149"/>
      <c r="AR87" s="149"/>
      <c r="AS87" s="149"/>
      <c r="AT87" s="149"/>
      <c r="AU87" s="149"/>
      <c r="AV87" s="149"/>
      <c r="AW87" s="197"/>
      <c r="AX87" s="198"/>
    </row>
    <row r="88" spans="1:57" s="199" customFormat="1" ht="30">
      <c r="A88" s="146" t="s">
        <v>6</v>
      </c>
      <c r="B88" s="129">
        <v>86</v>
      </c>
      <c r="C88" s="147" t="s">
        <v>191</v>
      </c>
      <c r="D88" s="147" t="s">
        <v>3105</v>
      </c>
      <c r="E88" s="157" t="s">
        <v>2417</v>
      </c>
      <c r="F88" s="161" t="s">
        <v>2418</v>
      </c>
      <c r="G88" s="157" t="s">
        <v>2401</v>
      </c>
      <c r="H88" s="149" t="s">
        <v>2419</v>
      </c>
      <c r="I88" s="200" t="s">
        <v>2420</v>
      </c>
      <c r="J88" s="147" t="s">
        <v>2404</v>
      </c>
      <c r="K88" s="147" t="s">
        <v>192</v>
      </c>
      <c r="L88" s="147" t="s">
        <v>2405</v>
      </c>
      <c r="M88" s="147" t="s">
        <v>2405</v>
      </c>
      <c r="N88" s="149">
        <v>2000</v>
      </c>
      <c r="O88" s="147" t="s">
        <v>2405</v>
      </c>
      <c r="P88" s="147" t="s">
        <v>2405</v>
      </c>
      <c r="Q88" s="149">
        <v>8</v>
      </c>
      <c r="R88" s="149">
        <v>7</v>
      </c>
      <c r="S88" s="149">
        <v>56</v>
      </c>
      <c r="T88" s="149">
        <v>64</v>
      </c>
      <c r="U88" s="149" t="s">
        <v>2421</v>
      </c>
      <c r="V88" s="149" t="s">
        <v>2422</v>
      </c>
      <c r="W88" s="149" t="s">
        <v>2405</v>
      </c>
      <c r="X88" s="149" t="s">
        <v>2405</v>
      </c>
      <c r="Y88" s="157" t="s">
        <v>2423</v>
      </c>
      <c r="Z88" s="147" t="s">
        <v>194</v>
      </c>
      <c r="AA88" s="149">
        <v>1</v>
      </c>
      <c r="AB88" s="149" t="s">
        <v>2405</v>
      </c>
      <c r="AC88" s="149" t="s">
        <v>2405</v>
      </c>
      <c r="AD88" s="149" t="s">
        <v>2405</v>
      </c>
      <c r="AE88" s="149" t="s">
        <v>2405</v>
      </c>
      <c r="AF88" s="149" t="s">
        <v>2405</v>
      </c>
      <c r="AG88" s="149" t="s">
        <v>2405</v>
      </c>
      <c r="AH88" s="149" t="s">
        <v>2405</v>
      </c>
      <c r="AI88" s="149" t="s">
        <v>2405</v>
      </c>
      <c r="AJ88" s="149" t="s">
        <v>2405</v>
      </c>
      <c r="AK88" s="149" t="s">
        <v>2405</v>
      </c>
      <c r="AL88" s="149" t="s">
        <v>2405</v>
      </c>
      <c r="AM88" s="149"/>
      <c r="AN88" s="149"/>
      <c r="AO88" s="149"/>
      <c r="AP88" s="149"/>
      <c r="AQ88" s="149"/>
      <c r="AR88" s="149"/>
      <c r="AS88" s="149"/>
      <c r="AT88" s="149"/>
      <c r="AU88" s="149"/>
      <c r="AV88" s="149"/>
      <c r="AW88" s="197"/>
      <c r="AX88" s="201" t="s">
        <v>2397</v>
      </c>
    </row>
    <row r="89" spans="1:57" s="156" customFormat="1" ht="58">
      <c r="A89" s="146" t="s">
        <v>6</v>
      </c>
      <c r="B89" s="129">
        <v>87</v>
      </c>
      <c r="C89" s="147" t="s">
        <v>931</v>
      </c>
      <c r="D89" s="147" t="s">
        <v>3112</v>
      </c>
      <c r="E89" s="149" t="s">
        <v>932</v>
      </c>
      <c r="F89" s="149" t="s">
        <v>933</v>
      </c>
      <c r="G89" s="149" t="s">
        <v>665</v>
      </c>
      <c r="H89" s="149" t="s">
        <v>213</v>
      </c>
      <c r="I89" s="149" t="s">
        <v>934</v>
      </c>
      <c r="J89" s="149" t="s">
        <v>935</v>
      </c>
      <c r="K89" s="149" t="s">
        <v>935</v>
      </c>
      <c r="L89" s="147" t="s">
        <v>725</v>
      </c>
      <c r="M89" s="147" t="s">
        <v>725</v>
      </c>
      <c r="N89" s="149">
        <v>10</v>
      </c>
      <c r="O89" s="147">
        <v>10</v>
      </c>
      <c r="P89" s="147" t="s">
        <v>725</v>
      </c>
      <c r="Q89" s="147">
        <v>8</v>
      </c>
      <c r="R89" s="147">
        <v>7</v>
      </c>
      <c r="S89" s="147">
        <v>0</v>
      </c>
      <c r="T89" s="147">
        <v>8</v>
      </c>
      <c r="U89" s="149" t="s">
        <v>726</v>
      </c>
      <c r="V89" s="149" t="s">
        <v>727</v>
      </c>
      <c r="W89" s="149" t="s">
        <v>684</v>
      </c>
      <c r="X89" s="149" t="s">
        <v>684</v>
      </c>
      <c r="Y89" s="149" t="s">
        <v>874</v>
      </c>
      <c r="Z89" s="147" t="s">
        <v>194</v>
      </c>
      <c r="AA89" s="149">
        <v>1</v>
      </c>
      <c r="AB89" s="149" t="s">
        <v>684</v>
      </c>
      <c r="AC89" s="149" t="s">
        <v>684</v>
      </c>
      <c r="AD89" s="149" t="s">
        <v>684</v>
      </c>
      <c r="AE89" s="149" t="s">
        <v>684</v>
      </c>
      <c r="AF89" s="149">
        <v>0</v>
      </c>
      <c r="AG89" s="149">
        <v>0</v>
      </c>
      <c r="AH89" s="149">
        <v>255</v>
      </c>
      <c r="AI89" s="149" t="s">
        <v>875</v>
      </c>
      <c r="AJ89" s="150" t="s">
        <v>2121</v>
      </c>
      <c r="AK89" s="149" t="s">
        <v>684</v>
      </c>
      <c r="AL89" s="149" t="s">
        <v>684</v>
      </c>
      <c r="AM89" s="151"/>
      <c r="AN89" s="151" t="s">
        <v>936</v>
      </c>
      <c r="AO89" s="151"/>
      <c r="AP89" s="151"/>
      <c r="AQ89" s="151"/>
      <c r="AR89" s="151"/>
      <c r="AS89" s="151" t="s">
        <v>936</v>
      </c>
      <c r="AT89" s="151"/>
      <c r="AU89" s="151"/>
      <c r="AV89" s="151"/>
      <c r="AW89" s="153"/>
      <c r="AX89" s="154"/>
      <c r="AY89" s="155"/>
      <c r="AZ89" s="155"/>
      <c r="BA89" s="155"/>
      <c r="BB89" s="155"/>
      <c r="BC89" s="155"/>
      <c r="BD89" s="155"/>
      <c r="BE89" s="155"/>
    </row>
    <row r="90" spans="1:57" s="459" customFormat="1" ht="45">
      <c r="A90" s="451" t="s">
        <v>6</v>
      </c>
      <c r="B90" s="452">
        <v>88</v>
      </c>
      <c r="C90" s="450" t="s">
        <v>937</v>
      </c>
      <c r="D90" s="452" t="s">
        <v>3113</v>
      </c>
      <c r="E90" s="452" t="s">
        <v>938</v>
      </c>
      <c r="F90" s="452" t="s">
        <v>939</v>
      </c>
      <c r="G90" s="450" t="s">
        <v>684</v>
      </c>
      <c r="H90" s="452" t="s">
        <v>213</v>
      </c>
      <c r="I90" s="450" t="s">
        <v>940</v>
      </c>
      <c r="J90" s="452" t="s">
        <v>935</v>
      </c>
      <c r="K90" s="452" t="s">
        <v>935</v>
      </c>
      <c r="L90" s="452" t="s">
        <v>725</v>
      </c>
      <c r="M90" s="452" t="s">
        <v>725</v>
      </c>
      <c r="N90" s="452">
        <v>10</v>
      </c>
      <c r="O90" s="452">
        <v>10</v>
      </c>
      <c r="P90" s="452" t="s">
        <v>725</v>
      </c>
      <c r="Q90" s="452">
        <v>8</v>
      </c>
      <c r="R90" s="452">
        <v>15</v>
      </c>
      <c r="S90" s="452">
        <v>22</v>
      </c>
      <c r="T90" s="452">
        <v>10</v>
      </c>
      <c r="U90" s="450" t="s">
        <v>726</v>
      </c>
      <c r="V90" s="450" t="s">
        <v>727</v>
      </c>
      <c r="W90" s="452">
        <v>500</v>
      </c>
      <c r="X90" s="450" t="s">
        <v>684</v>
      </c>
      <c r="Y90" s="450" t="s">
        <v>941</v>
      </c>
      <c r="Z90" s="452" t="s">
        <v>194</v>
      </c>
      <c r="AA90" s="452">
        <v>0.1</v>
      </c>
      <c r="AB90" s="452" t="s">
        <v>942</v>
      </c>
      <c r="AC90" s="450" t="s">
        <v>684</v>
      </c>
      <c r="AD90" s="452" t="s">
        <v>942</v>
      </c>
      <c r="AE90" s="450" t="s">
        <v>684</v>
      </c>
      <c r="AF90" s="452">
        <v>0</v>
      </c>
      <c r="AG90" s="452">
        <v>0</v>
      </c>
      <c r="AH90" s="452">
        <v>100</v>
      </c>
      <c r="AI90" s="452" t="s">
        <v>943</v>
      </c>
      <c r="AJ90" s="455" t="s">
        <v>2133</v>
      </c>
      <c r="AK90" s="450" t="s">
        <v>684</v>
      </c>
      <c r="AL90" s="450" t="s">
        <v>2576</v>
      </c>
      <c r="AM90" s="285" t="s">
        <v>685</v>
      </c>
      <c r="AN90" s="285" t="s">
        <v>936</v>
      </c>
      <c r="AO90" s="285"/>
      <c r="AP90" s="285"/>
      <c r="AQ90" s="285"/>
      <c r="AR90" s="285"/>
      <c r="AS90" s="467" t="s">
        <v>1995</v>
      </c>
      <c r="AT90" s="285"/>
      <c r="AU90" s="285"/>
      <c r="AV90" s="285"/>
      <c r="AW90" s="456"/>
      <c r="AX90" s="457"/>
      <c r="AY90" s="458"/>
      <c r="AZ90" s="458"/>
      <c r="BA90" s="458"/>
      <c r="BB90" s="458"/>
      <c r="BC90" s="458"/>
      <c r="BD90" s="458"/>
      <c r="BE90" s="458"/>
    </row>
    <row r="91" spans="1:57" s="156" customFormat="1" ht="30">
      <c r="A91" s="146" t="s">
        <v>6</v>
      </c>
      <c r="B91" s="129">
        <v>89</v>
      </c>
      <c r="C91" s="149" t="s">
        <v>937</v>
      </c>
      <c r="D91" s="147" t="s">
        <v>3114</v>
      </c>
      <c r="E91" s="147" t="s">
        <v>944</v>
      </c>
      <c r="F91" s="147" t="s">
        <v>945</v>
      </c>
      <c r="G91" s="149" t="s">
        <v>684</v>
      </c>
      <c r="H91" s="147" t="s">
        <v>946</v>
      </c>
      <c r="I91" s="149" t="s">
        <v>940</v>
      </c>
      <c r="J91" s="147" t="s">
        <v>935</v>
      </c>
      <c r="K91" s="147" t="s">
        <v>935</v>
      </c>
      <c r="L91" s="147" t="s">
        <v>725</v>
      </c>
      <c r="M91" s="147" t="s">
        <v>725</v>
      </c>
      <c r="N91" s="147">
        <v>10</v>
      </c>
      <c r="O91" s="147">
        <v>10</v>
      </c>
      <c r="P91" s="147" t="s">
        <v>725</v>
      </c>
      <c r="Q91" s="147">
        <v>8</v>
      </c>
      <c r="R91" s="147">
        <v>21</v>
      </c>
      <c r="S91" s="147">
        <v>21</v>
      </c>
      <c r="T91" s="147">
        <v>1</v>
      </c>
      <c r="U91" s="149" t="s">
        <v>726</v>
      </c>
      <c r="V91" s="149" t="s">
        <v>727</v>
      </c>
      <c r="W91" s="147">
        <v>500</v>
      </c>
      <c r="X91" s="149" t="s">
        <v>684</v>
      </c>
      <c r="Y91" s="147" t="s">
        <v>728</v>
      </c>
      <c r="Z91" s="147" t="s">
        <v>194</v>
      </c>
      <c r="AA91" s="147">
        <v>1</v>
      </c>
      <c r="AB91" s="147" t="s">
        <v>684</v>
      </c>
      <c r="AC91" s="149" t="s">
        <v>684</v>
      </c>
      <c r="AD91" s="147" t="s">
        <v>684</v>
      </c>
      <c r="AE91" s="149" t="s">
        <v>684</v>
      </c>
      <c r="AF91" s="147">
        <v>0</v>
      </c>
      <c r="AG91" s="147">
        <v>0</v>
      </c>
      <c r="AH91" s="147">
        <v>1</v>
      </c>
      <c r="AI91" s="147" t="s">
        <v>684</v>
      </c>
      <c r="AJ91" s="150" t="s">
        <v>947</v>
      </c>
      <c r="AK91" s="149" t="s">
        <v>684</v>
      </c>
      <c r="AL91" s="149"/>
      <c r="AM91" s="151"/>
      <c r="AN91" s="151" t="s">
        <v>685</v>
      </c>
      <c r="AO91" s="151"/>
      <c r="AP91" s="151"/>
      <c r="AQ91" s="151"/>
      <c r="AR91" s="151"/>
      <c r="AS91" s="152" t="s">
        <v>1995</v>
      </c>
      <c r="AT91" s="151"/>
      <c r="AU91" s="151"/>
      <c r="AV91" s="151"/>
      <c r="AW91" s="153"/>
      <c r="AX91" s="154"/>
      <c r="AY91" s="155"/>
      <c r="AZ91" s="155"/>
      <c r="BA91" s="155"/>
      <c r="BB91" s="155"/>
      <c r="BC91" s="155"/>
      <c r="BD91" s="155"/>
      <c r="BE91" s="155"/>
    </row>
    <row r="92" spans="1:57" s="156" customFormat="1" ht="156">
      <c r="A92" s="146" t="s">
        <v>6</v>
      </c>
      <c r="B92" s="129">
        <v>90</v>
      </c>
      <c r="C92" s="149" t="s">
        <v>937</v>
      </c>
      <c r="D92" s="147" t="s">
        <v>3114</v>
      </c>
      <c r="E92" s="147" t="s">
        <v>948</v>
      </c>
      <c r="F92" s="147" t="s">
        <v>949</v>
      </c>
      <c r="G92" s="149" t="s">
        <v>684</v>
      </c>
      <c r="H92" s="147" t="s">
        <v>213</v>
      </c>
      <c r="I92" s="149" t="s">
        <v>940</v>
      </c>
      <c r="J92" s="147" t="s">
        <v>935</v>
      </c>
      <c r="K92" s="147" t="s">
        <v>935</v>
      </c>
      <c r="L92" s="147" t="s">
        <v>725</v>
      </c>
      <c r="M92" s="147" t="s">
        <v>725</v>
      </c>
      <c r="N92" s="147">
        <v>10</v>
      </c>
      <c r="O92" s="147">
        <v>10</v>
      </c>
      <c r="P92" s="147" t="s">
        <v>725</v>
      </c>
      <c r="Q92" s="147">
        <v>8</v>
      </c>
      <c r="R92" s="147">
        <v>19</v>
      </c>
      <c r="S92" s="147">
        <v>16</v>
      </c>
      <c r="T92" s="147">
        <v>4</v>
      </c>
      <c r="U92" s="149" t="s">
        <v>726</v>
      </c>
      <c r="V92" s="149" t="s">
        <v>727</v>
      </c>
      <c r="W92" s="147">
        <v>500</v>
      </c>
      <c r="X92" s="149" t="s">
        <v>684</v>
      </c>
      <c r="Y92" s="149" t="s">
        <v>950</v>
      </c>
      <c r="Z92" s="147" t="s">
        <v>194</v>
      </c>
      <c r="AA92" s="147">
        <v>1</v>
      </c>
      <c r="AB92" s="147" t="s">
        <v>684</v>
      </c>
      <c r="AC92" s="149" t="s">
        <v>684</v>
      </c>
      <c r="AD92" s="147" t="s">
        <v>684</v>
      </c>
      <c r="AE92" s="149" t="s">
        <v>684</v>
      </c>
      <c r="AF92" s="147">
        <v>0</v>
      </c>
      <c r="AG92" s="147">
        <v>0</v>
      </c>
      <c r="AH92" s="147">
        <v>8</v>
      </c>
      <c r="AI92" s="147" t="s">
        <v>684</v>
      </c>
      <c r="AJ92" s="158" t="s">
        <v>2306</v>
      </c>
      <c r="AK92" s="149" t="s">
        <v>684</v>
      </c>
      <c r="AL92" s="149"/>
      <c r="AM92" s="151"/>
      <c r="AN92" s="151" t="s">
        <v>685</v>
      </c>
      <c r="AO92" s="151"/>
      <c r="AP92" s="151"/>
      <c r="AQ92" s="151"/>
      <c r="AR92" s="151"/>
      <c r="AS92" s="152" t="s">
        <v>1995</v>
      </c>
      <c r="AT92" s="151"/>
      <c r="AU92" s="151"/>
      <c r="AV92" s="151"/>
      <c r="AW92" s="153"/>
      <c r="AX92" s="154"/>
      <c r="AY92" s="155"/>
      <c r="AZ92" s="155"/>
      <c r="BA92" s="155"/>
      <c r="BB92" s="155"/>
      <c r="BC92" s="155"/>
      <c r="BD92" s="155"/>
      <c r="BE92" s="155"/>
    </row>
    <row r="93" spans="1:57" s="156" customFormat="1" ht="128">
      <c r="A93" s="146" t="s">
        <v>6</v>
      </c>
      <c r="B93" s="129">
        <v>91</v>
      </c>
      <c r="C93" s="149" t="s">
        <v>937</v>
      </c>
      <c r="D93" s="147" t="s">
        <v>3115</v>
      </c>
      <c r="E93" s="148" t="s">
        <v>1841</v>
      </c>
      <c r="F93" s="147" t="s">
        <v>951</v>
      </c>
      <c r="G93" s="149" t="s">
        <v>684</v>
      </c>
      <c r="H93" s="147" t="s">
        <v>946</v>
      </c>
      <c r="I93" s="149" t="s">
        <v>940</v>
      </c>
      <c r="J93" s="147" t="s">
        <v>935</v>
      </c>
      <c r="K93" s="147" t="s">
        <v>935</v>
      </c>
      <c r="L93" s="147" t="s">
        <v>725</v>
      </c>
      <c r="M93" s="147" t="s">
        <v>725</v>
      </c>
      <c r="N93" s="147">
        <v>10</v>
      </c>
      <c r="O93" s="147">
        <v>10</v>
      </c>
      <c r="P93" s="147" t="s">
        <v>725</v>
      </c>
      <c r="Q93" s="147">
        <v>8</v>
      </c>
      <c r="R93" s="147">
        <v>31</v>
      </c>
      <c r="S93" s="147">
        <v>28</v>
      </c>
      <c r="T93" s="147">
        <v>4</v>
      </c>
      <c r="U93" s="149" t="s">
        <v>726</v>
      </c>
      <c r="V93" s="149" t="s">
        <v>727</v>
      </c>
      <c r="W93" s="147">
        <v>500</v>
      </c>
      <c r="X93" s="149" t="s">
        <v>684</v>
      </c>
      <c r="Y93" s="148" t="s">
        <v>1913</v>
      </c>
      <c r="Z93" s="148" t="s">
        <v>1913</v>
      </c>
      <c r="AA93" s="147">
        <v>1</v>
      </c>
      <c r="AB93" s="147" t="s">
        <v>684</v>
      </c>
      <c r="AC93" s="149" t="s">
        <v>684</v>
      </c>
      <c r="AD93" s="147" t="s">
        <v>684</v>
      </c>
      <c r="AE93" s="149" t="s">
        <v>684</v>
      </c>
      <c r="AF93" s="147">
        <v>0</v>
      </c>
      <c r="AG93" s="147">
        <v>0</v>
      </c>
      <c r="AH93" s="147">
        <v>15</v>
      </c>
      <c r="AI93" s="147" t="s">
        <v>684</v>
      </c>
      <c r="AJ93" s="158" t="s">
        <v>2658</v>
      </c>
      <c r="AK93" s="149" t="s">
        <v>684</v>
      </c>
      <c r="AL93" s="149"/>
      <c r="AM93" s="151"/>
      <c r="AN93" s="151" t="s">
        <v>685</v>
      </c>
      <c r="AO93" s="151"/>
      <c r="AP93" s="151"/>
      <c r="AQ93" s="151"/>
      <c r="AR93" s="151"/>
      <c r="AS93" s="151"/>
      <c r="AT93" s="151"/>
      <c r="AU93" s="151"/>
      <c r="AV93" s="151"/>
      <c r="AW93" s="153"/>
      <c r="AX93" s="154"/>
      <c r="AY93" s="155"/>
      <c r="AZ93" s="155"/>
      <c r="BA93" s="155"/>
      <c r="BB93" s="155"/>
      <c r="BC93" s="155"/>
      <c r="BD93" s="155"/>
      <c r="BE93" s="155"/>
    </row>
    <row r="94" spans="1:57" s="156" customFormat="1" ht="44">
      <c r="A94" s="146" t="s">
        <v>6</v>
      </c>
      <c r="B94" s="129">
        <v>92</v>
      </c>
      <c r="C94" s="149" t="s">
        <v>2070</v>
      </c>
      <c r="D94" s="147" t="s">
        <v>3105</v>
      </c>
      <c r="E94" s="158" t="s">
        <v>2082</v>
      </c>
      <c r="F94" s="150" t="s">
        <v>2072</v>
      </c>
      <c r="G94" s="149" t="s">
        <v>2071</v>
      </c>
      <c r="H94" s="147" t="s">
        <v>2073</v>
      </c>
      <c r="I94" s="149" t="s">
        <v>2074</v>
      </c>
      <c r="J94" s="147" t="s">
        <v>2075</v>
      </c>
      <c r="K94" s="147" t="s">
        <v>2075</v>
      </c>
      <c r="L94" s="147" t="s">
        <v>2076</v>
      </c>
      <c r="M94" s="147" t="s">
        <v>2076</v>
      </c>
      <c r="N94" s="147">
        <v>10</v>
      </c>
      <c r="O94" s="147" t="s">
        <v>2077</v>
      </c>
      <c r="P94" s="147" t="s">
        <v>2076</v>
      </c>
      <c r="Q94" s="147">
        <v>8</v>
      </c>
      <c r="R94" s="147">
        <v>27</v>
      </c>
      <c r="S94" s="147">
        <v>26</v>
      </c>
      <c r="T94" s="147">
        <v>2</v>
      </c>
      <c r="U94" s="149" t="s">
        <v>2078</v>
      </c>
      <c r="V94" s="149" t="s">
        <v>2079</v>
      </c>
      <c r="W94" s="147">
        <v>500</v>
      </c>
      <c r="X94" s="149" t="s">
        <v>2071</v>
      </c>
      <c r="Y94" s="149" t="s">
        <v>2080</v>
      </c>
      <c r="Z94" s="147">
        <v>0</v>
      </c>
      <c r="AA94" s="147">
        <v>1</v>
      </c>
      <c r="AB94" s="147" t="s">
        <v>2071</v>
      </c>
      <c r="AC94" s="149" t="s">
        <v>2071</v>
      </c>
      <c r="AD94" s="147" t="s">
        <v>2071</v>
      </c>
      <c r="AE94" s="149" t="s">
        <v>2071</v>
      </c>
      <c r="AF94" s="147">
        <v>0</v>
      </c>
      <c r="AG94" s="147">
        <v>0</v>
      </c>
      <c r="AH94" s="147">
        <v>3</v>
      </c>
      <c r="AI94" s="147" t="s">
        <v>2071</v>
      </c>
      <c r="AJ94" s="158" t="s">
        <v>2134</v>
      </c>
      <c r="AK94" s="149" t="s">
        <v>665</v>
      </c>
      <c r="AL94" s="149"/>
      <c r="AM94" s="151"/>
      <c r="AN94" s="151"/>
      <c r="AO94" s="151"/>
      <c r="AP94" s="151"/>
      <c r="AQ94" s="151"/>
      <c r="AR94" s="151"/>
      <c r="AS94" s="151"/>
      <c r="AT94" s="151"/>
      <c r="AU94" s="151"/>
      <c r="AV94" s="151"/>
      <c r="AW94" s="153"/>
      <c r="AX94" s="154" t="s">
        <v>685</v>
      </c>
      <c r="AY94" s="155"/>
      <c r="AZ94" s="155"/>
      <c r="BA94" s="155"/>
      <c r="BB94" s="155"/>
      <c r="BC94" s="155"/>
      <c r="BD94" s="155"/>
      <c r="BE94" s="155"/>
    </row>
    <row r="95" spans="1:57" s="156" customFormat="1" ht="44">
      <c r="A95" s="146" t="s">
        <v>6</v>
      </c>
      <c r="B95" s="129">
        <v>93</v>
      </c>
      <c r="C95" s="149" t="s">
        <v>2070</v>
      </c>
      <c r="D95" s="147" t="s">
        <v>3105</v>
      </c>
      <c r="E95" s="158" t="s">
        <v>2083</v>
      </c>
      <c r="F95" s="158" t="s">
        <v>2081</v>
      </c>
      <c r="G95" s="149" t="s">
        <v>2071</v>
      </c>
      <c r="H95" s="147" t="s">
        <v>2073</v>
      </c>
      <c r="I95" s="149" t="s">
        <v>2074</v>
      </c>
      <c r="J95" s="147" t="s">
        <v>2075</v>
      </c>
      <c r="K95" s="147" t="s">
        <v>2075</v>
      </c>
      <c r="L95" s="147" t="s">
        <v>2076</v>
      </c>
      <c r="M95" s="147" t="s">
        <v>2076</v>
      </c>
      <c r="N95" s="147">
        <v>10</v>
      </c>
      <c r="O95" s="147" t="s">
        <v>2077</v>
      </c>
      <c r="P95" s="147" t="s">
        <v>2076</v>
      </c>
      <c r="Q95" s="147">
        <v>8</v>
      </c>
      <c r="R95" s="147">
        <v>25</v>
      </c>
      <c r="S95" s="147">
        <v>24</v>
      </c>
      <c r="T95" s="147">
        <v>2</v>
      </c>
      <c r="U95" s="149" t="s">
        <v>2078</v>
      </c>
      <c r="V95" s="149" t="s">
        <v>2079</v>
      </c>
      <c r="W95" s="147">
        <v>500</v>
      </c>
      <c r="X95" s="149" t="s">
        <v>2071</v>
      </c>
      <c r="Y95" s="149" t="s">
        <v>2080</v>
      </c>
      <c r="Z95" s="147">
        <v>0</v>
      </c>
      <c r="AA95" s="147">
        <v>1</v>
      </c>
      <c r="AB95" s="147" t="s">
        <v>2071</v>
      </c>
      <c r="AC95" s="149" t="s">
        <v>2071</v>
      </c>
      <c r="AD95" s="147" t="s">
        <v>2071</v>
      </c>
      <c r="AE95" s="149" t="s">
        <v>2071</v>
      </c>
      <c r="AF95" s="147">
        <v>0</v>
      </c>
      <c r="AG95" s="147">
        <v>0</v>
      </c>
      <c r="AH95" s="147">
        <v>3</v>
      </c>
      <c r="AI95" s="147" t="s">
        <v>2071</v>
      </c>
      <c r="AJ95" s="158" t="s">
        <v>2135</v>
      </c>
      <c r="AK95" s="149" t="s">
        <v>665</v>
      </c>
      <c r="AL95" s="149"/>
      <c r="AM95" s="151"/>
      <c r="AN95" s="151"/>
      <c r="AO95" s="151"/>
      <c r="AP95" s="151"/>
      <c r="AQ95" s="151"/>
      <c r="AR95" s="151"/>
      <c r="AS95" s="151"/>
      <c r="AT95" s="151"/>
      <c r="AU95" s="151"/>
      <c r="AV95" s="151"/>
      <c r="AW95" s="153"/>
      <c r="AX95" s="154" t="s">
        <v>685</v>
      </c>
      <c r="AY95" s="155"/>
      <c r="AZ95" s="155"/>
      <c r="BA95" s="155"/>
      <c r="BB95" s="155"/>
      <c r="BC95" s="155"/>
      <c r="BD95" s="155"/>
      <c r="BE95" s="155"/>
    </row>
    <row r="96" spans="1:57" s="156" customFormat="1" ht="30">
      <c r="A96" s="146" t="s">
        <v>6</v>
      </c>
      <c r="B96" s="129">
        <v>94</v>
      </c>
      <c r="C96" s="149" t="s">
        <v>937</v>
      </c>
      <c r="D96" s="147" t="s">
        <v>3114</v>
      </c>
      <c r="E96" s="147" t="s">
        <v>952</v>
      </c>
      <c r="F96" s="147" t="s">
        <v>953</v>
      </c>
      <c r="G96" s="149" t="s">
        <v>684</v>
      </c>
      <c r="H96" s="147" t="s">
        <v>213</v>
      </c>
      <c r="I96" s="149" t="s">
        <v>940</v>
      </c>
      <c r="J96" s="147" t="s">
        <v>935</v>
      </c>
      <c r="K96" s="147" t="s">
        <v>935</v>
      </c>
      <c r="L96" s="147" t="s">
        <v>725</v>
      </c>
      <c r="M96" s="147" t="s">
        <v>725</v>
      </c>
      <c r="N96" s="147">
        <v>10</v>
      </c>
      <c r="O96" s="147">
        <v>10</v>
      </c>
      <c r="P96" s="147" t="s">
        <v>725</v>
      </c>
      <c r="Q96" s="147">
        <v>8</v>
      </c>
      <c r="R96" s="147">
        <v>33</v>
      </c>
      <c r="S96" s="147">
        <v>33</v>
      </c>
      <c r="T96" s="147">
        <v>1</v>
      </c>
      <c r="U96" s="149" t="s">
        <v>726</v>
      </c>
      <c r="V96" s="149" t="s">
        <v>727</v>
      </c>
      <c r="W96" s="147" t="s">
        <v>725</v>
      </c>
      <c r="X96" s="149" t="s">
        <v>684</v>
      </c>
      <c r="Y96" s="147" t="s">
        <v>728</v>
      </c>
      <c r="Z96" s="147" t="s">
        <v>194</v>
      </c>
      <c r="AA96" s="147">
        <v>1</v>
      </c>
      <c r="AB96" s="147" t="s">
        <v>684</v>
      </c>
      <c r="AC96" s="149" t="s">
        <v>684</v>
      </c>
      <c r="AD96" s="147" t="s">
        <v>684</v>
      </c>
      <c r="AE96" s="149" t="s">
        <v>684</v>
      </c>
      <c r="AF96" s="147">
        <v>0</v>
      </c>
      <c r="AG96" s="147">
        <v>0</v>
      </c>
      <c r="AH96" s="147">
        <v>1</v>
      </c>
      <c r="AI96" s="147" t="s">
        <v>684</v>
      </c>
      <c r="AJ96" s="150" t="s">
        <v>947</v>
      </c>
      <c r="AK96" s="149"/>
      <c r="AL96" s="149"/>
      <c r="AM96" s="151"/>
      <c r="AN96" s="151" t="s">
        <v>685</v>
      </c>
      <c r="AO96" s="151"/>
      <c r="AP96" s="151"/>
      <c r="AQ96" s="151"/>
      <c r="AR96" s="151"/>
      <c r="AS96" s="152" t="s">
        <v>1995</v>
      </c>
      <c r="AT96" s="151"/>
      <c r="AU96" s="151"/>
      <c r="AV96" s="151"/>
      <c r="AW96" s="153"/>
      <c r="AX96" s="154"/>
      <c r="AY96" s="155"/>
      <c r="AZ96" s="155"/>
      <c r="BA96" s="155"/>
      <c r="BB96" s="155"/>
      <c r="BC96" s="155"/>
      <c r="BD96" s="155"/>
      <c r="BE96" s="155"/>
    </row>
    <row r="97" spans="1:57" s="459" customFormat="1" ht="31">
      <c r="A97" s="451" t="s">
        <v>6</v>
      </c>
      <c r="B97" s="452">
        <v>95</v>
      </c>
      <c r="C97" s="450" t="s">
        <v>937</v>
      </c>
      <c r="D97" s="450" t="s">
        <v>3116</v>
      </c>
      <c r="E97" s="450" t="s">
        <v>2987</v>
      </c>
      <c r="F97" s="450" t="s">
        <v>954</v>
      </c>
      <c r="G97" s="450" t="s">
        <v>684</v>
      </c>
      <c r="H97" s="450" t="s">
        <v>213</v>
      </c>
      <c r="I97" s="450" t="s">
        <v>940</v>
      </c>
      <c r="J97" s="450" t="s">
        <v>935</v>
      </c>
      <c r="K97" s="450" t="s">
        <v>935</v>
      </c>
      <c r="L97" s="452" t="s">
        <v>725</v>
      </c>
      <c r="M97" s="452" t="s">
        <v>725</v>
      </c>
      <c r="N97" s="450">
        <v>10</v>
      </c>
      <c r="O97" s="450">
        <v>10</v>
      </c>
      <c r="P97" s="452" t="s">
        <v>725</v>
      </c>
      <c r="Q97" s="450">
        <v>8</v>
      </c>
      <c r="R97" s="450">
        <v>47</v>
      </c>
      <c r="S97" s="450">
        <v>51</v>
      </c>
      <c r="T97" s="450">
        <v>13</v>
      </c>
      <c r="U97" s="450" t="s">
        <v>726</v>
      </c>
      <c r="V97" s="450" t="s">
        <v>727</v>
      </c>
      <c r="W97" s="452">
        <v>500</v>
      </c>
      <c r="X97" s="450" t="s">
        <v>684</v>
      </c>
      <c r="Y97" s="450" t="s">
        <v>941</v>
      </c>
      <c r="Z97" s="452" t="s">
        <v>194</v>
      </c>
      <c r="AA97" s="450">
        <v>0.1</v>
      </c>
      <c r="AB97" s="450" t="s">
        <v>955</v>
      </c>
      <c r="AC97" s="450" t="s">
        <v>684</v>
      </c>
      <c r="AD97" s="450" t="s">
        <v>955</v>
      </c>
      <c r="AE97" s="450" t="s">
        <v>684</v>
      </c>
      <c r="AF97" s="450">
        <v>0</v>
      </c>
      <c r="AG97" s="450">
        <v>0</v>
      </c>
      <c r="AH97" s="450">
        <v>500</v>
      </c>
      <c r="AI97" s="450" t="s">
        <v>956</v>
      </c>
      <c r="AJ97" s="499" t="s">
        <v>2136</v>
      </c>
      <c r="AK97" s="450" t="s">
        <v>684</v>
      </c>
      <c r="AL97" s="450" t="s">
        <v>2984</v>
      </c>
      <c r="AM97" s="285" t="s">
        <v>685</v>
      </c>
      <c r="AN97" s="285" t="s">
        <v>936</v>
      </c>
      <c r="AO97" s="285"/>
      <c r="AP97" s="285"/>
      <c r="AQ97" s="285"/>
      <c r="AR97" s="285"/>
      <c r="AS97" s="285" t="s">
        <v>936</v>
      </c>
      <c r="AT97" s="285"/>
      <c r="AU97" s="285"/>
      <c r="AV97" s="285" t="s">
        <v>685</v>
      </c>
      <c r="AW97" s="456"/>
      <c r="AX97" s="457"/>
      <c r="AY97" s="458"/>
      <c r="AZ97" s="458"/>
      <c r="BA97" s="458"/>
      <c r="BB97" s="458"/>
      <c r="BC97" s="458"/>
      <c r="BD97" s="458"/>
      <c r="BE97" s="458"/>
    </row>
    <row r="98" spans="1:57" s="156" customFormat="1" ht="30">
      <c r="A98" s="146" t="s">
        <v>6</v>
      </c>
      <c r="B98" s="129">
        <v>96</v>
      </c>
      <c r="C98" s="149" t="s">
        <v>937</v>
      </c>
      <c r="D98" s="147" t="s">
        <v>3113</v>
      </c>
      <c r="E98" s="147" t="s">
        <v>958</v>
      </c>
      <c r="F98" s="147" t="s">
        <v>959</v>
      </c>
      <c r="G98" s="149" t="s">
        <v>684</v>
      </c>
      <c r="H98" s="147" t="s">
        <v>213</v>
      </c>
      <c r="I98" s="149" t="s">
        <v>940</v>
      </c>
      <c r="J98" s="147" t="s">
        <v>935</v>
      </c>
      <c r="K98" s="147" t="s">
        <v>935</v>
      </c>
      <c r="L98" s="147" t="s">
        <v>725</v>
      </c>
      <c r="M98" s="147" t="s">
        <v>725</v>
      </c>
      <c r="N98" s="147">
        <v>10</v>
      </c>
      <c r="O98" s="147">
        <v>10</v>
      </c>
      <c r="P98" s="147" t="s">
        <v>725</v>
      </c>
      <c r="Q98" s="147">
        <v>8</v>
      </c>
      <c r="R98" s="147">
        <v>50</v>
      </c>
      <c r="S98" s="147">
        <v>50</v>
      </c>
      <c r="T98" s="147">
        <v>1</v>
      </c>
      <c r="U98" s="149" t="s">
        <v>726</v>
      </c>
      <c r="V98" s="149" t="s">
        <v>727</v>
      </c>
      <c r="W98" s="147">
        <v>500</v>
      </c>
      <c r="X98" s="149" t="s">
        <v>684</v>
      </c>
      <c r="Y98" s="147" t="s">
        <v>728</v>
      </c>
      <c r="Z98" s="147" t="s">
        <v>194</v>
      </c>
      <c r="AA98" s="147">
        <v>1</v>
      </c>
      <c r="AB98" s="147" t="s">
        <v>684</v>
      </c>
      <c r="AC98" s="149" t="s">
        <v>684</v>
      </c>
      <c r="AD98" s="147" t="s">
        <v>684</v>
      </c>
      <c r="AE98" s="149" t="s">
        <v>684</v>
      </c>
      <c r="AF98" s="147">
        <v>0</v>
      </c>
      <c r="AG98" s="147">
        <v>0</v>
      </c>
      <c r="AH98" s="147">
        <v>1</v>
      </c>
      <c r="AI98" s="147" t="s">
        <v>684</v>
      </c>
      <c r="AJ98" s="150" t="s">
        <v>214</v>
      </c>
      <c r="AK98" s="149" t="s">
        <v>684</v>
      </c>
      <c r="AL98" s="157" t="s">
        <v>2303</v>
      </c>
      <c r="AM98" s="152" t="s">
        <v>2301</v>
      </c>
      <c r="AN98" s="151" t="s">
        <v>936</v>
      </c>
      <c r="AO98" s="151"/>
      <c r="AP98" s="151"/>
      <c r="AQ98" s="151"/>
      <c r="AR98" s="151"/>
      <c r="AS98" s="152" t="s">
        <v>2000</v>
      </c>
      <c r="AT98" s="151"/>
      <c r="AU98" s="151"/>
      <c r="AV98" s="151"/>
      <c r="AW98" s="153"/>
      <c r="AX98" s="154"/>
      <c r="AY98" s="155"/>
      <c r="AZ98" s="155"/>
      <c r="BA98" s="155"/>
      <c r="BB98" s="155"/>
      <c r="BC98" s="155"/>
      <c r="BD98" s="155"/>
      <c r="BE98" s="155"/>
    </row>
    <row r="99" spans="1:57" s="156" customFormat="1" ht="30">
      <c r="A99" s="146" t="s">
        <v>6</v>
      </c>
      <c r="B99" s="129">
        <v>97</v>
      </c>
      <c r="C99" s="149" t="s">
        <v>937</v>
      </c>
      <c r="D99" s="147" t="s">
        <v>3114</v>
      </c>
      <c r="E99" s="148" t="s">
        <v>2001</v>
      </c>
      <c r="F99" s="147" t="s">
        <v>960</v>
      </c>
      <c r="G99" s="149" t="s">
        <v>684</v>
      </c>
      <c r="H99" s="147" t="s">
        <v>213</v>
      </c>
      <c r="I99" s="149" t="s">
        <v>940</v>
      </c>
      <c r="J99" s="147" t="s">
        <v>935</v>
      </c>
      <c r="K99" s="147" t="s">
        <v>935</v>
      </c>
      <c r="L99" s="147" t="s">
        <v>725</v>
      </c>
      <c r="M99" s="147" t="s">
        <v>725</v>
      </c>
      <c r="N99" s="147">
        <v>10</v>
      </c>
      <c r="O99" s="147">
        <v>10</v>
      </c>
      <c r="P99" s="147" t="s">
        <v>725</v>
      </c>
      <c r="Q99" s="147">
        <v>8</v>
      </c>
      <c r="R99" s="147">
        <v>49</v>
      </c>
      <c r="S99" s="147">
        <v>49</v>
      </c>
      <c r="T99" s="147">
        <v>1</v>
      </c>
      <c r="U99" s="149" t="s">
        <v>726</v>
      </c>
      <c r="V99" s="149" t="s">
        <v>727</v>
      </c>
      <c r="W99" s="147">
        <v>500</v>
      </c>
      <c r="X99" s="149" t="s">
        <v>684</v>
      </c>
      <c r="Y99" s="147" t="s">
        <v>728</v>
      </c>
      <c r="Z99" s="147" t="s">
        <v>194</v>
      </c>
      <c r="AA99" s="147">
        <v>1</v>
      </c>
      <c r="AB99" s="147" t="s">
        <v>684</v>
      </c>
      <c r="AC99" s="149" t="s">
        <v>684</v>
      </c>
      <c r="AD99" s="147" t="s">
        <v>684</v>
      </c>
      <c r="AE99" s="149" t="s">
        <v>684</v>
      </c>
      <c r="AF99" s="147">
        <v>0</v>
      </c>
      <c r="AG99" s="147">
        <v>0</v>
      </c>
      <c r="AH99" s="147">
        <v>1</v>
      </c>
      <c r="AI99" s="147" t="s">
        <v>684</v>
      </c>
      <c r="AJ99" s="150" t="s">
        <v>214</v>
      </c>
      <c r="AK99" s="149" t="s">
        <v>684</v>
      </c>
      <c r="AL99" s="149"/>
      <c r="AM99" s="151"/>
      <c r="AN99" s="151" t="s">
        <v>936</v>
      </c>
      <c r="AO99" s="151"/>
      <c r="AP99" s="151"/>
      <c r="AQ99" s="151"/>
      <c r="AR99" s="151"/>
      <c r="AS99" s="152" t="s">
        <v>2000</v>
      </c>
      <c r="AT99" s="151"/>
      <c r="AU99" s="151"/>
      <c r="AV99" s="151"/>
      <c r="AW99" s="153"/>
      <c r="AX99" s="154"/>
      <c r="AY99" s="155"/>
      <c r="AZ99" s="155"/>
      <c r="BA99" s="155"/>
      <c r="BB99" s="155"/>
      <c r="BC99" s="155"/>
      <c r="BD99" s="155"/>
      <c r="BE99" s="155"/>
    </row>
    <row r="100" spans="1:57" s="156" customFormat="1" ht="30">
      <c r="A100" s="146" t="s">
        <v>6</v>
      </c>
      <c r="B100" s="129">
        <v>98</v>
      </c>
      <c r="C100" s="149" t="s">
        <v>937</v>
      </c>
      <c r="D100" s="147" t="s">
        <v>3114</v>
      </c>
      <c r="E100" s="148" t="s">
        <v>2002</v>
      </c>
      <c r="F100" s="147" t="s">
        <v>961</v>
      </c>
      <c r="G100" s="149" t="s">
        <v>684</v>
      </c>
      <c r="H100" s="147" t="s">
        <v>213</v>
      </c>
      <c r="I100" s="149" t="s">
        <v>940</v>
      </c>
      <c r="J100" s="147" t="s">
        <v>935</v>
      </c>
      <c r="K100" s="147" t="s">
        <v>935</v>
      </c>
      <c r="L100" s="147" t="s">
        <v>725</v>
      </c>
      <c r="M100" s="147" t="s">
        <v>725</v>
      </c>
      <c r="N100" s="147">
        <v>10</v>
      </c>
      <c r="O100" s="147">
        <v>10</v>
      </c>
      <c r="P100" s="147" t="s">
        <v>725</v>
      </c>
      <c r="Q100" s="147">
        <v>8</v>
      </c>
      <c r="R100" s="147">
        <v>48</v>
      </c>
      <c r="S100" s="147">
        <v>48</v>
      </c>
      <c r="T100" s="147">
        <v>1</v>
      </c>
      <c r="U100" s="149" t="s">
        <v>726</v>
      </c>
      <c r="V100" s="149" t="s">
        <v>727</v>
      </c>
      <c r="W100" s="147">
        <v>500</v>
      </c>
      <c r="X100" s="149" t="s">
        <v>684</v>
      </c>
      <c r="Y100" s="147" t="s">
        <v>728</v>
      </c>
      <c r="Z100" s="147" t="s">
        <v>194</v>
      </c>
      <c r="AA100" s="147">
        <v>1</v>
      </c>
      <c r="AB100" s="147" t="s">
        <v>684</v>
      </c>
      <c r="AC100" s="149" t="s">
        <v>684</v>
      </c>
      <c r="AD100" s="147" t="s">
        <v>684</v>
      </c>
      <c r="AE100" s="149" t="s">
        <v>684</v>
      </c>
      <c r="AF100" s="147">
        <v>0</v>
      </c>
      <c r="AG100" s="147">
        <v>0</v>
      </c>
      <c r="AH100" s="147">
        <v>1</v>
      </c>
      <c r="AI100" s="147" t="s">
        <v>684</v>
      </c>
      <c r="AJ100" s="150" t="s">
        <v>214</v>
      </c>
      <c r="AK100" s="149" t="s">
        <v>684</v>
      </c>
      <c r="AL100" s="149"/>
      <c r="AM100" s="151"/>
      <c r="AN100" s="151" t="s">
        <v>936</v>
      </c>
      <c r="AO100" s="151"/>
      <c r="AP100" s="151"/>
      <c r="AQ100" s="151"/>
      <c r="AR100" s="151"/>
      <c r="AS100" s="152" t="s">
        <v>2000</v>
      </c>
      <c r="AT100" s="151"/>
      <c r="AU100" s="151"/>
      <c r="AV100" s="151"/>
      <c r="AW100" s="153"/>
      <c r="AX100" s="154"/>
      <c r="AY100" s="155"/>
      <c r="AZ100" s="155"/>
      <c r="BA100" s="155"/>
      <c r="BB100" s="155"/>
      <c r="BC100" s="155"/>
      <c r="BD100" s="155"/>
      <c r="BE100" s="155"/>
    </row>
    <row r="101" spans="1:57" s="156" customFormat="1" ht="30">
      <c r="A101" s="146" t="s">
        <v>6</v>
      </c>
      <c r="B101" s="129">
        <v>99</v>
      </c>
      <c r="C101" s="149" t="s">
        <v>937</v>
      </c>
      <c r="D101" s="147" t="s">
        <v>3114</v>
      </c>
      <c r="E101" s="148" t="s">
        <v>2003</v>
      </c>
      <c r="F101" s="147" t="s">
        <v>962</v>
      </c>
      <c r="G101" s="149" t="s">
        <v>684</v>
      </c>
      <c r="H101" s="147" t="s">
        <v>213</v>
      </c>
      <c r="I101" s="149" t="s">
        <v>940</v>
      </c>
      <c r="J101" s="147" t="s">
        <v>935</v>
      </c>
      <c r="K101" s="147" t="s">
        <v>935</v>
      </c>
      <c r="L101" s="147" t="s">
        <v>725</v>
      </c>
      <c r="M101" s="147" t="s">
        <v>725</v>
      </c>
      <c r="N101" s="147">
        <v>10</v>
      </c>
      <c r="O101" s="147">
        <v>10</v>
      </c>
      <c r="P101" s="147" t="s">
        <v>725</v>
      </c>
      <c r="Q101" s="147">
        <v>8</v>
      </c>
      <c r="R101" s="147">
        <v>63</v>
      </c>
      <c r="S101" s="147">
        <v>63</v>
      </c>
      <c r="T101" s="147">
        <v>1</v>
      </c>
      <c r="U101" s="149" t="s">
        <v>726</v>
      </c>
      <c r="V101" s="149" t="s">
        <v>727</v>
      </c>
      <c r="W101" s="147">
        <v>500</v>
      </c>
      <c r="X101" s="149" t="s">
        <v>684</v>
      </c>
      <c r="Y101" s="147" t="s">
        <v>728</v>
      </c>
      <c r="Z101" s="147" t="s">
        <v>194</v>
      </c>
      <c r="AA101" s="147">
        <v>1</v>
      </c>
      <c r="AB101" s="147" t="s">
        <v>684</v>
      </c>
      <c r="AC101" s="149" t="s">
        <v>684</v>
      </c>
      <c r="AD101" s="147" t="s">
        <v>684</v>
      </c>
      <c r="AE101" s="149" t="s">
        <v>684</v>
      </c>
      <c r="AF101" s="147">
        <v>0</v>
      </c>
      <c r="AG101" s="147">
        <v>0</v>
      </c>
      <c r="AH101" s="147">
        <v>1</v>
      </c>
      <c r="AI101" s="147" t="s">
        <v>684</v>
      </c>
      <c r="AJ101" s="150" t="s">
        <v>214</v>
      </c>
      <c r="AK101" s="149" t="s">
        <v>684</v>
      </c>
      <c r="AL101" s="149"/>
      <c r="AM101" s="151"/>
      <c r="AN101" s="151" t="s">
        <v>936</v>
      </c>
      <c r="AO101" s="151"/>
      <c r="AP101" s="151"/>
      <c r="AQ101" s="151"/>
      <c r="AR101" s="151"/>
      <c r="AS101" s="152" t="s">
        <v>2000</v>
      </c>
      <c r="AT101" s="151"/>
      <c r="AU101" s="151"/>
      <c r="AV101" s="151"/>
      <c r="AW101" s="153"/>
      <c r="AX101" s="154"/>
      <c r="AY101" s="155"/>
      <c r="AZ101" s="155"/>
      <c r="BA101" s="155"/>
      <c r="BB101" s="155"/>
      <c r="BC101" s="155"/>
      <c r="BD101" s="155"/>
      <c r="BE101" s="155"/>
    </row>
    <row r="102" spans="1:57" s="156" customFormat="1" ht="30">
      <c r="A102" s="146" t="s">
        <v>6</v>
      </c>
      <c r="B102" s="129">
        <v>100</v>
      </c>
      <c r="C102" s="149" t="s">
        <v>937</v>
      </c>
      <c r="D102" s="147" t="s">
        <v>3114</v>
      </c>
      <c r="E102" s="148" t="s">
        <v>2004</v>
      </c>
      <c r="F102" s="147" t="s">
        <v>215</v>
      </c>
      <c r="G102" s="149" t="s">
        <v>684</v>
      </c>
      <c r="H102" s="147" t="s">
        <v>213</v>
      </c>
      <c r="I102" s="149" t="s">
        <v>940</v>
      </c>
      <c r="J102" s="147" t="s">
        <v>935</v>
      </c>
      <c r="K102" s="147" t="s">
        <v>935</v>
      </c>
      <c r="L102" s="147" t="s">
        <v>725</v>
      </c>
      <c r="M102" s="147" t="s">
        <v>725</v>
      </c>
      <c r="N102" s="147">
        <v>10</v>
      </c>
      <c r="O102" s="147">
        <v>10</v>
      </c>
      <c r="P102" s="147" t="s">
        <v>725</v>
      </c>
      <c r="Q102" s="147">
        <v>8</v>
      </c>
      <c r="R102" s="147">
        <v>61</v>
      </c>
      <c r="S102" s="147">
        <v>61</v>
      </c>
      <c r="T102" s="147">
        <v>1</v>
      </c>
      <c r="U102" s="149" t="s">
        <v>726</v>
      </c>
      <c r="V102" s="149" t="s">
        <v>727</v>
      </c>
      <c r="W102" s="147">
        <v>500</v>
      </c>
      <c r="X102" s="149" t="s">
        <v>684</v>
      </c>
      <c r="Y102" s="147" t="s">
        <v>728</v>
      </c>
      <c r="Z102" s="147" t="s">
        <v>194</v>
      </c>
      <c r="AA102" s="147">
        <v>1</v>
      </c>
      <c r="AB102" s="147" t="s">
        <v>684</v>
      </c>
      <c r="AC102" s="149" t="s">
        <v>684</v>
      </c>
      <c r="AD102" s="147" t="s">
        <v>684</v>
      </c>
      <c r="AE102" s="149" t="s">
        <v>684</v>
      </c>
      <c r="AF102" s="147">
        <v>0</v>
      </c>
      <c r="AG102" s="147">
        <v>0</v>
      </c>
      <c r="AH102" s="147">
        <v>1</v>
      </c>
      <c r="AI102" s="147" t="s">
        <v>684</v>
      </c>
      <c r="AJ102" s="150" t="s">
        <v>963</v>
      </c>
      <c r="AK102" s="149" t="s">
        <v>684</v>
      </c>
      <c r="AL102" s="149"/>
      <c r="AM102" s="151"/>
      <c r="AN102" s="151" t="s">
        <v>936</v>
      </c>
      <c r="AO102" s="151"/>
      <c r="AP102" s="151"/>
      <c r="AQ102" s="151"/>
      <c r="AR102" s="151"/>
      <c r="AS102" s="152" t="s">
        <v>2000</v>
      </c>
      <c r="AT102" s="151"/>
      <c r="AU102" s="151"/>
      <c r="AV102" s="151"/>
      <c r="AW102" s="153"/>
      <c r="AX102" s="154"/>
      <c r="AY102" s="155"/>
      <c r="AZ102" s="155"/>
      <c r="BA102" s="155"/>
      <c r="BB102" s="155"/>
      <c r="BC102" s="155"/>
      <c r="BD102" s="155"/>
      <c r="BE102" s="155"/>
    </row>
    <row r="103" spans="1:57" s="156" customFormat="1" ht="30">
      <c r="A103" s="146" t="s">
        <v>6</v>
      </c>
      <c r="B103" s="129">
        <v>101</v>
      </c>
      <c r="C103" s="149" t="s">
        <v>937</v>
      </c>
      <c r="D103" s="147" t="s">
        <v>3117</v>
      </c>
      <c r="E103" s="148" t="s">
        <v>2005</v>
      </c>
      <c r="F103" s="147" t="s">
        <v>964</v>
      </c>
      <c r="G103" s="149" t="s">
        <v>684</v>
      </c>
      <c r="H103" s="147" t="s">
        <v>213</v>
      </c>
      <c r="I103" s="149" t="s">
        <v>940</v>
      </c>
      <c r="J103" s="147" t="s">
        <v>935</v>
      </c>
      <c r="K103" s="147" t="s">
        <v>935</v>
      </c>
      <c r="L103" s="147" t="s">
        <v>725</v>
      </c>
      <c r="M103" s="147" t="s">
        <v>725</v>
      </c>
      <c r="N103" s="147">
        <v>10</v>
      </c>
      <c r="O103" s="147">
        <v>10</v>
      </c>
      <c r="P103" s="147" t="s">
        <v>725</v>
      </c>
      <c r="Q103" s="147">
        <v>8</v>
      </c>
      <c r="R103" s="147">
        <v>60</v>
      </c>
      <c r="S103" s="147">
        <v>60</v>
      </c>
      <c r="T103" s="147">
        <v>1</v>
      </c>
      <c r="U103" s="149" t="s">
        <v>726</v>
      </c>
      <c r="V103" s="149" t="s">
        <v>727</v>
      </c>
      <c r="W103" s="147" t="s">
        <v>725</v>
      </c>
      <c r="X103" s="147">
        <v>500</v>
      </c>
      <c r="Y103" s="147" t="s">
        <v>728</v>
      </c>
      <c r="Z103" s="147" t="s">
        <v>194</v>
      </c>
      <c r="AA103" s="147">
        <v>1</v>
      </c>
      <c r="AB103" s="147" t="s">
        <v>725</v>
      </c>
      <c r="AC103" s="147" t="s">
        <v>725</v>
      </c>
      <c r="AD103" s="147" t="s">
        <v>725</v>
      </c>
      <c r="AE103" s="147" t="s">
        <v>725</v>
      </c>
      <c r="AF103" s="147">
        <v>0</v>
      </c>
      <c r="AG103" s="147">
        <v>0</v>
      </c>
      <c r="AH103" s="147">
        <v>1</v>
      </c>
      <c r="AI103" s="147" t="s">
        <v>725</v>
      </c>
      <c r="AJ103" s="150" t="s">
        <v>965</v>
      </c>
      <c r="AK103" s="149" t="s">
        <v>684</v>
      </c>
      <c r="AL103" s="149"/>
      <c r="AM103" s="151"/>
      <c r="AN103" s="151" t="s">
        <v>685</v>
      </c>
      <c r="AO103" s="151"/>
      <c r="AP103" s="151"/>
      <c r="AQ103" s="151"/>
      <c r="AR103" s="151"/>
      <c r="AS103" s="152" t="s">
        <v>2000</v>
      </c>
      <c r="AT103" s="151"/>
      <c r="AU103" s="151"/>
      <c r="AV103" s="151"/>
      <c r="AW103" s="153"/>
      <c r="AX103" s="154"/>
      <c r="AY103" s="155"/>
      <c r="AZ103" s="155"/>
      <c r="BA103" s="155"/>
      <c r="BB103" s="155"/>
      <c r="BC103" s="155"/>
      <c r="BD103" s="155"/>
      <c r="BE103" s="155"/>
    </row>
    <row r="104" spans="1:57" s="156" customFormat="1" ht="25">
      <c r="A104" s="146" t="s">
        <v>6</v>
      </c>
      <c r="B104" s="129">
        <v>102</v>
      </c>
      <c r="C104" s="149" t="s">
        <v>937</v>
      </c>
      <c r="D104" s="147" t="s">
        <v>3112</v>
      </c>
      <c r="E104" s="151" t="s">
        <v>966</v>
      </c>
      <c r="F104" s="148" t="s">
        <v>967</v>
      </c>
      <c r="G104" s="149" t="s">
        <v>684</v>
      </c>
      <c r="H104" s="147" t="s">
        <v>213</v>
      </c>
      <c r="I104" s="149" t="s">
        <v>940</v>
      </c>
      <c r="J104" s="147" t="s">
        <v>935</v>
      </c>
      <c r="K104" s="147" t="s">
        <v>935</v>
      </c>
      <c r="L104" s="147" t="s">
        <v>725</v>
      </c>
      <c r="M104" s="147" t="s">
        <v>725</v>
      </c>
      <c r="N104" s="147">
        <v>10</v>
      </c>
      <c r="O104" s="147">
        <v>10</v>
      </c>
      <c r="P104" s="147" t="s">
        <v>725</v>
      </c>
      <c r="Q104" s="147">
        <v>8</v>
      </c>
      <c r="R104" s="149">
        <v>59</v>
      </c>
      <c r="S104" s="149">
        <v>56</v>
      </c>
      <c r="T104" s="149">
        <v>4</v>
      </c>
      <c r="U104" s="149" t="s">
        <v>726</v>
      </c>
      <c r="V104" s="149" t="s">
        <v>727</v>
      </c>
      <c r="W104" s="149" t="s">
        <v>684</v>
      </c>
      <c r="X104" s="149" t="s">
        <v>684</v>
      </c>
      <c r="Y104" s="147" t="s">
        <v>728</v>
      </c>
      <c r="Z104" s="147" t="s">
        <v>194</v>
      </c>
      <c r="AA104" s="147">
        <v>1</v>
      </c>
      <c r="AB104" s="149" t="s">
        <v>684</v>
      </c>
      <c r="AC104" s="149" t="s">
        <v>684</v>
      </c>
      <c r="AD104" s="149" t="s">
        <v>684</v>
      </c>
      <c r="AE104" s="149" t="s">
        <v>684</v>
      </c>
      <c r="AF104" s="147">
        <v>0</v>
      </c>
      <c r="AG104" s="147">
        <v>0</v>
      </c>
      <c r="AH104" s="147">
        <v>15</v>
      </c>
      <c r="AI104" s="147" t="s">
        <v>684</v>
      </c>
      <c r="AJ104" s="150" t="s">
        <v>2123</v>
      </c>
      <c r="AK104" s="149" t="s">
        <v>684</v>
      </c>
      <c r="AL104" s="149"/>
      <c r="AM104" s="151"/>
      <c r="AN104" s="151" t="s">
        <v>936</v>
      </c>
      <c r="AO104" s="151"/>
      <c r="AP104" s="151"/>
      <c r="AQ104" s="151"/>
      <c r="AR104" s="151"/>
      <c r="AS104" s="152" t="s">
        <v>2000</v>
      </c>
      <c r="AT104" s="151"/>
      <c r="AU104" s="151"/>
      <c r="AV104" s="151"/>
      <c r="AW104" s="153"/>
      <c r="AX104" s="154"/>
      <c r="AY104" s="155"/>
      <c r="AZ104" s="155"/>
      <c r="BA104" s="155"/>
      <c r="BB104" s="155"/>
      <c r="BC104" s="155"/>
      <c r="BD104" s="155"/>
      <c r="BE104" s="155"/>
    </row>
    <row r="105" spans="1:57" s="156" customFormat="1" ht="44">
      <c r="A105" s="146" t="s">
        <v>6</v>
      </c>
      <c r="B105" s="129">
        <v>103</v>
      </c>
      <c r="C105" s="149" t="s">
        <v>937</v>
      </c>
      <c r="D105" s="147" t="s">
        <v>3112</v>
      </c>
      <c r="E105" s="157" t="s">
        <v>2105</v>
      </c>
      <c r="F105" s="149" t="s">
        <v>968</v>
      </c>
      <c r="G105" s="149" t="s">
        <v>684</v>
      </c>
      <c r="H105" s="147" t="s">
        <v>320</v>
      </c>
      <c r="I105" s="147" t="s">
        <v>969</v>
      </c>
      <c r="J105" s="147" t="s">
        <v>935</v>
      </c>
      <c r="K105" s="147" t="s">
        <v>935</v>
      </c>
      <c r="L105" s="147" t="s">
        <v>725</v>
      </c>
      <c r="M105" s="147" t="s">
        <v>725</v>
      </c>
      <c r="N105" s="147">
        <v>10</v>
      </c>
      <c r="O105" s="147">
        <v>10</v>
      </c>
      <c r="P105" s="147" t="s">
        <v>725</v>
      </c>
      <c r="Q105" s="147">
        <v>8</v>
      </c>
      <c r="R105" s="147">
        <v>7</v>
      </c>
      <c r="S105" s="147">
        <v>0</v>
      </c>
      <c r="T105" s="147">
        <v>8</v>
      </c>
      <c r="U105" s="149" t="s">
        <v>726</v>
      </c>
      <c r="V105" s="149" t="s">
        <v>727</v>
      </c>
      <c r="W105" s="147">
        <v>500</v>
      </c>
      <c r="X105" s="149" t="s">
        <v>684</v>
      </c>
      <c r="Y105" s="149" t="s">
        <v>874</v>
      </c>
      <c r="Z105" s="147" t="s">
        <v>194</v>
      </c>
      <c r="AA105" s="149">
        <v>1</v>
      </c>
      <c r="AB105" s="149" t="s">
        <v>684</v>
      </c>
      <c r="AC105" s="149" t="s">
        <v>684</v>
      </c>
      <c r="AD105" s="149" t="s">
        <v>684</v>
      </c>
      <c r="AE105" s="149" t="s">
        <v>684</v>
      </c>
      <c r="AF105" s="149">
        <v>0</v>
      </c>
      <c r="AG105" s="149">
        <v>0</v>
      </c>
      <c r="AH105" s="149">
        <v>255</v>
      </c>
      <c r="AI105" s="149" t="s">
        <v>875</v>
      </c>
      <c r="AJ105" s="150" t="s">
        <v>2121</v>
      </c>
      <c r="AK105" s="149" t="s">
        <v>684</v>
      </c>
      <c r="AL105" s="149" t="s">
        <v>684</v>
      </c>
      <c r="AM105" s="151"/>
      <c r="AN105" s="151" t="s">
        <v>936</v>
      </c>
      <c r="AO105" s="151"/>
      <c r="AP105" s="151"/>
      <c r="AQ105" s="151"/>
      <c r="AR105" s="151"/>
      <c r="AS105" s="152" t="s">
        <v>2104</v>
      </c>
      <c r="AT105" s="151"/>
      <c r="AU105" s="151"/>
      <c r="AV105" s="151"/>
      <c r="AW105" s="153"/>
      <c r="AX105" s="154"/>
      <c r="AY105" s="155"/>
      <c r="AZ105" s="155"/>
      <c r="BA105" s="155"/>
      <c r="BB105" s="155"/>
      <c r="BC105" s="155"/>
      <c r="BD105" s="155"/>
      <c r="BE105" s="155"/>
    </row>
    <row r="106" spans="1:57" s="156" customFormat="1" ht="30">
      <c r="A106" s="146" t="s">
        <v>6</v>
      </c>
      <c r="B106" s="129">
        <v>104</v>
      </c>
      <c r="C106" s="149" t="s">
        <v>937</v>
      </c>
      <c r="D106" s="147" t="s">
        <v>3114</v>
      </c>
      <c r="E106" s="148" t="s">
        <v>2650</v>
      </c>
      <c r="F106" s="149" t="s">
        <v>2659</v>
      </c>
      <c r="G106" s="149" t="s">
        <v>703</v>
      </c>
      <c r="H106" s="147" t="s">
        <v>320</v>
      </c>
      <c r="I106" s="147" t="s">
        <v>970</v>
      </c>
      <c r="J106" s="147" t="s">
        <v>971</v>
      </c>
      <c r="K106" s="147" t="s">
        <v>971</v>
      </c>
      <c r="L106" s="147" t="s">
        <v>712</v>
      </c>
      <c r="M106" s="147" t="s">
        <v>712</v>
      </c>
      <c r="N106" s="147">
        <v>10</v>
      </c>
      <c r="O106" s="147">
        <v>10</v>
      </c>
      <c r="P106" s="147" t="s">
        <v>712</v>
      </c>
      <c r="Q106" s="147">
        <v>8</v>
      </c>
      <c r="R106" s="147">
        <v>15</v>
      </c>
      <c r="S106" s="147">
        <v>19</v>
      </c>
      <c r="T106" s="147">
        <v>13</v>
      </c>
      <c r="U106" s="149" t="s">
        <v>713</v>
      </c>
      <c r="V106" s="149" t="s">
        <v>714</v>
      </c>
      <c r="W106" s="147">
        <v>500</v>
      </c>
      <c r="X106" s="149" t="s">
        <v>703</v>
      </c>
      <c r="Y106" s="149" t="s">
        <v>972</v>
      </c>
      <c r="Z106" s="147" t="s">
        <v>194</v>
      </c>
      <c r="AA106" s="147">
        <v>0.1</v>
      </c>
      <c r="AB106" s="147" t="s">
        <v>703</v>
      </c>
      <c r="AC106" s="149" t="s">
        <v>703</v>
      </c>
      <c r="AD106" s="147" t="s">
        <v>2653</v>
      </c>
      <c r="AE106" s="149" t="s">
        <v>703</v>
      </c>
      <c r="AF106" s="147">
        <v>0</v>
      </c>
      <c r="AG106" s="147">
        <v>0</v>
      </c>
      <c r="AH106" s="147">
        <v>200</v>
      </c>
      <c r="AI106" s="147" t="s">
        <v>2652</v>
      </c>
      <c r="AJ106" s="150" t="s">
        <v>2651</v>
      </c>
      <c r="AK106" s="149" t="s">
        <v>703</v>
      </c>
      <c r="AL106" s="149" t="s">
        <v>703</v>
      </c>
      <c r="AM106" s="151"/>
      <c r="AN106" s="151" t="s">
        <v>716</v>
      </c>
      <c r="AO106" s="151"/>
      <c r="AP106" s="151"/>
      <c r="AQ106" s="151"/>
      <c r="AR106" s="151"/>
      <c r="AS106" s="152" t="s">
        <v>2104</v>
      </c>
      <c r="AT106" s="151"/>
      <c r="AU106" s="151"/>
      <c r="AV106" s="151"/>
      <c r="AW106" s="153"/>
      <c r="AX106" s="154"/>
      <c r="AY106" s="155"/>
      <c r="AZ106" s="155"/>
      <c r="BA106" s="155"/>
      <c r="BB106" s="155"/>
      <c r="BC106" s="155"/>
      <c r="BD106" s="155"/>
      <c r="BE106" s="155"/>
    </row>
    <row r="107" spans="1:57" s="156" customFormat="1" ht="30">
      <c r="A107" s="146" t="s">
        <v>6</v>
      </c>
      <c r="B107" s="129">
        <v>105</v>
      </c>
      <c r="C107" s="149" t="s">
        <v>975</v>
      </c>
      <c r="D107" s="147" t="s">
        <v>3114</v>
      </c>
      <c r="E107" s="148" t="s">
        <v>2649</v>
      </c>
      <c r="F107" s="149" t="s">
        <v>2660</v>
      </c>
      <c r="G107" s="149" t="s">
        <v>703</v>
      </c>
      <c r="H107" s="147" t="s">
        <v>320</v>
      </c>
      <c r="I107" s="147" t="s">
        <v>970</v>
      </c>
      <c r="J107" s="147" t="s">
        <v>971</v>
      </c>
      <c r="K107" s="147" t="s">
        <v>971</v>
      </c>
      <c r="L107" s="326" t="s">
        <v>712</v>
      </c>
      <c r="M107" s="326" t="s">
        <v>712</v>
      </c>
      <c r="N107" s="147">
        <v>10</v>
      </c>
      <c r="O107" s="147">
        <v>10</v>
      </c>
      <c r="P107" s="326" t="s">
        <v>712</v>
      </c>
      <c r="Q107" s="147">
        <v>8</v>
      </c>
      <c r="R107" s="147">
        <v>18</v>
      </c>
      <c r="S107" s="147">
        <v>38</v>
      </c>
      <c r="T107" s="147">
        <v>13</v>
      </c>
      <c r="U107" s="149" t="s">
        <v>713</v>
      </c>
      <c r="V107" s="149" t="s">
        <v>714</v>
      </c>
      <c r="W107" s="326">
        <v>500</v>
      </c>
      <c r="X107" s="327" t="s">
        <v>703</v>
      </c>
      <c r="Y107" s="149" t="s">
        <v>972</v>
      </c>
      <c r="Z107" s="147" t="s">
        <v>194</v>
      </c>
      <c r="AA107" s="147">
        <v>0.1</v>
      </c>
      <c r="AB107" s="326" t="s">
        <v>703</v>
      </c>
      <c r="AC107" s="327" t="s">
        <v>703</v>
      </c>
      <c r="AD107" s="147" t="s">
        <v>2653</v>
      </c>
      <c r="AE107" s="327" t="s">
        <v>703</v>
      </c>
      <c r="AF107" s="147">
        <v>0</v>
      </c>
      <c r="AG107" s="147">
        <v>0</v>
      </c>
      <c r="AH107" s="147">
        <v>200</v>
      </c>
      <c r="AI107" s="147" t="s">
        <v>2652</v>
      </c>
      <c r="AJ107" s="150" t="s">
        <v>2654</v>
      </c>
      <c r="AK107" s="327" t="s">
        <v>684</v>
      </c>
      <c r="AL107" s="327" t="s">
        <v>684</v>
      </c>
      <c r="AM107" s="151"/>
      <c r="AN107" s="151" t="s">
        <v>936</v>
      </c>
      <c r="AO107" s="151"/>
      <c r="AP107" s="151"/>
      <c r="AQ107" s="151"/>
      <c r="AR107" s="151"/>
      <c r="AS107" s="152" t="s">
        <v>2104</v>
      </c>
      <c r="AT107" s="151"/>
      <c r="AU107" s="151"/>
      <c r="AV107" s="151"/>
      <c r="AW107" s="153"/>
      <c r="AX107" s="154"/>
      <c r="AY107" s="155"/>
      <c r="AZ107" s="155"/>
      <c r="BA107" s="155"/>
      <c r="BB107" s="155"/>
      <c r="BC107" s="155"/>
      <c r="BD107" s="155"/>
      <c r="BE107" s="155"/>
    </row>
    <row r="108" spans="1:57" s="156" customFormat="1" ht="30">
      <c r="A108" s="146" t="s">
        <v>6</v>
      </c>
      <c r="B108" s="129">
        <v>106</v>
      </c>
      <c r="C108" s="149" t="s">
        <v>937</v>
      </c>
      <c r="D108" s="147" t="s">
        <v>3114</v>
      </c>
      <c r="E108" s="148" t="s">
        <v>2656</v>
      </c>
      <c r="F108" s="149" t="s">
        <v>2661</v>
      </c>
      <c r="G108" s="149" t="s">
        <v>684</v>
      </c>
      <c r="H108" s="147" t="s">
        <v>320</v>
      </c>
      <c r="I108" s="147" t="s">
        <v>969</v>
      </c>
      <c r="J108" s="147" t="s">
        <v>935</v>
      </c>
      <c r="K108" s="147" t="s">
        <v>935</v>
      </c>
      <c r="L108" s="147" t="s">
        <v>725</v>
      </c>
      <c r="M108" s="147" t="s">
        <v>725</v>
      </c>
      <c r="N108" s="147">
        <v>10</v>
      </c>
      <c r="O108" s="147">
        <v>10</v>
      </c>
      <c r="P108" s="147" t="s">
        <v>725</v>
      </c>
      <c r="Q108" s="147">
        <v>8</v>
      </c>
      <c r="R108" s="147">
        <v>37</v>
      </c>
      <c r="S108" s="147">
        <v>41</v>
      </c>
      <c r="T108" s="147">
        <v>13</v>
      </c>
      <c r="U108" s="149" t="s">
        <v>726</v>
      </c>
      <c r="V108" s="149" t="s">
        <v>727</v>
      </c>
      <c r="W108" s="147">
        <v>500</v>
      </c>
      <c r="X108" s="149" t="s">
        <v>684</v>
      </c>
      <c r="Y108" s="149" t="s">
        <v>941</v>
      </c>
      <c r="Z108" s="147" t="s">
        <v>194</v>
      </c>
      <c r="AA108" s="147">
        <v>0.1</v>
      </c>
      <c r="AB108" s="147" t="s">
        <v>684</v>
      </c>
      <c r="AC108" s="149" t="s">
        <v>684</v>
      </c>
      <c r="AD108" s="147" t="s">
        <v>2653</v>
      </c>
      <c r="AE108" s="149" t="s">
        <v>684</v>
      </c>
      <c r="AF108" s="147">
        <v>0</v>
      </c>
      <c r="AG108" s="147">
        <v>0</v>
      </c>
      <c r="AH108" s="147">
        <v>200</v>
      </c>
      <c r="AI108" s="147" t="s">
        <v>2652</v>
      </c>
      <c r="AJ108" s="150" t="s">
        <v>2654</v>
      </c>
      <c r="AK108" s="149" t="s">
        <v>684</v>
      </c>
      <c r="AL108" s="149" t="s">
        <v>684</v>
      </c>
      <c r="AM108" s="151"/>
      <c r="AN108" s="151" t="s">
        <v>936</v>
      </c>
      <c r="AO108" s="151"/>
      <c r="AP108" s="151"/>
      <c r="AQ108" s="151"/>
      <c r="AR108" s="151"/>
      <c r="AS108" s="152" t="s">
        <v>2104</v>
      </c>
      <c r="AT108" s="151"/>
      <c r="AU108" s="151"/>
      <c r="AV108" s="151"/>
      <c r="AW108" s="153"/>
      <c r="AX108" s="154"/>
      <c r="AY108" s="155"/>
      <c r="AZ108" s="155"/>
      <c r="BA108" s="155"/>
      <c r="BB108" s="155"/>
      <c r="BC108" s="155"/>
      <c r="BD108" s="155"/>
      <c r="BE108" s="155"/>
    </row>
    <row r="109" spans="1:57" s="156" customFormat="1" ht="30">
      <c r="A109" s="146" t="s">
        <v>6</v>
      </c>
      <c r="B109" s="129">
        <v>107</v>
      </c>
      <c r="C109" s="149" t="s">
        <v>937</v>
      </c>
      <c r="D109" s="147" t="s">
        <v>3114</v>
      </c>
      <c r="E109" s="147" t="s">
        <v>2657</v>
      </c>
      <c r="F109" s="149" t="s">
        <v>2662</v>
      </c>
      <c r="G109" s="149" t="s">
        <v>684</v>
      </c>
      <c r="H109" s="147" t="s">
        <v>320</v>
      </c>
      <c r="I109" s="147" t="s">
        <v>969</v>
      </c>
      <c r="J109" s="147" t="s">
        <v>935</v>
      </c>
      <c r="K109" s="147" t="s">
        <v>935</v>
      </c>
      <c r="L109" s="326" t="s">
        <v>725</v>
      </c>
      <c r="M109" s="326" t="s">
        <v>725</v>
      </c>
      <c r="N109" s="147">
        <v>10</v>
      </c>
      <c r="O109" s="147">
        <v>10</v>
      </c>
      <c r="P109" s="326" t="s">
        <v>725</v>
      </c>
      <c r="Q109" s="147">
        <v>8</v>
      </c>
      <c r="R109" s="147">
        <v>40</v>
      </c>
      <c r="S109" s="147">
        <v>60</v>
      </c>
      <c r="T109" s="147">
        <v>13</v>
      </c>
      <c r="U109" s="149" t="s">
        <v>726</v>
      </c>
      <c r="V109" s="149" t="s">
        <v>727</v>
      </c>
      <c r="W109" s="326">
        <v>500</v>
      </c>
      <c r="X109" s="327" t="s">
        <v>684</v>
      </c>
      <c r="Y109" s="149" t="s">
        <v>941</v>
      </c>
      <c r="Z109" s="147" t="s">
        <v>194</v>
      </c>
      <c r="AA109" s="147">
        <v>0.1</v>
      </c>
      <c r="AB109" s="326" t="s">
        <v>684</v>
      </c>
      <c r="AC109" s="327" t="s">
        <v>684</v>
      </c>
      <c r="AD109" s="147" t="s">
        <v>2653</v>
      </c>
      <c r="AE109" s="327" t="s">
        <v>2655</v>
      </c>
      <c r="AF109" s="147">
        <v>0</v>
      </c>
      <c r="AG109" s="147">
        <v>0</v>
      </c>
      <c r="AH109" s="147">
        <v>200</v>
      </c>
      <c r="AI109" s="147" t="s">
        <v>2652</v>
      </c>
      <c r="AJ109" s="150" t="s">
        <v>2654</v>
      </c>
      <c r="AK109" s="327" t="s">
        <v>684</v>
      </c>
      <c r="AL109" s="327" t="s">
        <v>684</v>
      </c>
      <c r="AM109" s="151"/>
      <c r="AN109" s="151" t="s">
        <v>936</v>
      </c>
      <c r="AO109" s="151"/>
      <c r="AP109" s="151"/>
      <c r="AQ109" s="151"/>
      <c r="AR109" s="151"/>
      <c r="AS109" s="152" t="s">
        <v>2104</v>
      </c>
      <c r="AT109" s="151"/>
      <c r="AU109" s="151"/>
      <c r="AV109" s="151"/>
      <c r="AW109" s="153"/>
      <c r="AX109" s="154"/>
      <c r="AY109" s="155"/>
      <c r="AZ109" s="155"/>
      <c r="BA109" s="155"/>
      <c r="BB109" s="155"/>
      <c r="BC109" s="155"/>
      <c r="BD109" s="155"/>
      <c r="BE109" s="155"/>
    </row>
    <row r="110" spans="1:57" s="156" customFormat="1" ht="25">
      <c r="A110" s="146" t="s">
        <v>6</v>
      </c>
      <c r="B110" s="129">
        <v>108</v>
      </c>
      <c r="C110" s="149" t="s">
        <v>937</v>
      </c>
      <c r="D110" s="147" t="s">
        <v>3112</v>
      </c>
      <c r="E110" s="148" t="s">
        <v>2106</v>
      </c>
      <c r="F110" s="147" t="s">
        <v>978</v>
      </c>
      <c r="G110" s="149" t="s">
        <v>684</v>
      </c>
      <c r="H110" s="147" t="s">
        <v>320</v>
      </c>
      <c r="I110" s="147" t="s">
        <v>969</v>
      </c>
      <c r="J110" s="147" t="s">
        <v>935</v>
      </c>
      <c r="K110" s="147" t="s">
        <v>935</v>
      </c>
      <c r="L110" s="147" t="s">
        <v>725</v>
      </c>
      <c r="M110" s="147" t="s">
        <v>725</v>
      </c>
      <c r="N110" s="147">
        <v>10</v>
      </c>
      <c r="O110" s="147">
        <v>10</v>
      </c>
      <c r="P110" s="147" t="s">
        <v>725</v>
      </c>
      <c r="Q110" s="147">
        <v>8</v>
      </c>
      <c r="R110" s="147">
        <v>59</v>
      </c>
      <c r="S110" s="147">
        <v>56</v>
      </c>
      <c r="T110" s="147">
        <v>4</v>
      </c>
      <c r="U110" s="149" t="s">
        <v>726</v>
      </c>
      <c r="V110" s="149" t="s">
        <v>727</v>
      </c>
      <c r="W110" s="147">
        <v>500</v>
      </c>
      <c r="X110" s="149" t="s">
        <v>684</v>
      </c>
      <c r="Y110" s="147" t="s">
        <v>728</v>
      </c>
      <c r="Z110" s="147" t="s">
        <v>194</v>
      </c>
      <c r="AA110" s="147">
        <v>1</v>
      </c>
      <c r="AB110" s="149" t="s">
        <v>684</v>
      </c>
      <c r="AC110" s="149" t="s">
        <v>684</v>
      </c>
      <c r="AD110" s="149" t="s">
        <v>684</v>
      </c>
      <c r="AE110" s="149" t="s">
        <v>684</v>
      </c>
      <c r="AF110" s="147">
        <v>0</v>
      </c>
      <c r="AG110" s="147">
        <v>0</v>
      </c>
      <c r="AH110" s="147">
        <v>15</v>
      </c>
      <c r="AI110" s="147" t="s">
        <v>684</v>
      </c>
      <c r="AJ110" s="150" t="s">
        <v>2123</v>
      </c>
      <c r="AK110" s="149" t="s">
        <v>684</v>
      </c>
      <c r="AL110" s="149" t="s">
        <v>684</v>
      </c>
      <c r="AM110" s="151"/>
      <c r="AN110" s="151" t="s">
        <v>936</v>
      </c>
      <c r="AO110" s="151"/>
      <c r="AP110" s="151"/>
      <c r="AQ110" s="151"/>
      <c r="AR110" s="151"/>
      <c r="AS110" s="152" t="s">
        <v>2104</v>
      </c>
      <c r="AT110" s="151"/>
      <c r="AU110" s="151"/>
      <c r="AV110" s="151"/>
      <c r="AW110" s="153"/>
      <c r="AX110" s="154"/>
      <c r="AY110" s="155"/>
      <c r="AZ110" s="155"/>
      <c r="BA110" s="155"/>
      <c r="BB110" s="155"/>
      <c r="BC110" s="155"/>
      <c r="BD110" s="155"/>
      <c r="BE110" s="155"/>
    </row>
    <row r="111" spans="1:57" s="156" customFormat="1" ht="44">
      <c r="A111" s="146" t="s">
        <v>6</v>
      </c>
      <c r="B111" s="129">
        <v>109</v>
      </c>
      <c r="C111" s="147" t="s">
        <v>979</v>
      </c>
      <c r="D111" s="147" t="s">
        <v>3118</v>
      </c>
      <c r="E111" s="149" t="s">
        <v>980</v>
      </c>
      <c r="F111" s="149" t="s">
        <v>968</v>
      </c>
      <c r="G111" s="149" t="s">
        <v>684</v>
      </c>
      <c r="H111" s="147" t="s">
        <v>981</v>
      </c>
      <c r="I111" s="147" t="s">
        <v>982</v>
      </c>
      <c r="J111" s="149" t="s">
        <v>935</v>
      </c>
      <c r="K111" s="149" t="s">
        <v>935</v>
      </c>
      <c r="L111" s="147" t="s">
        <v>725</v>
      </c>
      <c r="M111" s="147" t="s">
        <v>725</v>
      </c>
      <c r="N111" s="149">
        <v>100</v>
      </c>
      <c r="O111" s="147">
        <v>100</v>
      </c>
      <c r="P111" s="147" t="s">
        <v>725</v>
      </c>
      <c r="Q111" s="147">
        <v>8</v>
      </c>
      <c r="R111" s="147">
        <v>7</v>
      </c>
      <c r="S111" s="147">
        <v>0</v>
      </c>
      <c r="T111" s="147">
        <v>8</v>
      </c>
      <c r="U111" s="149" t="s">
        <v>726</v>
      </c>
      <c r="V111" s="149" t="s">
        <v>727</v>
      </c>
      <c r="W111" s="149" t="s">
        <v>684</v>
      </c>
      <c r="X111" s="149" t="s">
        <v>684</v>
      </c>
      <c r="Y111" s="149" t="s">
        <v>874</v>
      </c>
      <c r="Z111" s="147" t="s">
        <v>194</v>
      </c>
      <c r="AA111" s="149">
        <v>1</v>
      </c>
      <c r="AB111" s="149" t="s">
        <v>684</v>
      </c>
      <c r="AC111" s="149" t="s">
        <v>684</v>
      </c>
      <c r="AD111" s="149" t="s">
        <v>684</v>
      </c>
      <c r="AE111" s="149" t="s">
        <v>684</v>
      </c>
      <c r="AF111" s="149">
        <v>0</v>
      </c>
      <c r="AG111" s="149">
        <v>0</v>
      </c>
      <c r="AH111" s="149">
        <v>255</v>
      </c>
      <c r="AI111" s="149" t="s">
        <v>875</v>
      </c>
      <c r="AJ111" s="150" t="s">
        <v>2121</v>
      </c>
      <c r="AK111" s="149" t="s">
        <v>684</v>
      </c>
      <c r="AL111" s="149" t="s">
        <v>684</v>
      </c>
      <c r="AM111" s="151"/>
      <c r="AN111" s="151" t="s">
        <v>936</v>
      </c>
      <c r="AO111" s="151"/>
      <c r="AP111" s="151"/>
      <c r="AQ111" s="151"/>
      <c r="AR111" s="151"/>
      <c r="AS111" s="151"/>
      <c r="AT111" s="151"/>
      <c r="AU111" s="151"/>
      <c r="AV111" s="151"/>
      <c r="AW111" s="153"/>
      <c r="AX111" s="154"/>
      <c r="AY111" s="155"/>
      <c r="AZ111" s="155"/>
      <c r="BA111" s="155"/>
      <c r="BB111" s="155"/>
      <c r="BC111" s="155"/>
      <c r="BD111" s="155"/>
      <c r="BE111" s="155"/>
    </row>
    <row r="112" spans="1:57" s="459" customFormat="1" ht="30">
      <c r="A112" s="451" t="s">
        <v>6</v>
      </c>
      <c r="B112" s="452">
        <v>110</v>
      </c>
      <c r="C112" s="450" t="s">
        <v>937</v>
      </c>
      <c r="D112" s="452" t="s">
        <v>3119</v>
      </c>
      <c r="E112" s="452" t="s">
        <v>983</v>
      </c>
      <c r="F112" s="452" t="s">
        <v>984</v>
      </c>
      <c r="G112" s="450" t="s">
        <v>684</v>
      </c>
      <c r="H112" s="452" t="s">
        <v>981</v>
      </c>
      <c r="I112" s="452" t="s">
        <v>982</v>
      </c>
      <c r="J112" s="452" t="s">
        <v>935</v>
      </c>
      <c r="K112" s="452" t="s">
        <v>935</v>
      </c>
      <c r="L112" s="452" t="s">
        <v>725</v>
      </c>
      <c r="M112" s="452" t="s">
        <v>725</v>
      </c>
      <c r="N112" s="452">
        <v>100</v>
      </c>
      <c r="O112" s="452">
        <v>100</v>
      </c>
      <c r="P112" s="452" t="s">
        <v>725</v>
      </c>
      <c r="Q112" s="452">
        <v>8</v>
      </c>
      <c r="R112" s="452">
        <v>15</v>
      </c>
      <c r="S112" s="452">
        <v>16</v>
      </c>
      <c r="T112" s="452">
        <v>16</v>
      </c>
      <c r="U112" s="450" t="s">
        <v>726</v>
      </c>
      <c r="V112" s="450" t="s">
        <v>727</v>
      </c>
      <c r="W112" s="452">
        <v>500</v>
      </c>
      <c r="X112" s="450" t="s">
        <v>684</v>
      </c>
      <c r="Y112" s="450" t="s">
        <v>941</v>
      </c>
      <c r="Z112" s="452" t="s">
        <v>194</v>
      </c>
      <c r="AA112" s="452">
        <v>1E-3</v>
      </c>
      <c r="AB112" s="452" t="s">
        <v>985</v>
      </c>
      <c r="AC112" s="450" t="s">
        <v>684</v>
      </c>
      <c r="AD112" s="452" t="s">
        <v>985</v>
      </c>
      <c r="AE112" s="450" t="s">
        <v>684</v>
      </c>
      <c r="AF112" s="452">
        <v>0</v>
      </c>
      <c r="AG112" s="452">
        <v>0</v>
      </c>
      <c r="AH112" s="452">
        <v>5</v>
      </c>
      <c r="AI112" s="452" t="s">
        <v>956</v>
      </c>
      <c r="AJ112" s="455" t="s">
        <v>2138</v>
      </c>
      <c r="AK112" s="450" t="s">
        <v>684</v>
      </c>
      <c r="AL112" s="450" t="s">
        <v>957</v>
      </c>
      <c r="AM112" s="285" t="s">
        <v>685</v>
      </c>
      <c r="AN112" s="285" t="s">
        <v>936</v>
      </c>
      <c r="AO112" s="285"/>
      <c r="AP112" s="285"/>
      <c r="AQ112" s="285"/>
      <c r="AR112" s="285"/>
      <c r="AS112" s="285"/>
      <c r="AT112" s="285"/>
      <c r="AU112" s="285"/>
      <c r="AV112" s="285"/>
      <c r="AW112" s="456"/>
      <c r="AX112" s="457"/>
      <c r="AY112" s="458"/>
      <c r="AZ112" s="458"/>
      <c r="BA112" s="458"/>
      <c r="BB112" s="458"/>
      <c r="BC112" s="458"/>
      <c r="BD112" s="458"/>
      <c r="BE112" s="458"/>
    </row>
    <row r="113" spans="1:57" s="459" customFormat="1" ht="30">
      <c r="A113" s="451" t="s">
        <v>6</v>
      </c>
      <c r="B113" s="452">
        <v>111</v>
      </c>
      <c r="C113" s="450" t="s">
        <v>937</v>
      </c>
      <c r="D113" s="452" t="s">
        <v>3119</v>
      </c>
      <c r="E113" s="452" t="s">
        <v>986</v>
      </c>
      <c r="F113" s="452" t="s">
        <v>987</v>
      </c>
      <c r="G113" s="450" t="s">
        <v>684</v>
      </c>
      <c r="H113" s="452" t="s">
        <v>981</v>
      </c>
      <c r="I113" s="452" t="s">
        <v>982</v>
      </c>
      <c r="J113" s="452" t="s">
        <v>935</v>
      </c>
      <c r="K113" s="452" t="s">
        <v>935</v>
      </c>
      <c r="L113" s="452" t="s">
        <v>725</v>
      </c>
      <c r="M113" s="452" t="s">
        <v>725</v>
      </c>
      <c r="N113" s="452">
        <v>100</v>
      </c>
      <c r="O113" s="452">
        <v>100</v>
      </c>
      <c r="P113" s="452" t="s">
        <v>725</v>
      </c>
      <c r="Q113" s="452">
        <v>8</v>
      </c>
      <c r="R113" s="452">
        <v>31</v>
      </c>
      <c r="S113" s="452">
        <v>32</v>
      </c>
      <c r="T113" s="452">
        <v>16</v>
      </c>
      <c r="U113" s="450" t="s">
        <v>726</v>
      </c>
      <c r="V113" s="450" t="s">
        <v>727</v>
      </c>
      <c r="W113" s="452">
        <v>500</v>
      </c>
      <c r="X113" s="450" t="s">
        <v>684</v>
      </c>
      <c r="Y113" s="450" t="s">
        <v>941</v>
      </c>
      <c r="Z113" s="452" t="s">
        <v>194</v>
      </c>
      <c r="AA113" s="452">
        <v>1E-3</v>
      </c>
      <c r="AB113" s="452" t="s">
        <v>985</v>
      </c>
      <c r="AC113" s="450" t="s">
        <v>684</v>
      </c>
      <c r="AD113" s="452" t="s">
        <v>985</v>
      </c>
      <c r="AE113" s="450" t="s">
        <v>684</v>
      </c>
      <c r="AF113" s="452">
        <v>0</v>
      </c>
      <c r="AG113" s="452">
        <v>0</v>
      </c>
      <c r="AH113" s="452">
        <v>5</v>
      </c>
      <c r="AI113" s="452" t="s">
        <v>956</v>
      </c>
      <c r="AJ113" s="455" t="s">
        <v>2138</v>
      </c>
      <c r="AK113" s="450" t="s">
        <v>684</v>
      </c>
      <c r="AL113" s="450" t="s">
        <v>957</v>
      </c>
      <c r="AM113" s="285" t="s">
        <v>685</v>
      </c>
      <c r="AN113" s="285" t="s">
        <v>936</v>
      </c>
      <c r="AO113" s="285"/>
      <c r="AP113" s="285"/>
      <c r="AQ113" s="285"/>
      <c r="AR113" s="285"/>
      <c r="AS113" s="285"/>
      <c r="AT113" s="285"/>
      <c r="AU113" s="285"/>
      <c r="AV113" s="285"/>
      <c r="AW113" s="456"/>
      <c r="AX113" s="457"/>
      <c r="AY113" s="458"/>
      <c r="AZ113" s="458"/>
      <c r="BA113" s="458"/>
      <c r="BB113" s="458"/>
      <c r="BC113" s="458"/>
      <c r="BD113" s="458"/>
      <c r="BE113" s="458"/>
    </row>
    <row r="114" spans="1:57" s="459" customFormat="1" ht="30">
      <c r="A114" s="451" t="s">
        <v>6</v>
      </c>
      <c r="B114" s="452">
        <v>112</v>
      </c>
      <c r="C114" s="450" t="s">
        <v>937</v>
      </c>
      <c r="D114" s="452" t="s">
        <v>3119</v>
      </c>
      <c r="E114" s="452" t="s">
        <v>988</v>
      </c>
      <c r="F114" s="452" t="s">
        <v>989</v>
      </c>
      <c r="G114" s="450" t="s">
        <v>684</v>
      </c>
      <c r="H114" s="452" t="s">
        <v>981</v>
      </c>
      <c r="I114" s="452" t="s">
        <v>982</v>
      </c>
      <c r="J114" s="452" t="s">
        <v>935</v>
      </c>
      <c r="K114" s="452" t="s">
        <v>935</v>
      </c>
      <c r="L114" s="452" t="s">
        <v>725</v>
      </c>
      <c r="M114" s="452" t="s">
        <v>725</v>
      </c>
      <c r="N114" s="452">
        <v>100</v>
      </c>
      <c r="O114" s="452">
        <v>100</v>
      </c>
      <c r="P114" s="452" t="s">
        <v>725</v>
      </c>
      <c r="Q114" s="452">
        <v>8</v>
      </c>
      <c r="R114" s="452">
        <v>47</v>
      </c>
      <c r="S114" s="452">
        <v>40</v>
      </c>
      <c r="T114" s="452">
        <v>8</v>
      </c>
      <c r="U114" s="450" t="s">
        <v>726</v>
      </c>
      <c r="V114" s="450" t="s">
        <v>727</v>
      </c>
      <c r="W114" s="452" t="s">
        <v>990</v>
      </c>
      <c r="X114" s="450" t="s">
        <v>684</v>
      </c>
      <c r="Y114" s="450" t="s">
        <v>728</v>
      </c>
      <c r="Z114" s="452" t="s">
        <v>728</v>
      </c>
      <c r="AA114" s="452">
        <v>1</v>
      </c>
      <c r="AB114" s="452" t="s">
        <v>684</v>
      </c>
      <c r="AC114" s="450" t="s">
        <v>684</v>
      </c>
      <c r="AD114" s="452" t="s">
        <v>684</v>
      </c>
      <c r="AE114" s="450" t="s">
        <v>684</v>
      </c>
      <c r="AF114" s="452">
        <v>1</v>
      </c>
      <c r="AG114" s="452">
        <v>1</v>
      </c>
      <c r="AH114" s="452">
        <v>130</v>
      </c>
      <c r="AI114" s="452" t="s">
        <v>684</v>
      </c>
      <c r="AJ114" s="455" t="s">
        <v>2336</v>
      </c>
      <c r="AK114" s="450" t="s">
        <v>703</v>
      </c>
      <c r="AL114" s="450" t="s">
        <v>991</v>
      </c>
      <c r="AM114" s="285" t="s">
        <v>705</v>
      </c>
      <c r="AN114" s="285" t="s">
        <v>716</v>
      </c>
      <c r="AO114" s="285"/>
      <c r="AP114" s="285"/>
      <c r="AQ114" s="285"/>
      <c r="AR114" s="285"/>
      <c r="AS114" s="285"/>
      <c r="AT114" s="285"/>
      <c r="AU114" s="285"/>
      <c r="AV114" s="285"/>
      <c r="AW114" s="456"/>
      <c r="AX114" s="457"/>
      <c r="AY114" s="458"/>
      <c r="AZ114" s="458"/>
      <c r="BA114" s="458"/>
      <c r="BB114" s="458"/>
      <c r="BC114" s="458"/>
      <c r="BD114" s="458"/>
      <c r="BE114" s="458"/>
    </row>
    <row r="115" spans="1:57" s="459" customFormat="1" ht="30">
      <c r="A115" s="451" t="s">
        <v>6</v>
      </c>
      <c r="B115" s="452">
        <v>113</v>
      </c>
      <c r="C115" s="450" t="s">
        <v>975</v>
      </c>
      <c r="D115" s="452" t="s">
        <v>3119</v>
      </c>
      <c r="E115" s="452" t="s">
        <v>992</v>
      </c>
      <c r="F115" s="452" t="s">
        <v>993</v>
      </c>
      <c r="G115" s="450" t="s">
        <v>703</v>
      </c>
      <c r="H115" s="452" t="s">
        <v>994</v>
      </c>
      <c r="I115" s="452" t="s">
        <v>995</v>
      </c>
      <c r="J115" s="452" t="s">
        <v>971</v>
      </c>
      <c r="K115" s="452" t="s">
        <v>971</v>
      </c>
      <c r="L115" s="452" t="s">
        <v>712</v>
      </c>
      <c r="M115" s="452" t="s">
        <v>712</v>
      </c>
      <c r="N115" s="452">
        <v>100</v>
      </c>
      <c r="O115" s="452">
        <v>100</v>
      </c>
      <c r="P115" s="452" t="s">
        <v>712</v>
      </c>
      <c r="Q115" s="452">
        <v>8</v>
      </c>
      <c r="R115" s="452">
        <v>55</v>
      </c>
      <c r="S115" s="452">
        <v>48</v>
      </c>
      <c r="T115" s="452">
        <v>8</v>
      </c>
      <c r="U115" s="450" t="s">
        <v>713</v>
      </c>
      <c r="V115" s="450" t="s">
        <v>714</v>
      </c>
      <c r="W115" s="452">
        <v>100</v>
      </c>
      <c r="X115" s="450" t="s">
        <v>703</v>
      </c>
      <c r="Y115" s="450" t="s">
        <v>715</v>
      </c>
      <c r="Z115" s="452" t="s">
        <v>715</v>
      </c>
      <c r="AA115" s="452">
        <v>1</v>
      </c>
      <c r="AB115" s="452" t="s">
        <v>703</v>
      </c>
      <c r="AC115" s="450" t="s">
        <v>703</v>
      </c>
      <c r="AD115" s="452" t="s">
        <v>703</v>
      </c>
      <c r="AE115" s="450" t="s">
        <v>703</v>
      </c>
      <c r="AF115" s="452">
        <v>1</v>
      </c>
      <c r="AG115" s="452">
        <v>1</v>
      </c>
      <c r="AH115" s="452">
        <v>130</v>
      </c>
      <c r="AI115" s="452" t="s">
        <v>703</v>
      </c>
      <c r="AJ115" s="455" t="s">
        <v>2336</v>
      </c>
      <c r="AK115" s="450" t="s">
        <v>703</v>
      </c>
      <c r="AL115" s="450" t="s">
        <v>991</v>
      </c>
      <c r="AM115" s="285" t="s">
        <v>705</v>
      </c>
      <c r="AN115" s="285" t="s">
        <v>716</v>
      </c>
      <c r="AO115" s="285"/>
      <c r="AP115" s="285"/>
      <c r="AQ115" s="285"/>
      <c r="AR115" s="285"/>
      <c r="AS115" s="285"/>
      <c r="AT115" s="285"/>
      <c r="AU115" s="285"/>
      <c r="AV115" s="285"/>
      <c r="AW115" s="456"/>
      <c r="AX115" s="457"/>
      <c r="AY115" s="458"/>
      <c r="AZ115" s="458"/>
      <c r="BA115" s="458"/>
      <c r="BB115" s="458"/>
      <c r="BC115" s="458"/>
      <c r="BD115" s="458"/>
      <c r="BE115" s="458"/>
    </row>
    <row r="116" spans="1:57" s="156" customFormat="1" ht="114">
      <c r="A116" s="146" t="s">
        <v>6</v>
      </c>
      <c r="B116" s="129">
        <v>114</v>
      </c>
      <c r="C116" s="149" t="s">
        <v>937</v>
      </c>
      <c r="D116" s="149" t="s">
        <v>3120</v>
      </c>
      <c r="E116" s="157" t="s">
        <v>2353</v>
      </c>
      <c r="F116" s="149" t="s">
        <v>242</v>
      </c>
      <c r="G116" s="149" t="s">
        <v>684</v>
      </c>
      <c r="H116" s="147" t="s">
        <v>981</v>
      </c>
      <c r="I116" s="147" t="s">
        <v>982</v>
      </c>
      <c r="J116" s="147" t="s">
        <v>935</v>
      </c>
      <c r="K116" s="147" t="s">
        <v>935</v>
      </c>
      <c r="L116" s="147" t="s">
        <v>725</v>
      </c>
      <c r="M116" s="147" t="s">
        <v>725</v>
      </c>
      <c r="N116" s="147">
        <v>100</v>
      </c>
      <c r="O116" s="147">
        <v>100</v>
      </c>
      <c r="P116" s="147" t="s">
        <v>725</v>
      </c>
      <c r="Q116" s="147">
        <v>8</v>
      </c>
      <c r="R116" s="149">
        <v>63</v>
      </c>
      <c r="S116" s="149">
        <v>60</v>
      </c>
      <c r="T116" s="149">
        <v>4</v>
      </c>
      <c r="U116" s="149" t="s">
        <v>240</v>
      </c>
      <c r="V116" s="149" t="s">
        <v>727</v>
      </c>
      <c r="W116" s="147">
        <v>100</v>
      </c>
      <c r="X116" s="149" t="s">
        <v>684</v>
      </c>
      <c r="Y116" s="149" t="s">
        <v>2350</v>
      </c>
      <c r="Z116" s="149" t="s">
        <v>684</v>
      </c>
      <c r="AA116" s="149">
        <v>1</v>
      </c>
      <c r="AB116" s="149" t="s">
        <v>684</v>
      </c>
      <c r="AC116" s="149" t="s">
        <v>684</v>
      </c>
      <c r="AD116" s="149" t="s">
        <v>684</v>
      </c>
      <c r="AE116" s="149" t="s">
        <v>684</v>
      </c>
      <c r="AF116" s="149">
        <v>0</v>
      </c>
      <c r="AG116" s="149">
        <v>0</v>
      </c>
      <c r="AH116" s="149">
        <v>8</v>
      </c>
      <c r="AI116" s="149" t="s">
        <v>875</v>
      </c>
      <c r="AJ116" s="162" t="s">
        <v>2373</v>
      </c>
      <c r="AK116" s="151" t="s">
        <v>684</v>
      </c>
      <c r="AL116" s="151" t="s">
        <v>684</v>
      </c>
      <c r="AM116" s="151" t="s">
        <v>685</v>
      </c>
      <c r="AN116" s="151" t="s">
        <v>685</v>
      </c>
      <c r="AO116" s="151"/>
      <c r="AP116" s="151" t="s">
        <v>685</v>
      </c>
      <c r="AQ116" s="151"/>
      <c r="AR116" s="151"/>
      <c r="AS116" s="151" t="s">
        <v>685</v>
      </c>
      <c r="AT116" s="151"/>
      <c r="AU116" s="151"/>
      <c r="AV116" s="151"/>
      <c r="AW116" s="153"/>
      <c r="AX116" s="154"/>
      <c r="AY116" s="155"/>
      <c r="AZ116" s="155"/>
      <c r="BA116" s="155"/>
      <c r="BB116" s="155"/>
      <c r="BC116" s="155"/>
      <c r="BD116" s="155"/>
      <c r="BE116" s="155"/>
    </row>
    <row r="117" spans="1:57" s="156" customFormat="1" ht="25">
      <c r="A117" s="146" t="s">
        <v>6</v>
      </c>
      <c r="B117" s="129">
        <v>115</v>
      </c>
      <c r="C117" s="149" t="s">
        <v>975</v>
      </c>
      <c r="D117" s="147" t="s">
        <v>3118</v>
      </c>
      <c r="E117" s="147" t="s">
        <v>997</v>
      </c>
      <c r="F117" s="147" t="s">
        <v>998</v>
      </c>
      <c r="G117" s="149" t="s">
        <v>703</v>
      </c>
      <c r="H117" s="147" t="s">
        <v>994</v>
      </c>
      <c r="I117" s="147" t="s">
        <v>995</v>
      </c>
      <c r="J117" s="147" t="s">
        <v>971</v>
      </c>
      <c r="K117" s="147" t="s">
        <v>971</v>
      </c>
      <c r="L117" s="147" t="s">
        <v>712</v>
      </c>
      <c r="M117" s="147" t="s">
        <v>712</v>
      </c>
      <c r="N117" s="147">
        <v>100</v>
      </c>
      <c r="O117" s="147">
        <v>100</v>
      </c>
      <c r="P117" s="147" t="s">
        <v>712</v>
      </c>
      <c r="Q117" s="147">
        <v>8</v>
      </c>
      <c r="R117" s="147">
        <v>59</v>
      </c>
      <c r="S117" s="147">
        <v>56</v>
      </c>
      <c r="T117" s="147">
        <v>4</v>
      </c>
      <c r="U117" s="149" t="s">
        <v>713</v>
      </c>
      <c r="V117" s="149" t="s">
        <v>714</v>
      </c>
      <c r="W117" s="147">
        <v>500</v>
      </c>
      <c r="X117" s="149" t="s">
        <v>703</v>
      </c>
      <c r="Y117" s="147" t="s">
        <v>715</v>
      </c>
      <c r="Z117" s="147" t="s">
        <v>194</v>
      </c>
      <c r="AA117" s="147">
        <v>1</v>
      </c>
      <c r="AB117" s="149" t="s">
        <v>703</v>
      </c>
      <c r="AC117" s="149" t="s">
        <v>703</v>
      </c>
      <c r="AD117" s="149" t="s">
        <v>703</v>
      </c>
      <c r="AE117" s="149" t="s">
        <v>703</v>
      </c>
      <c r="AF117" s="147">
        <v>0</v>
      </c>
      <c r="AG117" s="147">
        <v>0</v>
      </c>
      <c r="AH117" s="147">
        <v>15</v>
      </c>
      <c r="AI117" s="147" t="s">
        <v>703</v>
      </c>
      <c r="AJ117" s="150" t="s">
        <v>2123</v>
      </c>
      <c r="AK117" s="149" t="s">
        <v>703</v>
      </c>
      <c r="AL117" s="149" t="s">
        <v>703</v>
      </c>
      <c r="AM117" s="151"/>
      <c r="AN117" s="151" t="s">
        <v>716</v>
      </c>
      <c r="AO117" s="151"/>
      <c r="AP117" s="151"/>
      <c r="AQ117" s="151"/>
      <c r="AR117" s="151"/>
      <c r="AS117" s="151"/>
      <c r="AT117" s="151"/>
      <c r="AU117" s="151"/>
      <c r="AV117" s="151"/>
      <c r="AW117" s="153"/>
      <c r="AX117" s="154"/>
      <c r="AY117" s="155"/>
      <c r="AZ117" s="155"/>
      <c r="BA117" s="155"/>
      <c r="BB117" s="155"/>
      <c r="BC117" s="155"/>
      <c r="BD117" s="155"/>
      <c r="BE117" s="155"/>
    </row>
    <row r="118" spans="1:57" s="459" customFormat="1" ht="86">
      <c r="A118" s="451" t="s">
        <v>6</v>
      </c>
      <c r="B118" s="452">
        <v>116</v>
      </c>
      <c r="C118" s="450" t="s">
        <v>999</v>
      </c>
      <c r="D118" s="452" t="s">
        <v>3121</v>
      </c>
      <c r="E118" s="452" t="s">
        <v>1000</v>
      </c>
      <c r="F118" s="452" t="s">
        <v>1001</v>
      </c>
      <c r="G118" s="450" t="s">
        <v>703</v>
      </c>
      <c r="H118" s="452" t="s">
        <v>216</v>
      </c>
      <c r="I118" s="452" t="s">
        <v>1002</v>
      </c>
      <c r="J118" s="452" t="s">
        <v>724</v>
      </c>
      <c r="K118" s="452" t="s">
        <v>724</v>
      </c>
      <c r="L118" s="452" t="s">
        <v>725</v>
      </c>
      <c r="M118" s="452" t="s">
        <v>725</v>
      </c>
      <c r="N118" s="452">
        <v>100</v>
      </c>
      <c r="O118" s="452">
        <v>100</v>
      </c>
      <c r="P118" s="452" t="s">
        <v>725</v>
      </c>
      <c r="Q118" s="452">
        <v>8</v>
      </c>
      <c r="R118" s="452">
        <v>7</v>
      </c>
      <c r="S118" s="452">
        <v>5</v>
      </c>
      <c r="T118" s="452">
        <v>3</v>
      </c>
      <c r="U118" s="450" t="s">
        <v>884</v>
      </c>
      <c r="V118" s="450" t="s">
        <v>885</v>
      </c>
      <c r="W118" s="452">
        <v>500</v>
      </c>
      <c r="X118" s="450" t="s">
        <v>725</v>
      </c>
      <c r="Y118" s="452" t="s">
        <v>890</v>
      </c>
      <c r="Z118" s="452" t="s">
        <v>194</v>
      </c>
      <c r="AA118" s="452">
        <v>1</v>
      </c>
      <c r="AB118" s="452" t="s">
        <v>725</v>
      </c>
      <c r="AC118" s="450" t="s">
        <v>725</v>
      </c>
      <c r="AD118" s="452" t="s">
        <v>725</v>
      </c>
      <c r="AE118" s="450" t="s">
        <v>725</v>
      </c>
      <c r="AF118" s="452">
        <v>0</v>
      </c>
      <c r="AG118" s="452">
        <v>0</v>
      </c>
      <c r="AH118" s="452">
        <v>7</v>
      </c>
      <c r="AI118" s="452" t="s">
        <v>725</v>
      </c>
      <c r="AJ118" s="455" t="s">
        <v>3158</v>
      </c>
      <c r="AK118" s="450" t="s">
        <v>725</v>
      </c>
      <c r="AL118" s="450" t="s">
        <v>957</v>
      </c>
      <c r="AM118" s="285" t="s">
        <v>685</v>
      </c>
      <c r="AN118" s="285" t="s">
        <v>685</v>
      </c>
      <c r="AO118" s="285"/>
      <c r="AP118" s="285"/>
      <c r="AQ118" s="285"/>
      <c r="AR118" s="285"/>
      <c r="AS118" s="285"/>
      <c r="AT118" s="285"/>
      <c r="AU118" s="285"/>
      <c r="AV118" s="285"/>
      <c r="AW118" s="456"/>
      <c r="AX118" s="457"/>
      <c r="AY118" s="458"/>
      <c r="AZ118" s="458"/>
      <c r="BA118" s="458"/>
      <c r="BB118" s="458"/>
      <c r="BC118" s="458"/>
      <c r="BD118" s="458"/>
      <c r="BE118" s="458"/>
    </row>
    <row r="119" spans="1:57" s="139" customFormat="1" ht="30">
      <c r="A119" s="140" t="s">
        <v>6</v>
      </c>
      <c r="B119" s="129">
        <v>117</v>
      </c>
      <c r="C119" s="141" t="s">
        <v>1003</v>
      </c>
      <c r="D119" s="129" t="s">
        <v>3122</v>
      </c>
      <c r="E119" s="129" t="s">
        <v>1004</v>
      </c>
      <c r="F119" s="129" t="s">
        <v>1005</v>
      </c>
      <c r="G119" s="141" t="s">
        <v>703</v>
      </c>
      <c r="H119" s="129" t="s">
        <v>216</v>
      </c>
      <c r="I119" s="129" t="s">
        <v>1002</v>
      </c>
      <c r="J119" s="129" t="s">
        <v>711</v>
      </c>
      <c r="K119" s="129" t="s">
        <v>711</v>
      </c>
      <c r="L119" s="129" t="s">
        <v>712</v>
      </c>
      <c r="M119" s="129" t="s">
        <v>712</v>
      </c>
      <c r="N119" s="129">
        <v>100</v>
      </c>
      <c r="O119" s="129">
        <v>100</v>
      </c>
      <c r="P119" s="129" t="s">
        <v>712</v>
      </c>
      <c r="Q119" s="129">
        <v>8</v>
      </c>
      <c r="R119" s="129">
        <v>4</v>
      </c>
      <c r="S119" s="129">
        <v>4</v>
      </c>
      <c r="T119" s="129">
        <v>1</v>
      </c>
      <c r="U119" s="141" t="s">
        <v>1006</v>
      </c>
      <c r="V119" s="141" t="s">
        <v>1007</v>
      </c>
      <c r="W119" s="129">
        <v>500</v>
      </c>
      <c r="X119" s="141" t="s">
        <v>712</v>
      </c>
      <c r="Y119" s="129" t="s">
        <v>1008</v>
      </c>
      <c r="Z119" s="129" t="s">
        <v>194</v>
      </c>
      <c r="AA119" s="129">
        <v>1</v>
      </c>
      <c r="AB119" s="129" t="s">
        <v>712</v>
      </c>
      <c r="AC119" s="141" t="s">
        <v>712</v>
      </c>
      <c r="AD119" s="129" t="s">
        <v>712</v>
      </c>
      <c r="AE119" s="141" t="s">
        <v>712</v>
      </c>
      <c r="AF119" s="129">
        <v>0</v>
      </c>
      <c r="AG119" s="129">
        <v>0</v>
      </c>
      <c r="AH119" s="129">
        <v>1</v>
      </c>
      <c r="AI119" s="129" t="s">
        <v>712</v>
      </c>
      <c r="AJ119" s="159" t="s">
        <v>208</v>
      </c>
      <c r="AK119" s="141" t="s">
        <v>712</v>
      </c>
      <c r="AL119" s="141" t="s">
        <v>712</v>
      </c>
      <c r="AM119" s="143"/>
      <c r="AN119" s="143" t="s">
        <v>705</v>
      </c>
      <c r="AO119" s="143"/>
      <c r="AP119" s="143"/>
      <c r="AQ119" s="143"/>
      <c r="AR119" s="143"/>
      <c r="AS119" s="143"/>
      <c r="AT119" s="143"/>
      <c r="AU119" s="143"/>
      <c r="AV119" s="143"/>
      <c r="AW119" s="144"/>
      <c r="AX119" s="145"/>
      <c r="AY119" s="138"/>
      <c r="AZ119" s="138"/>
      <c r="BA119" s="138"/>
      <c r="BB119" s="138"/>
      <c r="BC119" s="138"/>
      <c r="BD119" s="138"/>
      <c r="BE119" s="138"/>
    </row>
    <row r="120" spans="1:57" s="459" customFormat="1" ht="58">
      <c r="A120" s="451" t="s">
        <v>6</v>
      </c>
      <c r="B120" s="452">
        <v>118</v>
      </c>
      <c r="C120" s="450" t="s">
        <v>999</v>
      </c>
      <c r="D120" s="452" t="s">
        <v>3121</v>
      </c>
      <c r="E120" s="452" t="s">
        <v>1009</v>
      </c>
      <c r="F120" s="452" t="s">
        <v>1010</v>
      </c>
      <c r="G120" s="450" t="s">
        <v>703</v>
      </c>
      <c r="H120" s="452" t="s">
        <v>216</v>
      </c>
      <c r="I120" s="452" t="s">
        <v>1002</v>
      </c>
      <c r="J120" s="452" t="s">
        <v>711</v>
      </c>
      <c r="K120" s="452" t="s">
        <v>711</v>
      </c>
      <c r="L120" s="452" t="s">
        <v>712</v>
      </c>
      <c r="M120" s="452" t="s">
        <v>712</v>
      </c>
      <c r="N120" s="452">
        <v>100</v>
      </c>
      <c r="O120" s="452">
        <v>100</v>
      </c>
      <c r="P120" s="452" t="s">
        <v>712</v>
      </c>
      <c r="Q120" s="452">
        <v>8</v>
      </c>
      <c r="R120" s="452">
        <v>3</v>
      </c>
      <c r="S120" s="452">
        <v>2</v>
      </c>
      <c r="T120" s="452">
        <v>2</v>
      </c>
      <c r="U120" s="450" t="s">
        <v>1006</v>
      </c>
      <c r="V120" s="450" t="s">
        <v>1007</v>
      </c>
      <c r="W120" s="452">
        <v>500</v>
      </c>
      <c r="X120" s="450" t="s">
        <v>712</v>
      </c>
      <c r="Y120" s="452" t="s">
        <v>1008</v>
      </c>
      <c r="Z120" s="452" t="s">
        <v>194</v>
      </c>
      <c r="AA120" s="452">
        <v>1</v>
      </c>
      <c r="AB120" s="452" t="s">
        <v>712</v>
      </c>
      <c r="AC120" s="450" t="s">
        <v>712</v>
      </c>
      <c r="AD120" s="452" t="s">
        <v>712</v>
      </c>
      <c r="AE120" s="450" t="s">
        <v>712</v>
      </c>
      <c r="AF120" s="452">
        <v>0</v>
      </c>
      <c r="AG120" s="452">
        <v>0</v>
      </c>
      <c r="AH120" s="452">
        <v>3</v>
      </c>
      <c r="AI120" s="452" t="s">
        <v>712</v>
      </c>
      <c r="AJ120" s="455" t="s">
        <v>1011</v>
      </c>
      <c r="AK120" s="450" t="s">
        <v>712</v>
      </c>
      <c r="AL120" s="450" t="s">
        <v>712</v>
      </c>
      <c r="AM120" s="285" t="s">
        <v>693</v>
      </c>
      <c r="AN120" s="285" t="s">
        <v>705</v>
      </c>
      <c r="AO120" s="285"/>
      <c r="AP120" s="285"/>
      <c r="AQ120" s="285"/>
      <c r="AR120" s="285"/>
      <c r="AS120" s="285"/>
      <c r="AT120" s="285"/>
      <c r="AU120" s="285"/>
      <c r="AV120" s="285"/>
      <c r="AW120" s="456"/>
      <c r="AX120" s="457"/>
      <c r="AY120" s="458"/>
      <c r="AZ120" s="458"/>
      <c r="BA120" s="458"/>
      <c r="BB120" s="458"/>
      <c r="BC120" s="458"/>
      <c r="BD120" s="458"/>
      <c r="BE120" s="458"/>
    </row>
    <row r="121" spans="1:57" s="459" customFormat="1" ht="58">
      <c r="A121" s="451" t="s">
        <v>6</v>
      </c>
      <c r="B121" s="452">
        <v>119</v>
      </c>
      <c r="C121" s="450" t="s">
        <v>999</v>
      </c>
      <c r="D121" s="452" t="s">
        <v>3121</v>
      </c>
      <c r="E121" s="452" t="s">
        <v>1012</v>
      </c>
      <c r="F121" s="452" t="s">
        <v>1013</v>
      </c>
      <c r="G121" s="450" t="s">
        <v>703</v>
      </c>
      <c r="H121" s="452" t="s">
        <v>216</v>
      </c>
      <c r="I121" s="452" t="s">
        <v>1002</v>
      </c>
      <c r="J121" s="452" t="s">
        <v>711</v>
      </c>
      <c r="K121" s="452" t="s">
        <v>711</v>
      </c>
      <c r="L121" s="452" t="s">
        <v>712</v>
      </c>
      <c r="M121" s="452" t="s">
        <v>712</v>
      </c>
      <c r="N121" s="452">
        <v>100</v>
      </c>
      <c r="O121" s="452">
        <v>100</v>
      </c>
      <c r="P121" s="452" t="s">
        <v>712</v>
      </c>
      <c r="Q121" s="452">
        <v>8</v>
      </c>
      <c r="R121" s="452">
        <v>1</v>
      </c>
      <c r="S121" s="452">
        <v>0</v>
      </c>
      <c r="T121" s="452">
        <v>2</v>
      </c>
      <c r="U121" s="450" t="s">
        <v>1006</v>
      </c>
      <c r="V121" s="450" t="s">
        <v>1007</v>
      </c>
      <c r="W121" s="452">
        <v>500</v>
      </c>
      <c r="X121" s="450" t="s">
        <v>712</v>
      </c>
      <c r="Y121" s="452" t="s">
        <v>1008</v>
      </c>
      <c r="Z121" s="452" t="s">
        <v>194</v>
      </c>
      <c r="AA121" s="452">
        <v>1</v>
      </c>
      <c r="AB121" s="452" t="s">
        <v>712</v>
      </c>
      <c r="AC121" s="450" t="s">
        <v>712</v>
      </c>
      <c r="AD121" s="452" t="s">
        <v>712</v>
      </c>
      <c r="AE121" s="450" t="s">
        <v>712</v>
      </c>
      <c r="AF121" s="452">
        <v>0</v>
      </c>
      <c r="AG121" s="452">
        <v>0</v>
      </c>
      <c r="AH121" s="452">
        <v>3</v>
      </c>
      <c r="AI121" s="452" t="s">
        <v>712</v>
      </c>
      <c r="AJ121" s="455" t="s">
        <v>1011</v>
      </c>
      <c r="AK121" s="450" t="s">
        <v>712</v>
      </c>
      <c r="AL121" s="450" t="s">
        <v>991</v>
      </c>
      <c r="AM121" s="285" t="s">
        <v>705</v>
      </c>
      <c r="AN121" s="285" t="s">
        <v>705</v>
      </c>
      <c r="AO121" s="285"/>
      <c r="AP121" s="285"/>
      <c r="AQ121" s="285"/>
      <c r="AR121" s="285"/>
      <c r="AS121" s="285"/>
      <c r="AT121" s="285"/>
      <c r="AU121" s="285"/>
      <c r="AV121" s="285"/>
      <c r="AW121" s="456"/>
      <c r="AX121" s="457"/>
      <c r="AY121" s="458"/>
      <c r="AZ121" s="458"/>
      <c r="BA121" s="458"/>
      <c r="BB121" s="458"/>
      <c r="BC121" s="458"/>
      <c r="BD121" s="458"/>
      <c r="BE121" s="458"/>
    </row>
    <row r="122" spans="1:57" s="459" customFormat="1" ht="58">
      <c r="A122" s="451" t="s">
        <v>6</v>
      </c>
      <c r="B122" s="452">
        <v>120</v>
      </c>
      <c r="C122" s="450" t="s">
        <v>999</v>
      </c>
      <c r="D122" s="452" t="s">
        <v>3121</v>
      </c>
      <c r="E122" s="452" t="s">
        <v>1014</v>
      </c>
      <c r="F122" s="452" t="s">
        <v>1015</v>
      </c>
      <c r="G122" s="450" t="s">
        <v>703</v>
      </c>
      <c r="H122" s="452" t="s">
        <v>216</v>
      </c>
      <c r="I122" s="452" t="s">
        <v>1002</v>
      </c>
      <c r="J122" s="452" t="s">
        <v>711</v>
      </c>
      <c r="K122" s="452" t="s">
        <v>711</v>
      </c>
      <c r="L122" s="452" t="s">
        <v>712</v>
      </c>
      <c r="M122" s="452" t="s">
        <v>712</v>
      </c>
      <c r="N122" s="452">
        <v>100</v>
      </c>
      <c r="O122" s="452">
        <v>100</v>
      </c>
      <c r="P122" s="452" t="s">
        <v>712</v>
      </c>
      <c r="Q122" s="452">
        <v>8</v>
      </c>
      <c r="R122" s="452">
        <v>15</v>
      </c>
      <c r="S122" s="452">
        <v>14</v>
      </c>
      <c r="T122" s="452">
        <v>2</v>
      </c>
      <c r="U122" s="450" t="s">
        <v>1006</v>
      </c>
      <c r="V122" s="450" t="s">
        <v>1007</v>
      </c>
      <c r="W122" s="452">
        <v>500</v>
      </c>
      <c r="X122" s="450" t="s">
        <v>712</v>
      </c>
      <c r="Y122" s="452" t="s">
        <v>1008</v>
      </c>
      <c r="Z122" s="452" t="s">
        <v>194</v>
      </c>
      <c r="AA122" s="452">
        <v>1</v>
      </c>
      <c r="AB122" s="452" t="s">
        <v>712</v>
      </c>
      <c r="AC122" s="450" t="s">
        <v>712</v>
      </c>
      <c r="AD122" s="452" t="s">
        <v>712</v>
      </c>
      <c r="AE122" s="450" t="s">
        <v>712</v>
      </c>
      <c r="AF122" s="452">
        <v>0</v>
      </c>
      <c r="AG122" s="452">
        <v>0</v>
      </c>
      <c r="AH122" s="452">
        <v>3</v>
      </c>
      <c r="AI122" s="452" t="s">
        <v>712</v>
      </c>
      <c r="AJ122" s="455" t="s">
        <v>1011</v>
      </c>
      <c r="AK122" s="450" t="s">
        <v>712</v>
      </c>
      <c r="AL122" s="450" t="s">
        <v>991</v>
      </c>
      <c r="AM122" s="285" t="s">
        <v>705</v>
      </c>
      <c r="AN122" s="285" t="s">
        <v>705</v>
      </c>
      <c r="AO122" s="285"/>
      <c r="AP122" s="285"/>
      <c r="AQ122" s="285"/>
      <c r="AR122" s="285"/>
      <c r="AS122" s="285"/>
      <c r="AT122" s="285"/>
      <c r="AU122" s="285"/>
      <c r="AV122" s="285"/>
      <c r="AW122" s="456"/>
      <c r="AX122" s="457"/>
      <c r="AY122" s="458"/>
      <c r="AZ122" s="458"/>
      <c r="BA122" s="458"/>
      <c r="BB122" s="458"/>
      <c r="BC122" s="458"/>
      <c r="BD122" s="458"/>
      <c r="BE122" s="458"/>
    </row>
    <row r="123" spans="1:57" s="139" customFormat="1" ht="30">
      <c r="A123" s="140" t="s">
        <v>6</v>
      </c>
      <c r="B123" s="129">
        <v>121</v>
      </c>
      <c r="C123" s="141" t="s">
        <v>999</v>
      </c>
      <c r="D123" s="129" t="s">
        <v>3122</v>
      </c>
      <c r="E123" s="143" t="s">
        <v>1016</v>
      </c>
      <c r="F123" s="129" t="s">
        <v>1017</v>
      </c>
      <c r="G123" s="141" t="s">
        <v>703</v>
      </c>
      <c r="H123" s="129" t="s">
        <v>216</v>
      </c>
      <c r="I123" s="129" t="s">
        <v>1002</v>
      </c>
      <c r="J123" s="129" t="s">
        <v>711</v>
      </c>
      <c r="K123" s="129" t="s">
        <v>711</v>
      </c>
      <c r="L123" s="129" t="s">
        <v>712</v>
      </c>
      <c r="M123" s="129" t="s">
        <v>712</v>
      </c>
      <c r="N123" s="129">
        <v>100</v>
      </c>
      <c r="O123" s="129">
        <v>100</v>
      </c>
      <c r="P123" s="129" t="s">
        <v>712</v>
      </c>
      <c r="Q123" s="129">
        <v>8</v>
      </c>
      <c r="R123" s="129">
        <v>13</v>
      </c>
      <c r="S123" s="129">
        <v>13</v>
      </c>
      <c r="T123" s="129">
        <v>1</v>
      </c>
      <c r="U123" s="141" t="s">
        <v>1006</v>
      </c>
      <c r="V123" s="141" t="s">
        <v>1007</v>
      </c>
      <c r="W123" s="129">
        <v>500</v>
      </c>
      <c r="X123" s="141" t="s">
        <v>712</v>
      </c>
      <c r="Y123" s="129" t="s">
        <v>1008</v>
      </c>
      <c r="Z123" s="129" t="s">
        <v>194</v>
      </c>
      <c r="AA123" s="129">
        <v>1</v>
      </c>
      <c r="AB123" s="129" t="s">
        <v>712</v>
      </c>
      <c r="AC123" s="141" t="s">
        <v>712</v>
      </c>
      <c r="AD123" s="129" t="s">
        <v>712</v>
      </c>
      <c r="AE123" s="141" t="s">
        <v>712</v>
      </c>
      <c r="AF123" s="129">
        <v>0</v>
      </c>
      <c r="AG123" s="129">
        <v>0</v>
      </c>
      <c r="AH123" s="129">
        <v>1</v>
      </c>
      <c r="AI123" s="129" t="s">
        <v>712</v>
      </c>
      <c r="AJ123" s="159" t="s">
        <v>1018</v>
      </c>
      <c r="AK123" s="141" t="s">
        <v>712</v>
      </c>
      <c r="AL123" s="141" t="s">
        <v>712</v>
      </c>
      <c r="AM123" s="143"/>
      <c r="AN123" s="143" t="s">
        <v>705</v>
      </c>
      <c r="AO123" s="143"/>
      <c r="AP123" s="143"/>
      <c r="AQ123" s="143"/>
      <c r="AR123" s="143"/>
      <c r="AS123" s="143"/>
      <c r="AT123" s="143"/>
      <c r="AU123" s="143"/>
      <c r="AV123" s="143"/>
      <c r="AW123" s="144"/>
      <c r="AX123" s="145"/>
      <c r="AY123" s="138"/>
      <c r="AZ123" s="138"/>
      <c r="BA123" s="138"/>
      <c r="BB123" s="138"/>
      <c r="BC123" s="138"/>
      <c r="BD123" s="138"/>
      <c r="BE123" s="138"/>
    </row>
    <row r="124" spans="1:57" s="139" customFormat="1" ht="30">
      <c r="A124" s="140" t="s">
        <v>6</v>
      </c>
      <c r="B124" s="129">
        <v>122</v>
      </c>
      <c r="C124" s="141" t="s">
        <v>999</v>
      </c>
      <c r="D124" s="129" t="s">
        <v>3122</v>
      </c>
      <c r="E124" s="143" t="s">
        <v>1019</v>
      </c>
      <c r="F124" s="129" t="s">
        <v>1020</v>
      </c>
      <c r="G124" s="141" t="s">
        <v>703</v>
      </c>
      <c r="H124" s="129" t="s">
        <v>216</v>
      </c>
      <c r="I124" s="129" t="s">
        <v>1002</v>
      </c>
      <c r="J124" s="129" t="s">
        <v>711</v>
      </c>
      <c r="K124" s="129" t="s">
        <v>711</v>
      </c>
      <c r="L124" s="129" t="s">
        <v>193</v>
      </c>
      <c r="M124" s="129" t="s">
        <v>193</v>
      </c>
      <c r="N124" s="129">
        <v>100</v>
      </c>
      <c r="O124" s="129">
        <v>100</v>
      </c>
      <c r="P124" s="129" t="s">
        <v>193</v>
      </c>
      <c r="Q124" s="129">
        <v>8</v>
      </c>
      <c r="R124" s="129">
        <v>12</v>
      </c>
      <c r="S124" s="129">
        <v>12</v>
      </c>
      <c r="T124" s="129">
        <v>1</v>
      </c>
      <c r="U124" s="141" t="s">
        <v>1006</v>
      </c>
      <c r="V124" s="141" t="s">
        <v>1007</v>
      </c>
      <c r="W124" s="172" t="s">
        <v>1913</v>
      </c>
      <c r="X124" s="169" t="s">
        <v>1913</v>
      </c>
      <c r="Y124" s="129" t="s">
        <v>1008</v>
      </c>
      <c r="Z124" s="129" t="s">
        <v>194</v>
      </c>
      <c r="AA124" s="129">
        <v>1</v>
      </c>
      <c r="AB124" s="129" t="s">
        <v>712</v>
      </c>
      <c r="AC124" s="141" t="s">
        <v>712</v>
      </c>
      <c r="AD124" s="129" t="s">
        <v>712</v>
      </c>
      <c r="AE124" s="141" t="s">
        <v>712</v>
      </c>
      <c r="AF124" s="129">
        <v>0</v>
      </c>
      <c r="AG124" s="129">
        <v>0</v>
      </c>
      <c r="AH124" s="129">
        <v>1</v>
      </c>
      <c r="AI124" s="129" t="s">
        <v>712</v>
      </c>
      <c r="AJ124" s="159" t="s">
        <v>1018</v>
      </c>
      <c r="AK124" s="141" t="s">
        <v>712</v>
      </c>
      <c r="AL124" s="141" t="s">
        <v>712</v>
      </c>
      <c r="AM124" s="143"/>
      <c r="AN124" s="143" t="s">
        <v>705</v>
      </c>
      <c r="AO124" s="143"/>
      <c r="AP124" s="143"/>
      <c r="AQ124" s="143"/>
      <c r="AR124" s="143"/>
      <c r="AS124" s="143"/>
      <c r="AT124" s="143"/>
      <c r="AU124" s="143"/>
      <c r="AV124" s="143"/>
      <c r="AW124" s="144"/>
      <c r="AX124" s="145"/>
      <c r="AY124" s="138"/>
      <c r="AZ124" s="138"/>
      <c r="BA124" s="138"/>
      <c r="BB124" s="138"/>
      <c r="BC124" s="138"/>
      <c r="BD124" s="138"/>
      <c r="BE124" s="138"/>
    </row>
    <row r="125" spans="1:57" s="139" customFormat="1" ht="58">
      <c r="A125" s="140" t="s">
        <v>6</v>
      </c>
      <c r="B125" s="129">
        <v>123</v>
      </c>
      <c r="C125" s="141" t="s">
        <v>999</v>
      </c>
      <c r="D125" s="129" t="s">
        <v>3122</v>
      </c>
      <c r="E125" s="129" t="s">
        <v>1021</v>
      </c>
      <c r="F125" s="129" t="s">
        <v>1022</v>
      </c>
      <c r="G125" s="141" t="s">
        <v>703</v>
      </c>
      <c r="H125" s="129" t="s">
        <v>216</v>
      </c>
      <c r="I125" s="129" t="s">
        <v>1002</v>
      </c>
      <c r="J125" s="129" t="s">
        <v>711</v>
      </c>
      <c r="K125" s="129" t="s">
        <v>711</v>
      </c>
      <c r="L125" s="129" t="s">
        <v>712</v>
      </c>
      <c r="M125" s="129" t="s">
        <v>712</v>
      </c>
      <c r="N125" s="129">
        <v>100</v>
      </c>
      <c r="O125" s="129">
        <v>100</v>
      </c>
      <c r="P125" s="129" t="s">
        <v>712</v>
      </c>
      <c r="Q125" s="129">
        <v>8</v>
      </c>
      <c r="R125" s="129">
        <v>11</v>
      </c>
      <c r="S125" s="129">
        <v>10</v>
      </c>
      <c r="T125" s="129">
        <v>2</v>
      </c>
      <c r="U125" s="141" t="s">
        <v>1006</v>
      </c>
      <c r="V125" s="141" t="s">
        <v>1007</v>
      </c>
      <c r="W125" s="129">
        <v>500</v>
      </c>
      <c r="X125" s="141" t="s">
        <v>712</v>
      </c>
      <c r="Y125" s="129" t="s">
        <v>1008</v>
      </c>
      <c r="Z125" s="129" t="s">
        <v>194</v>
      </c>
      <c r="AA125" s="129">
        <v>1</v>
      </c>
      <c r="AB125" s="129" t="s">
        <v>712</v>
      </c>
      <c r="AC125" s="141" t="s">
        <v>712</v>
      </c>
      <c r="AD125" s="129" t="s">
        <v>712</v>
      </c>
      <c r="AE125" s="141" t="s">
        <v>712</v>
      </c>
      <c r="AF125" s="129">
        <v>0</v>
      </c>
      <c r="AG125" s="129">
        <v>0</v>
      </c>
      <c r="AH125" s="129">
        <v>3</v>
      </c>
      <c r="AI125" s="129" t="s">
        <v>712</v>
      </c>
      <c r="AJ125" s="159" t="s">
        <v>1011</v>
      </c>
      <c r="AK125" s="141" t="s">
        <v>712</v>
      </c>
      <c r="AL125" s="141" t="s">
        <v>712</v>
      </c>
      <c r="AM125" s="143"/>
      <c r="AN125" s="143" t="s">
        <v>705</v>
      </c>
      <c r="AO125" s="143"/>
      <c r="AP125" s="143"/>
      <c r="AQ125" s="143"/>
      <c r="AR125" s="143"/>
      <c r="AS125" s="143"/>
      <c r="AT125" s="143"/>
      <c r="AU125" s="143"/>
      <c r="AV125" s="143"/>
      <c r="AW125" s="144"/>
      <c r="AX125" s="145"/>
      <c r="AY125" s="138"/>
      <c r="AZ125" s="138"/>
      <c r="BA125" s="138"/>
      <c r="BB125" s="138"/>
      <c r="BC125" s="138"/>
      <c r="BD125" s="138"/>
      <c r="BE125" s="138"/>
    </row>
    <row r="126" spans="1:57" s="459" customFormat="1" ht="58">
      <c r="A126" s="451" t="s">
        <v>6</v>
      </c>
      <c r="B126" s="452">
        <v>124</v>
      </c>
      <c r="C126" s="450" t="s">
        <v>999</v>
      </c>
      <c r="D126" s="452" t="s">
        <v>3121</v>
      </c>
      <c r="E126" s="452" t="s">
        <v>1023</v>
      </c>
      <c r="F126" s="452" t="s">
        <v>1024</v>
      </c>
      <c r="G126" s="450" t="s">
        <v>703</v>
      </c>
      <c r="H126" s="452" t="s">
        <v>216</v>
      </c>
      <c r="I126" s="452" t="s">
        <v>1002</v>
      </c>
      <c r="J126" s="452" t="s">
        <v>711</v>
      </c>
      <c r="K126" s="452" t="s">
        <v>711</v>
      </c>
      <c r="L126" s="452" t="s">
        <v>712</v>
      </c>
      <c r="M126" s="452" t="s">
        <v>712</v>
      </c>
      <c r="N126" s="452">
        <v>100</v>
      </c>
      <c r="O126" s="452">
        <v>100</v>
      </c>
      <c r="P126" s="452" t="s">
        <v>712</v>
      </c>
      <c r="Q126" s="452">
        <v>8</v>
      </c>
      <c r="R126" s="452">
        <v>9</v>
      </c>
      <c r="S126" s="452">
        <v>8</v>
      </c>
      <c r="T126" s="452">
        <v>2</v>
      </c>
      <c r="U126" s="450" t="s">
        <v>1006</v>
      </c>
      <c r="V126" s="450" t="s">
        <v>1007</v>
      </c>
      <c r="W126" s="452">
        <v>500</v>
      </c>
      <c r="X126" s="450" t="s">
        <v>712</v>
      </c>
      <c r="Y126" s="452" t="s">
        <v>1008</v>
      </c>
      <c r="Z126" s="452" t="s">
        <v>194</v>
      </c>
      <c r="AA126" s="452">
        <v>1</v>
      </c>
      <c r="AB126" s="452" t="s">
        <v>712</v>
      </c>
      <c r="AC126" s="450" t="s">
        <v>712</v>
      </c>
      <c r="AD126" s="452" t="s">
        <v>712</v>
      </c>
      <c r="AE126" s="450" t="s">
        <v>712</v>
      </c>
      <c r="AF126" s="452">
        <v>0</v>
      </c>
      <c r="AG126" s="452">
        <v>0</v>
      </c>
      <c r="AH126" s="452">
        <v>3</v>
      </c>
      <c r="AI126" s="452" t="s">
        <v>712</v>
      </c>
      <c r="AJ126" s="455" t="s">
        <v>1011</v>
      </c>
      <c r="AK126" s="450" t="s">
        <v>712</v>
      </c>
      <c r="AL126" s="450" t="s">
        <v>991</v>
      </c>
      <c r="AM126" s="285" t="s">
        <v>705</v>
      </c>
      <c r="AN126" s="285" t="s">
        <v>705</v>
      </c>
      <c r="AO126" s="285"/>
      <c r="AP126" s="285"/>
      <c r="AQ126" s="285"/>
      <c r="AR126" s="285"/>
      <c r="AS126" s="285"/>
      <c r="AT126" s="285"/>
      <c r="AU126" s="285"/>
      <c r="AV126" s="285"/>
      <c r="AW126" s="456"/>
      <c r="AX126" s="457"/>
      <c r="AY126" s="458"/>
      <c r="AZ126" s="458"/>
      <c r="BA126" s="458"/>
      <c r="BB126" s="458"/>
      <c r="BC126" s="458"/>
      <c r="BD126" s="458"/>
      <c r="BE126" s="458"/>
    </row>
    <row r="127" spans="1:57" s="139" customFormat="1" ht="58">
      <c r="A127" s="140" t="s">
        <v>6</v>
      </c>
      <c r="B127" s="129">
        <v>125</v>
      </c>
      <c r="C127" s="141" t="s">
        <v>999</v>
      </c>
      <c r="D127" s="129" t="s">
        <v>3122</v>
      </c>
      <c r="E127" s="129" t="s">
        <v>2886</v>
      </c>
      <c r="F127" s="129" t="s">
        <v>2887</v>
      </c>
      <c r="G127" s="141" t="s">
        <v>684</v>
      </c>
      <c r="H127" s="129" t="s">
        <v>216</v>
      </c>
      <c r="I127" s="129" t="s">
        <v>1025</v>
      </c>
      <c r="J127" s="129" t="s">
        <v>724</v>
      </c>
      <c r="K127" s="129" t="s">
        <v>724</v>
      </c>
      <c r="L127" s="129" t="s">
        <v>725</v>
      </c>
      <c r="M127" s="129" t="s">
        <v>725</v>
      </c>
      <c r="N127" s="129">
        <v>100</v>
      </c>
      <c r="O127" s="129">
        <v>100</v>
      </c>
      <c r="P127" s="129" t="s">
        <v>725</v>
      </c>
      <c r="Q127" s="129">
        <v>8</v>
      </c>
      <c r="R127" s="129">
        <v>23</v>
      </c>
      <c r="S127" s="129">
        <v>22</v>
      </c>
      <c r="T127" s="129">
        <v>2</v>
      </c>
      <c r="U127" s="141" t="s">
        <v>884</v>
      </c>
      <c r="V127" s="141" t="s">
        <v>885</v>
      </c>
      <c r="W127" s="129">
        <v>500</v>
      </c>
      <c r="X127" s="141" t="s">
        <v>725</v>
      </c>
      <c r="Y127" s="129" t="s">
        <v>890</v>
      </c>
      <c r="Z127" s="129" t="s">
        <v>194</v>
      </c>
      <c r="AA127" s="129">
        <v>1</v>
      </c>
      <c r="AB127" s="129" t="s">
        <v>725</v>
      </c>
      <c r="AC127" s="141" t="s">
        <v>725</v>
      </c>
      <c r="AD127" s="129" t="s">
        <v>725</v>
      </c>
      <c r="AE127" s="141" t="s">
        <v>725</v>
      </c>
      <c r="AF127" s="129">
        <v>0</v>
      </c>
      <c r="AG127" s="129">
        <v>0</v>
      </c>
      <c r="AH127" s="129">
        <v>3</v>
      </c>
      <c r="AI127" s="129" t="s">
        <v>725</v>
      </c>
      <c r="AJ127" s="159" t="s">
        <v>1026</v>
      </c>
      <c r="AK127" s="141" t="s">
        <v>725</v>
      </c>
      <c r="AL127" s="141" t="s">
        <v>725</v>
      </c>
      <c r="AM127" s="143"/>
      <c r="AN127" s="143" t="s">
        <v>685</v>
      </c>
      <c r="AO127" s="143"/>
      <c r="AP127" s="143"/>
      <c r="AQ127" s="143"/>
      <c r="AR127" s="143"/>
      <c r="AS127" s="143"/>
      <c r="AT127" s="143"/>
      <c r="AU127" s="143"/>
      <c r="AV127" s="143"/>
      <c r="AW127" s="144"/>
      <c r="AX127" s="145"/>
      <c r="AY127" s="138"/>
      <c r="AZ127" s="138"/>
      <c r="BA127" s="138"/>
      <c r="BB127" s="138"/>
      <c r="BC127" s="138"/>
      <c r="BD127" s="138"/>
      <c r="BE127" s="138"/>
    </row>
    <row r="128" spans="1:57" s="139" customFormat="1" ht="58">
      <c r="A128" s="140" t="s">
        <v>6</v>
      </c>
      <c r="B128" s="129">
        <v>126</v>
      </c>
      <c r="C128" s="141" t="s">
        <v>1003</v>
      </c>
      <c r="D128" s="129" t="s">
        <v>3122</v>
      </c>
      <c r="E128" s="129" t="s">
        <v>2888</v>
      </c>
      <c r="F128" s="129" t="s">
        <v>2889</v>
      </c>
      <c r="G128" s="141" t="s">
        <v>684</v>
      </c>
      <c r="H128" s="129" t="s">
        <v>216</v>
      </c>
      <c r="I128" s="129" t="s">
        <v>1025</v>
      </c>
      <c r="J128" s="129" t="s">
        <v>724</v>
      </c>
      <c r="K128" s="129" t="s">
        <v>724</v>
      </c>
      <c r="L128" s="129" t="s">
        <v>725</v>
      </c>
      <c r="M128" s="129" t="s">
        <v>725</v>
      </c>
      <c r="N128" s="129">
        <v>100</v>
      </c>
      <c r="O128" s="129">
        <v>100</v>
      </c>
      <c r="P128" s="129" t="s">
        <v>725</v>
      </c>
      <c r="Q128" s="129">
        <v>8</v>
      </c>
      <c r="R128" s="129">
        <v>21</v>
      </c>
      <c r="S128" s="129">
        <v>20</v>
      </c>
      <c r="T128" s="129">
        <v>2</v>
      </c>
      <c r="U128" s="141" t="s">
        <v>884</v>
      </c>
      <c r="V128" s="141" t="s">
        <v>885</v>
      </c>
      <c r="W128" s="129">
        <v>500</v>
      </c>
      <c r="X128" s="141" t="s">
        <v>725</v>
      </c>
      <c r="Y128" s="129" t="s">
        <v>890</v>
      </c>
      <c r="Z128" s="129" t="s">
        <v>194</v>
      </c>
      <c r="AA128" s="129">
        <v>1</v>
      </c>
      <c r="AB128" s="129" t="s">
        <v>725</v>
      </c>
      <c r="AC128" s="141" t="s">
        <v>725</v>
      </c>
      <c r="AD128" s="129" t="s">
        <v>725</v>
      </c>
      <c r="AE128" s="141" t="s">
        <v>725</v>
      </c>
      <c r="AF128" s="129">
        <v>0</v>
      </c>
      <c r="AG128" s="129">
        <v>0</v>
      </c>
      <c r="AH128" s="129">
        <v>3</v>
      </c>
      <c r="AI128" s="129" t="s">
        <v>725</v>
      </c>
      <c r="AJ128" s="159" t="s">
        <v>1026</v>
      </c>
      <c r="AK128" s="141" t="s">
        <v>725</v>
      </c>
      <c r="AL128" s="141" t="s">
        <v>725</v>
      </c>
      <c r="AM128" s="143"/>
      <c r="AN128" s="143" t="s">
        <v>685</v>
      </c>
      <c r="AO128" s="143"/>
      <c r="AP128" s="143"/>
      <c r="AQ128" s="143"/>
      <c r="AR128" s="143"/>
      <c r="AS128" s="143"/>
      <c r="AT128" s="143"/>
      <c r="AU128" s="143"/>
      <c r="AV128" s="143"/>
      <c r="AW128" s="144"/>
      <c r="AX128" s="145"/>
      <c r="AY128" s="138"/>
      <c r="AZ128" s="138"/>
      <c r="BA128" s="138"/>
      <c r="BB128" s="138"/>
      <c r="BC128" s="138"/>
      <c r="BD128" s="138"/>
      <c r="BE128" s="138"/>
    </row>
    <row r="129" spans="1:57" s="459" customFormat="1" ht="58">
      <c r="A129" s="451" t="s">
        <v>6</v>
      </c>
      <c r="B129" s="452">
        <v>127</v>
      </c>
      <c r="C129" s="450" t="s">
        <v>1003</v>
      </c>
      <c r="D129" s="452" t="s">
        <v>3121</v>
      </c>
      <c r="E129" s="452" t="s">
        <v>1027</v>
      </c>
      <c r="F129" s="452" t="s">
        <v>1028</v>
      </c>
      <c r="G129" s="450" t="s">
        <v>684</v>
      </c>
      <c r="H129" s="452" t="s">
        <v>216</v>
      </c>
      <c r="I129" s="452" t="s">
        <v>1025</v>
      </c>
      <c r="J129" s="452" t="s">
        <v>724</v>
      </c>
      <c r="K129" s="452" t="s">
        <v>724</v>
      </c>
      <c r="L129" s="452" t="s">
        <v>725</v>
      </c>
      <c r="M129" s="452" t="s">
        <v>725</v>
      </c>
      <c r="N129" s="452">
        <v>100</v>
      </c>
      <c r="O129" s="452">
        <v>100</v>
      </c>
      <c r="P129" s="452" t="s">
        <v>725</v>
      </c>
      <c r="Q129" s="452">
        <v>8</v>
      </c>
      <c r="R129" s="452">
        <v>19</v>
      </c>
      <c r="S129" s="452">
        <v>18</v>
      </c>
      <c r="T129" s="452">
        <v>2</v>
      </c>
      <c r="U129" s="450" t="s">
        <v>884</v>
      </c>
      <c r="V129" s="450" t="s">
        <v>885</v>
      </c>
      <c r="W129" s="452">
        <v>500</v>
      </c>
      <c r="X129" s="450" t="s">
        <v>725</v>
      </c>
      <c r="Y129" s="452" t="s">
        <v>890</v>
      </c>
      <c r="Z129" s="452" t="s">
        <v>194</v>
      </c>
      <c r="AA129" s="452">
        <v>1</v>
      </c>
      <c r="AB129" s="452" t="s">
        <v>725</v>
      </c>
      <c r="AC129" s="450" t="s">
        <v>725</v>
      </c>
      <c r="AD129" s="452" t="s">
        <v>725</v>
      </c>
      <c r="AE129" s="450" t="s">
        <v>725</v>
      </c>
      <c r="AF129" s="452">
        <v>0</v>
      </c>
      <c r="AG129" s="452">
        <v>0</v>
      </c>
      <c r="AH129" s="452">
        <v>3</v>
      </c>
      <c r="AI129" s="452" t="s">
        <v>725</v>
      </c>
      <c r="AJ129" s="455" t="s">
        <v>1026</v>
      </c>
      <c r="AK129" s="450" t="s">
        <v>725</v>
      </c>
      <c r="AL129" s="450" t="s">
        <v>957</v>
      </c>
      <c r="AM129" s="285" t="s">
        <v>685</v>
      </c>
      <c r="AN129" s="285" t="s">
        <v>685</v>
      </c>
      <c r="AO129" s="285"/>
      <c r="AP129" s="285"/>
      <c r="AQ129" s="285"/>
      <c r="AR129" s="285"/>
      <c r="AS129" s="285"/>
      <c r="AT129" s="285"/>
      <c r="AU129" s="285"/>
      <c r="AV129" s="285"/>
      <c r="AW129" s="456"/>
      <c r="AX129" s="457"/>
      <c r="AY129" s="458"/>
      <c r="AZ129" s="458"/>
      <c r="BA129" s="458"/>
      <c r="BB129" s="458"/>
      <c r="BC129" s="458"/>
      <c r="BD129" s="458"/>
      <c r="BE129" s="458"/>
    </row>
    <row r="130" spans="1:57" s="139" customFormat="1" ht="58">
      <c r="A130" s="140" t="s">
        <v>6</v>
      </c>
      <c r="B130" s="129">
        <v>128</v>
      </c>
      <c r="C130" s="141" t="s">
        <v>1003</v>
      </c>
      <c r="D130" s="129" t="s">
        <v>3122</v>
      </c>
      <c r="E130" s="129" t="s">
        <v>1029</v>
      </c>
      <c r="F130" s="129" t="s">
        <v>1030</v>
      </c>
      <c r="G130" s="141" t="s">
        <v>684</v>
      </c>
      <c r="H130" s="129" t="s">
        <v>216</v>
      </c>
      <c r="I130" s="129" t="s">
        <v>1025</v>
      </c>
      <c r="J130" s="129" t="s">
        <v>724</v>
      </c>
      <c r="K130" s="129" t="s">
        <v>724</v>
      </c>
      <c r="L130" s="129" t="s">
        <v>725</v>
      </c>
      <c r="M130" s="129" t="s">
        <v>725</v>
      </c>
      <c r="N130" s="129">
        <v>100</v>
      </c>
      <c r="O130" s="129">
        <v>100</v>
      </c>
      <c r="P130" s="129" t="s">
        <v>725</v>
      </c>
      <c r="Q130" s="129">
        <v>8</v>
      </c>
      <c r="R130" s="129">
        <v>17</v>
      </c>
      <c r="S130" s="129">
        <v>16</v>
      </c>
      <c r="T130" s="129">
        <v>2</v>
      </c>
      <c r="U130" s="141" t="s">
        <v>884</v>
      </c>
      <c r="V130" s="141" t="s">
        <v>885</v>
      </c>
      <c r="W130" s="129">
        <v>500</v>
      </c>
      <c r="X130" s="141" t="s">
        <v>725</v>
      </c>
      <c r="Y130" s="129" t="s">
        <v>890</v>
      </c>
      <c r="Z130" s="129" t="s">
        <v>194</v>
      </c>
      <c r="AA130" s="129">
        <v>1</v>
      </c>
      <c r="AB130" s="129" t="s">
        <v>725</v>
      </c>
      <c r="AC130" s="141" t="s">
        <v>725</v>
      </c>
      <c r="AD130" s="129" t="s">
        <v>725</v>
      </c>
      <c r="AE130" s="141" t="s">
        <v>725</v>
      </c>
      <c r="AF130" s="129">
        <v>0</v>
      </c>
      <c r="AG130" s="129">
        <v>0</v>
      </c>
      <c r="AH130" s="129">
        <v>3</v>
      </c>
      <c r="AI130" s="129" t="s">
        <v>725</v>
      </c>
      <c r="AJ130" s="159" t="s">
        <v>1026</v>
      </c>
      <c r="AK130" s="141" t="s">
        <v>2824</v>
      </c>
      <c r="AL130" s="141" t="s">
        <v>725</v>
      </c>
      <c r="AM130" s="143"/>
      <c r="AN130" s="143" t="s">
        <v>685</v>
      </c>
      <c r="AO130" s="143"/>
      <c r="AP130" s="143"/>
      <c r="AQ130" s="143"/>
      <c r="AR130" s="143"/>
      <c r="AS130" s="143"/>
      <c r="AT130" s="143"/>
      <c r="AU130" s="143"/>
      <c r="AV130" s="143"/>
      <c r="AW130" s="144"/>
      <c r="AX130" s="145"/>
      <c r="AY130" s="138"/>
      <c r="AZ130" s="138"/>
      <c r="BA130" s="138"/>
      <c r="BB130" s="138"/>
      <c r="BC130" s="138"/>
      <c r="BD130" s="138"/>
      <c r="BE130" s="138"/>
    </row>
    <row r="131" spans="1:57" s="139" customFormat="1" ht="30">
      <c r="A131" s="140" t="s">
        <v>6</v>
      </c>
      <c r="B131" s="129">
        <v>129</v>
      </c>
      <c r="C131" s="141" t="s">
        <v>1003</v>
      </c>
      <c r="D131" s="129" t="s">
        <v>3122</v>
      </c>
      <c r="E131" s="129" t="s">
        <v>1031</v>
      </c>
      <c r="F131" s="129" t="s">
        <v>1032</v>
      </c>
      <c r="G131" s="141" t="s">
        <v>684</v>
      </c>
      <c r="H131" s="129" t="s">
        <v>216</v>
      </c>
      <c r="I131" s="129" t="s">
        <v>1025</v>
      </c>
      <c r="J131" s="129" t="s">
        <v>724</v>
      </c>
      <c r="K131" s="129" t="s">
        <v>724</v>
      </c>
      <c r="L131" s="129" t="s">
        <v>725</v>
      </c>
      <c r="M131" s="129" t="s">
        <v>725</v>
      </c>
      <c r="N131" s="129">
        <v>100</v>
      </c>
      <c r="O131" s="129">
        <v>100</v>
      </c>
      <c r="P131" s="129" t="s">
        <v>725</v>
      </c>
      <c r="Q131" s="129">
        <v>8</v>
      </c>
      <c r="R131" s="129">
        <v>31</v>
      </c>
      <c r="S131" s="129">
        <v>31</v>
      </c>
      <c r="T131" s="129">
        <v>1</v>
      </c>
      <c r="U131" s="141" t="s">
        <v>884</v>
      </c>
      <c r="V131" s="141" t="s">
        <v>885</v>
      </c>
      <c r="W131" s="129">
        <v>500</v>
      </c>
      <c r="X131" s="141" t="s">
        <v>725</v>
      </c>
      <c r="Y131" s="129" t="s">
        <v>890</v>
      </c>
      <c r="Z131" s="129" t="s">
        <v>194</v>
      </c>
      <c r="AA131" s="129">
        <v>1</v>
      </c>
      <c r="AB131" s="129" t="s">
        <v>725</v>
      </c>
      <c r="AC131" s="141" t="s">
        <v>725</v>
      </c>
      <c r="AD131" s="129" t="s">
        <v>725</v>
      </c>
      <c r="AE131" s="141" t="s">
        <v>725</v>
      </c>
      <c r="AF131" s="129">
        <v>0</v>
      </c>
      <c r="AG131" s="129">
        <v>0</v>
      </c>
      <c r="AH131" s="129">
        <v>1</v>
      </c>
      <c r="AI131" s="129" t="s">
        <v>725</v>
      </c>
      <c r="AJ131" s="159" t="s">
        <v>1033</v>
      </c>
      <c r="AK131" s="141" t="s">
        <v>725</v>
      </c>
      <c r="AL131" s="141" t="s">
        <v>725</v>
      </c>
      <c r="AM131" s="143"/>
      <c r="AN131" s="143" t="s">
        <v>685</v>
      </c>
      <c r="AO131" s="143"/>
      <c r="AP131" s="143"/>
      <c r="AQ131" s="143"/>
      <c r="AR131" s="143"/>
      <c r="AS131" s="143"/>
      <c r="AT131" s="143"/>
      <c r="AU131" s="143"/>
      <c r="AV131" s="143"/>
      <c r="AW131" s="144"/>
      <c r="AX131" s="145"/>
      <c r="AY131" s="138"/>
      <c r="AZ131" s="138"/>
      <c r="BA131" s="138"/>
      <c r="BB131" s="138"/>
      <c r="BC131" s="138"/>
      <c r="BD131" s="138"/>
      <c r="BE131" s="138"/>
    </row>
    <row r="132" spans="1:57" s="139" customFormat="1" ht="30">
      <c r="A132" s="140" t="s">
        <v>6</v>
      </c>
      <c r="B132" s="129">
        <v>130</v>
      </c>
      <c r="C132" s="141" t="s">
        <v>1003</v>
      </c>
      <c r="D132" s="129" t="s">
        <v>3122</v>
      </c>
      <c r="E132" s="129" t="s">
        <v>1034</v>
      </c>
      <c r="F132" s="129" t="s">
        <v>1035</v>
      </c>
      <c r="G132" s="141" t="s">
        <v>684</v>
      </c>
      <c r="H132" s="129" t="s">
        <v>216</v>
      </c>
      <c r="I132" s="129" t="s">
        <v>1025</v>
      </c>
      <c r="J132" s="129" t="s">
        <v>724</v>
      </c>
      <c r="K132" s="129" t="s">
        <v>724</v>
      </c>
      <c r="L132" s="129" t="s">
        <v>725</v>
      </c>
      <c r="M132" s="129" t="s">
        <v>725</v>
      </c>
      <c r="N132" s="129">
        <v>100</v>
      </c>
      <c r="O132" s="129">
        <v>100</v>
      </c>
      <c r="P132" s="129" t="s">
        <v>725</v>
      </c>
      <c r="Q132" s="129">
        <v>8</v>
      </c>
      <c r="R132" s="129">
        <v>30</v>
      </c>
      <c r="S132" s="129">
        <v>30</v>
      </c>
      <c r="T132" s="129">
        <v>1</v>
      </c>
      <c r="U132" s="141" t="s">
        <v>884</v>
      </c>
      <c r="V132" s="141" t="s">
        <v>885</v>
      </c>
      <c r="W132" s="129">
        <v>500</v>
      </c>
      <c r="X132" s="141" t="s">
        <v>725</v>
      </c>
      <c r="Y132" s="129" t="s">
        <v>890</v>
      </c>
      <c r="Z132" s="129" t="s">
        <v>194</v>
      </c>
      <c r="AA132" s="129">
        <v>1</v>
      </c>
      <c r="AB132" s="129" t="s">
        <v>725</v>
      </c>
      <c r="AC132" s="141" t="s">
        <v>725</v>
      </c>
      <c r="AD132" s="129" t="s">
        <v>725</v>
      </c>
      <c r="AE132" s="141" t="s">
        <v>725</v>
      </c>
      <c r="AF132" s="129">
        <v>0</v>
      </c>
      <c r="AG132" s="129">
        <v>0</v>
      </c>
      <c r="AH132" s="129">
        <v>1</v>
      </c>
      <c r="AI132" s="129" t="s">
        <v>725</v>
      </c>
      <c r="AJ132" s="159" t="s">
        <v>1033</v>
      </c>
      <c r="AK132" s="141" t="s">
        <v>725</v>
      </c>
      <c r="AL132" s="141" t="s">
        <v>725</v>
      </c>
      <c r="AM132" s="143"/>
      <c r="AN132" s="143" t="s">
        <v>685</v>
      </c>
      <c r="AO132" s="143"/>
      <c r="AP132" s="143"/>
      <c r="AQ132" s="143"/>
      <c r="AR132" s="143"/>
      <c r="AS132" s="143"/>
      <c r="AT132" s="143"/>
      <c r="AU132" s="143"/>
      <c r="AV132" s="143"/>
      <c r="AW132" s="144"/>
      <c r="AX132" s="145"/>
      <c r="AY132" s="138"/>
      <c r="AZ132" s="138"/>
      <c r="BA132" s="138"/>
      <c r="BB132" s="138"/>
      <c r="BC132" s="138"/>
      <c r="BD132" s="138"/>
      <c r="BE132" s="138"/>
    </row>
    <row r="133" spans="1:57" s="139" customFormat="1" ht="30">
      <c r="A133" s="140" t="s">
        <v>6</v>
      </c>
      <c r="B133" s="129">
        <v>131</v>
      </c>
      <c r="C133" s="141" t="s">
        <v>1003</v>
      </c>
      <c r="D133" s="129" t="s">
        <v>3122</v>
      </c>
      <c r="E133" s="129" t="s">
        <v>1036</v>
      </c>
      <c r="F133" s="129" t="s">
        <v>1037</v>
      </c>
      <c r="G133" s="141" t="s">
        <v>684</v>
      </c>
      <c r="H133" s="129" t="s">
        <v>216</v>
      </c>
      <c r="I133" s="129" t="s">
        <v>1025</v>
      </c>
      <c r="J133" s="129" t="s">
        <v>724</v>
      </c>
      <c r="K133" s="129" t="s">
        <v>724</v>
      </c>
      <c r="L133" s="129" t="s">
        <v>725</v>
      </c>
      <c r="M133" s="129" t="s">
        <v>725</v>
      </c>
      <c r="N133" s="129">
        <v>100</v>
      </c>
      <c r="O133" s="129">
        <v>100</v>
      </c>
      <c r="P133" s="129" t="s">
        <v>725</v>
      </c>
      <c r="Q133" s="129">
        <v>8</v>
      </c>
      <c r="R133" s="129">
        <v>29</v>
      </c>
      <c r="S133" s="129">
        <v>29</v>
      </c>
      <c r="T133" s="129">
        <v>1</v>
      </c>
      <c r="U133" s="141" t="s">
        <v>884</v>
      </c>
      <c r="V133" s="141" t="s">
        <v>885</v>
      </c>
      <c r="W133" s="129">
        <v>500</v>
      </c>
      <c r="X133" s="141" t="s">
        <v>725</v>
      </c>
      <c r="Y133" s="129" t="s">
        <v>890</v>
      </c>
      <c r="Z133" s="129" t="s">
        <v>194</v>
      </c>
      <c r="AA133" s="129">
        <v>1</v>
      </c>
      <c r="AB133" s="129" t="s">
        <v>725</v>
      </c>
      <c r="AC133" s="141" t="s">
        <v>725</v>
      </c>
      <c r="AD133" s="129" t="s">
        <v>725</v>
      </c>
      <c r="AE133" s="141" t="s">
        <v>725</v>
      </c>
      <c r="AF133" s="129">
        <v>0</v>
      </c>
      <c r="AG133" s="129">
        <v>0</v>
      </c>
      <c r="AH133" s="129">
        <v>1</v>
      </c>
      <c r="AI133" s="129" t="s">
        <v>725</v>
      </c>
      <c r="AJ133" s="159" t="s">
        <v>1033</v>
      </c>
      <c r="AK133" s="141" t="s">
        <v>725</v>
      </c>
      <c r="AL133" s="141" t="s">
        <v>725</v>
      </c>
      <c r="AM133" s="143"/>
      <c r="AN133" s="143" t="s">
        <v>685</v>
      </c>
      <c r="AO133" s="143"/>
      <c r="AP133" s="143"/>
      <c r="AQ133" s="143"/>
      <c r="AR133" s="143"/>
      <c r="AS133" s="143"/>
      <c r="AT133" s="143"/>
      <c r="AU133" s="143"/>
      <c r="AV133" s="143"/>
      <c r="AW133" s="144"/>
      <c r="AX133" s="145"/>
      <c r="AY133" s="138"/>
      <c r="AZ133" s="138"/>
      <c r="BA133" s="138"/>
      <c r="BB133" s="138"/>
      <c r="BC133" s="138"/>
      <c r="BD133" s="138"/>
      <c r="BE133" s="138"/>
    </row>
    <row r="134" spans="1:57" s="139" customFormat="1" ht="30">
      <c r="A134" s="140" t="s">
        <v>6</v>
      </c>
      <c r="B134" s="129">
        <v>132</v>
      </c>
      <c r="C134" s="141" t="s">
        <v>1003</v>
      </c>
      <c r="D134" s="129" t="s">
        <v>3122</v>
      </c>
      <c r="E134" s="129" t="s">
        <v>1038</v>
      </c>
      <c r="F134" s="129" t="s">
        <v>1039</v>
      </c>
      <c r="G134" s="141" t="s">
        <v>684</v>
      </c>
      <c r="H134" s="129" t="s">
        <v>216</v>
      </c>
      <c r="I134" s="129" t="s">
        <v>1025</v>
      </c>
      <c r="J134" s="129" t="s">
        <v>724</v>
      </c>
      <c r="K134" s="129" t="s">
        <v>724</v>
      </c>
      <c r="L134" s="129" t="s">
        <v>725</v>
      </c>
      <c r="M134" s="129" t="s">
        <v>725</v>
      </c>
      <c r="N134" s="129">
        <v>100</v>
      </c>
      <c r="O134" s="129">
        <v>100</v>
      </c>
      <c r="P134" s="129" t="s">
        <v>725</v>
      </c>
      <c r="Q134" s="129">
        <v>8</v>
      </c>
      <c r="R134" s="129">
        <v>28</v>
      </c>
      <c r="S134" s="129">
        <v>28</v>
      </c>
      <c r="T134" s="129">
        <v>1</v>
      </c>
      <c r="U134" s="141" t="s">
        <v>884</v>
      </c>
      <c r="V134" s="141" t="s">
        <v>885</v>
      </c>
      <c r="W134" s="129">
        <v>500</v>
      </c>
      <c r="X134" s="141" t="s">
        <v>725</v>
      </c>
      <c r="Y134" s="129" t="s">
        <v>890</v>
      </c>
      <c r="Z134" s="129" t="s">
        <v>194</v>
      </c>
      <c r="AA134" s="129">
        <v>1</v>
      </c>
      <c r="AB134" s="129" t="s">
        <v>725</v>
      </c>
      <c r="AC134" s="141" t="s">
        <v>725</v>
      </c>
      <c r="AD134" s="129" t="s">
        <v>725</v>
      </c>
      <c r="AE134" s="141" t="s">
        <v>725</v>
      </c>
      <c r="AF134" s="129">
        <v>0</v>
      </c>
      <c r="AG134" s="129">
        <v>0</v>
      </c>
      <c r="AH134" s="129">
        <v>1</v>
      </c>
      <c r="AI134" s="129" t="s">
        <v>725</v>
      </c>
      <c r="AJ134" s="159" t="s">
        <v>1033</v>
      </c>
      <c r="AK134" s="141" t="s">
        <v>725</v>
      </c>
      <c r="AL134" s="141" t="s">
        <v>725</v>
      </c>
      <c r="AM134" s="143"/>
      <c r="AN134" s="143" t="s">
        <v>685</v>
      </c>
      <c r="AO134" s="143"/>
      <c r="AP134" s="143"/>
      <c r="AQ134" s="143"/>
      <c r="AR134" s="143"/>
      <c r="AS134" s="143"/>
      <c r="AT134" s="143"/>
      <c r="AU134" s="143"/>
      <c r="AV134" s="143"/>
      <c r="AW134" s="144"/>
      <c r="AX134" s="145"/>
      <c r="AY134" s="138"/>
      <c r="AZ134" s="138"/>
      <c r="BA134" s="138"/>
      <c r="BB134" s="138"/>
      <c r="BC134" s="138"/>
      <c r="BD134" s="138"/>
      <c r="BE134" s="138"/>
    </row>
    <row r="135" spans="1:57" s="139" customFormat="1" ht="30">
      <c r="A135" s="140" t="s">
        <v>6</v>
      </c>
      <c r="B135" s="129">
        <v>133</v>
      </c>
      <c r="C135" s="141" t="s">
        <v>1003</v>
      </c>
      <c r="D135" s="129" t="s">
        <v>3122</v>
      </c>
      <c r="E135" s="129" t="s">
        <v>1040</v>
      </c>
      <c r="F135" s="129" t="s">
        <v>1041</v>
      </c>
      <c r="G135" s="141" t="s">
        <v>684</v>
      </c>
      <c r="H135" s="129" t="s">
        <v>216</v>
      </c>
      <c r="I135" s="129" t="s">
        <v>1025</v>
      </c>
      <c r="J135" s="129" t="s">
        <v>724</v>
      </c>
      <c r="K135" s="129" t="s">
        <v>724</v>
      </c>
      <c r="L135" s="129" t="s">
        <v>725</v>
      </c>
      <c r="M135" s="129" t="s">
        <v>725</v>
      </c>
      <c r="N135" s="129">
        <v>100</v>
      </c>
      <c r="O135" s="129">
        <v>100</v>
      </c>
      <c r="P135" s="129" t="s">
        <v>725</v>
      </c>
      <c r="Q135" s="129">
        <v>8</v>
      </c>
      <c r="R135" s="129">
        <v>27</v>
      </c>
      <c r="S135" s="129">
        <v>27</v>
      </c>
      <c r="T135" s="129">
        <v>1</v>
      </c>
      <c r="U135" s="141" t="s">
        <v>884</v>
      </c>
      <c r="V135" s="141" t="s">
        <v>885</v>
      </c>
      <c r="W135" s="129">
        <v>500</v>
      </c>
      <c r="X135" s="141" t="s">
        <v>725</v>
      </c>
      <c r="Y135" s="129" t="s">
        <v>890</v>
      </c>
      <c r="Z135" s="129" t="s">
        <v>194</v>
      </c>
      <c r="AA135" s="129">
        <v>1</v>
      </c>
      <c r="AB135" s="129" t="s">
        <v>725</v>
      </c>
      <c r="AC135" s="141" t="s">
        <v>725</v>
      </c>
      <c r="AD135" s="129" t="s">
        <v>725</v>
      </c>
      <c r="AE135" s="141" t="s">
        <v>725</v>
      </c>
      <c r="AF135" s="129">
        <v>0</v>
      </c>
      <c r="AG135" s="129">
        <v>0</v>
      </c>
      <c r="AH135" s="129">
        <v>1</v>
      </c>
      <c r="AI135" s="129" t="s">
        <v>725</v>
      </c>
      <c r="AJ135" s="159" t="s">
        <v>1033</v>
      </c>
      <c r="AK135" s="141" t="s">
        <v>725</v>
      </c>
      <c r="AL135" s="141" t="s">
        <v>725</v>
      </c>
      <c r="AM135" s="143"/>
      <c r="AN135" s="143" t="s">
        <v>685</v>
      </c>
      <c r="AO135" s="143"/>
      <c r="AP135" s="143"/>
      <c r="AQ135" s="143"/>
      <c r="AR135" s="143"/>
      <c r="AS135" s="143"/>
      <c r="AT135" s="143"/>
      <c r="AU135" s="143"/>
      <c r="AV135" s="143"/>
      <c r="AW135" s="144"/>
      <c r="AX135" s="145"/>
      <c r="AY135" s="138"/>
      <c r="AZ135" s="138"/>
      <c r="BA135" s="138"/>
      <c r="BB135" s="138"/>
      <c r="BC135" s="138"/>
      <c r="BD135" s="138"/>
      <c r="BE135" s="138"/>
    </row>
    <row r="136" spans="1:57" s="139" customFormat="1" ht="30">
      <c r="A136" s="140" t="s">
        <v>6</v>
      </c>
      <c r="B136" s="129">
        <v>134</v>
      </c>
      <c r="C136" s="141" t="s">
        <v>1003</v>
      </c>
      <c r="D136" s="129" t="s">
        <v>3122</v>
      </c>
      <c r="E136" s="129" t="s">
        <v>1042</v>
      </c>
      <c r="F136" s="129" t="s">
        <v>1043</v>
      </c>
      <c r="G136" s="141" t="s">
        <v>684</v>
      </c>
      <c r="H136" s="129" t="s">
        <v>216</v>
      </c>
      <c r="I136" s="129" t="s">
        <v>1025</v>
      </c>
      <c r="J136" s="129" t="s">
        <v>724</v>
      </c>
      <c r="K136" s="129" t="s">
        <v>724</v>
      </c>
      <c r="L136" s="129" t="s">
        <v>725</v>
      </c>
      <c r="M136" s="129" t="s">
        <v>725</v>
      </c>
      <c r="N136" s="129">
        <v>100</v>
      </c>
      <c r="O136" s="129">
        <v>100</v>
      </c>
      <c r="P136" s="129" t="s">
        <v>725</v>
      </c>
      <c r="Q136" s="129">
        <v>8</v>
      </c>
      <c r="R136" s="129">
        <v>26</v>
      </c>
      <c r="S136" s="129">
        <v>26</v>
      </c>
      <c r="T136" s="129">
        <v>1</v>
      </c>
      <c r="U136" s="141" t="s">
        <v>884</v>
      </c>
      <c r="V136" s="141" t="s">
        <v>885</v>
      </c>
      <c r="W136" s="129">
        <v>500</v>
      </c>
      <c r="X136" s="141" t="s">
        <v>725</v>
      </c>
      <c r="Y136" s="129" t="s">
        <v>890</v>
      </c>
      <c r="Z136" s="129" t="s">
        <v>194</v>
      </c>
      <c r="AA136" s="129">
        <v>1</v>
      </c>
      <c r="AB136" s="129" t="s">
        <v>725</v>
      </c>
      <c r="AC136" s="141" t="s">
        <v>725</v>
      </c>
      <c r="AD136" s="129" t="s">
        <v>725</v>
      </c>
      <c r="AE136" s="141" t="s">
        <v>725</v>
      </c>
      <c r="AF136" s="129">
        <v>0</v>
      </c>
      <c r="AG136" s="129">
        <v>0</v>
      </c>
      <c r="AH136" s="129">
        <v>1</v>
      </c>
      <c r="AI136" s="129" t="s">
        <v>725</v>
      </c>
      <c r="AJ136" s="159" t="s">
        <v>1033</v>
      </c>
      <c r="AK136" s="141" t="s">
        <v>725</v>
      </c>
      <c r="AL136" s="141" t="s">
        <v>725</v>
      </c>
      <c r="AM136" s="143"/>
      <c r="AN136" s="143" t="s">
        <v>685</v>
      </c>
      <c r="AO136" s="143"/>
      <c r="AP136" s="143"/>
      <c r="AQ136" s="143"/>
      <c r="AR136" s="143"/>
      <c r="AS136" s="143"/>
      <c r="AT136" s="143"/>
      <c r="AU136" s="143"/>
      <c r="AV136" s="143"/>
      <c r="AW136" s="144"/>
      <c r="AX136" s="145"/>
      <c r="AY136" s="138"/>
      <c r="AZ136" s="138"/>
      <c r="BA136" s="138"/>
      <c r="BB136" s="138"/>
      <c r="BC136" s="138"/>
      <c r="BD136" s="138"/>
      <c r="BE136" s="138"/>
    </row>
    <row r="137" spans="1:57" s="139" customFormat="1" ht="30">
      <c r="A137" s="140" t="s">
        <v>6</v>
      </c>
      <c r="B137" s="129">
        <v>135</v>
      </c>
      <c r="C137" s="141" t="s">
        <v>1003</v>
      </c>
      <c r="D137" s="129" t="s">
        <v>3122</v>
      </c>
      <c r="E137" s="129" t="s">
        <v>1044</v>
      </c>
      <c r="F137" s="129" t="s">
        <v>1045</v>
      </c>
      <c r="G137" s="141" t="s">
        <v>684</v>
      </c>
      <c r="H137" s="129" t="s">
        <v>216</v>
      </c>
      <c r="I137" s="129" t="s">
        <v>1025</v>
      </c>
      <c r="J137" s="129" t="s">
        <v>724</v>
      </c>
      <c r="K137" s="129" t="s">
        <v>724</v>
      </c>
      <c r="L137" s="129" t="s">
        <v>725</v>
      </c>
      <c r="M137" s="129" t="s">
        <v>725</v>
      </c>
      <c r="N137" s="129">
        <v>100</v>
      </c>
      <c r="O137" s="129">
        <v>100</v>
      </c>
      <c r="P137" s="129" t="s">
        <v>725</v>
      </c>
      <c r="Q137" s="129">
        <v>8</v>
      </c>
      <c r="R137" s="129">
        <v>25</v>
      </c>
      <c r="S137" s="129">
        <v>25</v>
      </c>
      <c r="T137" s="129">
        <v>1</v>
      </c>
      <c r="U137" s="141" t="s">
        <v>884</v>
      </c>
      <c r="V137" s="141" t="s">
        <v>885</v>
      </c>
      <c r="W137" s="129">
        <v>500</v>
      </c>
      <c r="X137" s="141" t="s">
        <v>725</v>
      </c>
      <c r="Y137" s="129" t="s">
        <v>890</v>
      </c>
      <c r="Z137" s="129" t="s">
        <v>194</v>
      </c>
      <c r="AA137" s="129">
        <v>1</v>
      </c>
      <c r="AB137" s="129" t="s">
        <v>725</v>
      </c>
      <c r="AC137" s="141" t="s">
        <v>725</v>
      </c>
      <c r="AD137" s="129" t="s">
        <v>725</v>
      </c>
      <c r="AE137" s="141" t="s">
        <v>725</v>
      </c>
      <c r="AF137" s="129">
        <v>0</v>
      </c>
      <c r="AG137" s="129">
        <v>0</v>
      </c>
      <c r="AH137" s="129">
        <v>1</v>
      </c>
      <c r="AI137" s="129" t="s">
        <v>725</v>
      </c>
      <c r="AJ137" s="159" t="s">
        <v>1033</v>
      </c>
      <c r="AK137" s="141" t="s">
        <v>725</v>
      </c>
      <c r="AL137" s="141" t="s">
        <v>725</v>
      </c>
      <c r="AM137" s="143"/>
      <c r="AN137" s="143" t="s">
        <v>685</v>
      </c>
      <c r="AO137" s="143"/>
      <c r="AP137" s="143"/>
      <c r="AQ137" s="143"/>
      <c r="AR137" s="143"/>
      <c r="AS137" s="143"/>
      <c r="AT137" s="143"/>
      <c r="AU137" s="143"/>
      <c r="AV137" s="143"/>
      <c r="AW137" s="144"/>
      <c r="AX137" s="145"/>
      <c r="AY137" s="138"/>
      <c r="AZ137" s="138"/>
      <c r="BA137" s="138"/>
      <c r="BB137" s="138"/>
      <c r="BC137" s="138"/>
      <c r="BD137" s="138"/>
      <c r="BE137" s="138"/>
    </row>
    <row r="138" spans="1:57" s="139" customFormat="1" ht="30">
      <c r="A138" s="140" t="s">
        <v>6</v>
      </c>
      <c r="B138" s="129">
        <v>136</v>
      </c>
      <c r="C138" s="141" t="s">
        <v>1003</v>
      </c>
      <c r="D138" s="129" t="s">
        <v>3122</v>
      </c>
      <c r="E138" s="129" t="s">
        <v>1046</v>
      </c>
      <c r="F138" s="129" t="s">
        <v>1047</v>
      </c>
      <c r="G138" s="141" t="s">
        <v>684</v>
      </c>
      <c r="H138" s="129" t="s">
        <v>216</v>
      </c>
      <c r="I138" s="129" t="s">
        <v>1025</v>
      </c>
      <c r="J138" s="129" t="s">
        <v>724</v>
      </c>
      <c r="K138" s="129" t="s">
        <v>724</v>
      </c>
      <c r="L138" s="129" t="s">
        <v>725</v>
      </c>
      <c r="M138" s="129" t="s">
        <v>725</v>
      </c>
      <c r="N138" s="129">
        <v>100</v>
      </c>
      <c r="O138" s="129">
        <v>100</v>
      </c>
      <c r="P138" s="129" t="s">
        <v>725</v>
      </c>
      <c r="Q138" s="129">
        <v>8</v>
      </c>
      <c r="R138" s="129">
        <v>24</v>
      </c>
      <c r="S138" s="129">
        <v>24</v>
      </c>
      <c r="T138" s="129">
        <v>1</v>
      </c>
      <c r="U138" s="141" t="s">
        <v>884</v>
      </c>
      <c r="V138" s="141" t="s">
        <v>885</v>
      </c>
      <c r="W138" s="129">
        <v>500</v>
      </c>
      <c r="X138" s="141" t="s">
        <v>725</v>
      </c>
      <c r="Y138" s="129" t="s">
        <v>890</v>
      </c>
      <c r="Z138" s="129" t="s">
        <v>194</v>
      </c>
      <c r="AA138" s="129">
        <v>1</v>
      </c>
      <c r="AB138" s="129" t="s">
        <v>725</v>
      </c>
      <c r="AC138" s="141" t="s">
        <v>725</v>
      </c>
      <c r="AD138" s="129" t="s">
        <v>725</v>
      </c>
      <c r="AE138" s="141" t="s">
        <v>725</v>
      </c>
      <c r="AF138" s="129">
        <v>0</v>
      </c>
      <c r="AG138" s="129">
        <v>0</v>
      </c>
      <c r="AH138" s="129">
        <v>1</v>
      </c>
      <c r="AI138" s="129" t="s">
        <v>725</v>
      </c>
      <c r="AJ138" s="159" t="s">
        <v>1033</v>
      </c>
      <c r="AK138" s="141" t="s">
        <v>725</v>
      </c>
      <c r="AL138" s="141" t="s">
        <v>725</v>
      </c>
      <c r="AM138" s="143"/>
      <c r="AN138" s="143" t="s">
        <v>685</v>
      </c>
      <c r="AO138" s="143"/>
      <c r="AP138" s="143"/>
      <c r="AQ138" s="143"/>
      <c r="AR138" s="143"/>
      <c r="AS138" s="143"/>
      <c r="AT138" s="143"/>
      <c r="AU138" s="143"/>
      <c r="AV138" s="143"/>
      <c r="AW138" s="144"/>
      <c r="AX138" s="145"/>
      <c r="AY138" s="138"/>
      <c r="AZ138" s="138"/>
      <c r="BA138" s="138"/>
      <c r="BB138" s="138"/>
      <c r="BC138" s="138"/>
      <c r="BD138" s="138"/>
      <c r="BE138" s="138"/>
    </row>
    <row r="139" spans="1:57" s="139" customFormat="1" ht="30">
      <c r="A139" s="140" t="s">
        <v>6</v>
      </c>
      <c r="B139" s="129">
        <v>137</v>
      </c>
      <c r="C139" s="141" t="s">
        <v>1003</v>
      </c>
      <c r="D139" s="129" t="s">
        <v>3122</v>
      </c>
      <c r="E139" s="129" t="s">
        <v>1048</v>
      </c>
      <c r="F139" s="129" t="s">
        <v>1049</v>
      </c>
      <c r="G139" s="141" t="s">
        <v>684</v>
      </c>
      <c r="H139" s="129" t="s">
        <v>216</v>
      </c>
      <c r="I139" s="129" t="s">
        <v>1025</v>
      </c>
      <c r="J139" s="129" t="s">
        <v>724</v>
      </c>
      <c r="K139" s="129" t="s">
        <v>724</v>
      </c>
      <c r="L139" s="129" t="s">
        <v>725</v>
      </c>
      <c r="M139" s="129" t="s">
        <v>725</v>
      </c>
      <c r="N139" s="129">
        <v>100</v>
      </c>
      <c r="O139" s="129">
        <v>100</v>
      </c>
      <c r="P139" s="129" t="s">
        <v>725</v>
      </c>
      <c r="Q139" s="129">
        <v>8</v>
      </c>
      <c r="R139" s="129">
        <v>39</v>
      </c>
      <c r="S139" s="129">
        <v>39</v>
      </c>
      <c r="T139" s="129">
        <v>1</v>
      </c>
      <c r="U139" s="141" t="s">
        <v>884</v>
      </c>
      <c r="V139" s="141" t="s">
        <v>885</v>
      </c>
      <c r="W139" s="129">
        <v>500</v>
      </c>
      <c r="X139" s="141" t="s">
        <v>725</v>
      </c>
      <c r="Y139" s="129" t="s">
        <v>890</v>
      </c>
      <c r="Z139" s="129" t="s">
        <v>194</v>
      </c>
      <c r="AA139" s="129">
        <v>1</v>
      </c>
      <c r="AB139" s="129" t="s">
        <v>725</v>
      </c>
      <c r="AC139" s="141" t="s">
        <v>725</v>
      </c>
      <c r="AD139" s="129" t="s">
        <v>725</v>
      </c>
      <c r="AE139" s="141" t="s">
        <v>725</v>
      </c>
      <c r="AF139" s="129">
        <v>0</v>
      </c>
      <c r="AG139" s="129">
        <v>0</v>
      </c>
      <c r="AH139" s="129">
        <v>1</v>
      </c>
      <c r="AI139" s="129" t="s">
        <v>725</v>
      </c>
      <c r="AJ139" s="159" t="s">
        <v>1033</v>
      </c>
      <c r="AK139" s="141" t="s">
        <v>725</v>
      </c>
      <c r="AL139" s="141" t="s">
        <v>725</v>
      </c>
      <c r="AM139" s="143"/>
      <c r="AN139" s="143" t="s">
        <v>685</v>
      </c>
      <c r="AO139" s="143"/>
      <c r="AP139" s="143"/>
      <c r="AQ139" s="143"/>
      <c r="AR139" s="143"/>
      <c r="AS139" s="143"/>
      <c r="AT139" s="143"/>
      <c r="AU139" s="143"/>
      <c r="AV139" s="143"/>
      <c r="AW139" s="144"/>
      <c r="AX139" s="145"/>
      <c r="AY139" s="138"/>
      <c r="AZ139" s="138"/>
      <c r="BA139" s="138"/>
      <c r="BB139" s="138"/>
      <c r="BC139" s="138"/>
      <c r="BD139" s="138"/>
      <c r="BE139" s="138"/>
    </row>
    <row r="140" spans="1:57" s="208" customFormat="1" ht="30">
      <c r="A140" s="204" t="s">
        <v>2904</v>
      </c>
      <c r="B140" s="129">
        <v>138</v>
      </c>
      <c r="C140" s="141" t="s">
        <v>2905</v>
      </c>
      <c r="D140" s="129"/>
      <c r="E140" s="141" t="s">
        <v>2906</v>
      </c>
      <c r="F140" s="129" t="s">
        <v>2907</v>
      </c>
      <c r="G140" s="141"/>
      <c r="H140" s="129" t="s">
        <v>2897</v>
      </c>
      <c r="I140" s="129" t="s">
        <v>2908</v>
      </c>
      <c r="J140" s="129" t="s">
        <v>2909</v>
      </c>
      <c r="K140" s="129" t="s">
        <v>2909</v>
      </c>
      <c r="L140" s="129" t="s">
        <v>2910</v>
      </c>
      <c r="M140" s="129" t="s">
        <v>2910</v>
      </c>
      <c r="N140" s="129">
        <v>100</v>
      </c>
      <c r="O140" s="129">
        <v>100</v>
      </c>
      <c r="P140" s="129" t="s">
        <v>2910</v>
      </c>
      <c r="Q140" s="129">
        <v>8</v>
      </c>
      <c r="R140" s="129">
        <v>38</v>
      </c>
      <c r="S140" s="129">
        <v>38</v>
      </c>
      <c r="T140" s="129">
        <v>1</v>
      </c>
      <c r="U140" s="141" t="s">
        <v>2838</v>
      </c>
      <c r="V140" s="141" t="s">
        <v>2839</v>
      </c>
      <c r="W140" s="129">
        <v>500</v>
      </c>
      <c r="X140" s="141" t="s">
        <v>2910</v>
      </c>
      <c r="Y140" s="129" t="s">
        <v>2840</v>
      </c>
      <c r="Z140" s="129" t="s">
        <v>2895</v>
      </c>
      <c r="AA140" s="129">
        <v>1</v>
      </c>
      <c r="AB140" s="129" t="s">
        <v>2910</v>
      </c>
      <c r="AC140" s="141" t="s">
        <v>2910</v>
      </c>
      <c r="AD140" s="129" t="s">
        <v>2910</v>
      </c>
      <c r="AE140" s="141" t="s">
        <v>2910</v>
      </c>
      <c r="AF140" s="129">
        <v>0</v>
      </c>
      <c r="AG140" s="129">
        <v>0</v>
      </c>
      <c r="AH140" s="129">
        <v>1</v>
      </c>
      <c r="AI140" s="129" t="s">
        <v>2910</v>
      </c>
      <c r="AJ140" s="159" t="s">
        <v>2843</v>
      </c>
      <c r="AK140" s="141" t="s">
        <v>2910</v>
      </c>
      <c r="AL140" s="141" t="s">
        <v>193</v>
      </c>
      <c r="AM140" s="141"/>
      <c r="AN140" s="141"/>
      <c r="AO140" s="141"/>
      <c r="AP140" s="141"/>
      <c r="AQ140" s="141"/>
      <c r="AR140" s="141"/>
      <c r="AS140" s="141"/>
      <c r="AT140" s="141"/>
      <c r="AU140" s="141"/>
      <c r="AV140" s="141"/>
      <c r="AW140" s="205"/>
      <c r="AX140" s="206"/>
      <c r="AY140" s="207"/>
      <c r="AZ140" s="207"/>
      <c r="BA140" s="207"/>
      <c r="BB140" s="207"/>
      <c r="BC140" s="207"/>
      <c r="BD140" s="207"/>
      <c r="BE140" s="207"/>
    </row>
    <row r="141" spans="1:57" s="139" customFormat="1" ht="30">
      <c r="A141" s="140" t="s">
        <v>6</v>
      </c>
      <c r="B141" s="129">
        <v>139</v>
      </c>
      <c r="C141" s="141" t="s">
        <v>1003</v>
      </c>
      <c r="D141" s="129" t="s">
        <v>3122</v>
      </c>
      <c r="E141" s="129" t="s">
        <v>1050</v>
      </c>
      <c r="F141" s="129" t="s">
        <v>1051</v>
      </c>
      <c r="G141" s="141" t="s">
        <v>684</v>
      </c>
      <c r="H141" s="129" t="s">
        <v>216</v>
      </c>
      <c r="I141" s="129" t="s">
        <v>1025</v>
      </c>
      <c r="J141" s="129" t="s">
        <v>724</v>
      </c>
      <c r="K141" s="129" t="s">
        <v>724</v>
      </c>
      <c r="L141" s="129" t="s">
        <v>725</v>
      </c>
      <c r="M141" s="129" t="s">
        <v>725</v>
      </c>
      <c r="N141" s="129">
        <v>100</v>
      </c>
      <c r="O141" s="129">
        <v>100</v>
      </c>
      <c r="P141" s="129" t="s">
        <v>725</v>
      </c>
      <c r="Q141" s="129">
        <v>8</v>
      </c>
      <c r="R141" s="129">
        <v>37</v>
      </c>
      <c r="S141" s="129">
        <v>37</v>
      </c>
      <c r="T141" s="129">
        <v>1</v>
      </c>
      <c r="U141" s="141" t="s">
        <v>884</v>
      </c>
      <c r="V141" s="141" t="s">
        <v>885</v>
      </c>
      <c r="W141" s="129">
        <v>500</v>
      </c>
      <c r="X141" s="141" t="s">
        <v>725</v>
      </c>
      <c r="Y141" s="129" t="s">
        <v>890</v>
      </c>
      <c r="Z141" s="129" t="s">
        <v>194</v>
      </c>
      <c r="AA141" s="129">
        <v>1</v>
      </c>
      <c r="AB141" s="129" t="s">
        <v>725</v>
      </c>
      <c r="AC141" s="141" t="s">
        <v>725</v>
      </c>
      <c r="AD141" s="129" t="s">
        <v>725</v>
      </c>
      <c r="AE141" s="141" t="s">
        <v>725</v>
      </c>
      <c r="AF141" s="129">
        <v>0</v>
      </c>
      <c r="AG141" s="129">
        <v>0</v>
      </c>
      <c r="AH141" s="129">
        <v>1</v>
      </c>
      <c r="AI141" s="129" t="s">
        <v>725</v>
      </c>
      <c r="AJ141" s="159" t="s">
        <v>1033</v>
      </c>
      <c r="AK141" s="141" t="s">
        <v>725</v>
      </c>
      <c r="AL141" s="141" t="s">
        <v>193</v>
      </c>
      <c r="AM141" s="143"/>
      <c r="AN141" s="143" t="s">
        <v>685</v>
      </c>
      <c r="AO141" s="143"/>
      <c r="AP141" s="143"/>
      <c r="AQ141" s="143"/>
      <c r="AR141" s="143"/>
      <c r="AS141" s="143"/>
      <c r="AT141" s="143"/>
      <c r="AU141" s="143"/>
      <c r="AV141" s="143"/>
      <c r="AW141" s="144"/>
      <c r="AX141" s="145"/>
      <c r="AY141" s="138"/>
      <c r="AZ141" s="138"/>
      <c r="BA141" s="138"/>
      <c r="BB141" s="138"/>
      <c r="BC141" s="138"/>
      <c r="BD141" s="138"/>
      <c r="BE141" s="138"/>
    </row>
    <row r="142" spans="1:57" s="139" customFormat="1" ht="30">
      <c r="A142" s="140" t="s">
        <v>6</v>
      </c>
      <c r="B142" s="129">
        <v>140</v>
      </c>
      <c r="C142" s="141" t="s">
        <v>1003</v>
      </c>
      <c r="D142" s="129" t="s">
        <v>3122</v>
      </c>
      <c r="E142" s="143" t="s">
        <v>1052</v>
      </c>
      <c r="F142" s="129" t="s">
        <v>2896</v>
      </c>
      <c r="G142" s="141" t="s">
        <v>684</v>
      </c>
      <c r="H142" s="129" t="s">
        <v>216</v>
      </c>
      <c r="I142" s="129" t="s">
        <v>1025</v>
      </c>
      <c r="J142" s="129" t="s">
        <v>724</v>
      </c>
      <c r="K142" s="129" t="s">
        <v>724</v>
      </c>
      <c r="L142" s="129" t="s">
        <v>725</v>
      </c>
      <c r="M142" s="129" t="s">
        <v>725</v>
      </c>
      <c r="N142" s="129">
        <v>100</v>
      </c>
      <c r="O142" s="129">
        <v>100</v>
      </c>
      <c r="P142" s="129" t="s">
        <v>725</v>
      </c>
      <c r="Q142" s="129">
        <v>8</v>
      </c>
      <c r="R142" s="129">
        <v>36</v>
      </c>
      <c r="S142" s="129">
        <v>36</v>
      </c>
      <c r="T142" s="129">
        <v>1</v>
      </c>
      <c r="U142" s="141" t="s">
        <v>884</v>
      </c>
      <c r="V142" s="141" t="s">
        <v>885</v>
      </c>
      <c r="W142" s="129">
        <v>500</v>
      </c>
      <c r="X142" s="141" t="s">
        <v>725</v>
      </c>
      <c r="Y142" s="129" t="s">
        <v>890</v>
      </c>
      <c r="Z142" s="129" t="s">
        <v>194</v>
      </c>
      <c r="AA142" s="129">
        <v>1</v>
      </c>
      <c r="AB142" s="129" t="s">
        <v>725</v>
      </c>
      <c r="AC142" s="141" t="s">
        <v>725</v>
      </c>
      <c r="AD142" s="129" t="s">
        <v>725</v>
      </c>
      <c r="AE142" s="141" t="s">
        <v>725</v>
      </c>
      <c r="AF142" s="129">
        <v>0</v>
      </c>
      <c r="AG142" s="129">
        <v>0</v>
      </c>
      <c r="AH142" s="129">
        <v>1</v>
      </c>
      <c r="AI142" s="129" t="s">
        <v>725</v>
      </c>
      <c r="AJ142" s="159" t="s">
        <v>1053</v>
      </c>
      <c r="AK142" s="141" t="s">
        <v>725</v>
      </c>
      <c r="AL142" s="141" t="s">
        <v>725</v>
      </c>
      <c r="AM142" s="143"/>
      <c r="AN142" s="143" t="s">
        <v>685</v>
      </c>
      <c r="AO142" s="143"/>
      <c r="AP142" s="143"/>
      <c r="AQ142" s="143"/>
      <c r="AR142" s="143"/>
      <c r="AS142" s="143"/>
      <c r="AT142" s="143"/>
      <c r="AU142" s="143"/>
      <c r="AV142" s="143"/>
      <c r="AW142" s="144"/>
      <c r="AX142" s="145"/>
      <c r="AY142" s="138"/>
      <c r="AZ142" s="138"/>
      <c r="BA142" s="138"/>
      <c r="BB142" s="138"/>
      <c r="BC142" s="138"/>
      <c r="BD142" s="138"/>
      <c r="BE142" s="138"/>
    </row>
    <row r="143" spans="1:57" s="139" customFormat="1" ht="30">
      <c r="A143" s="140" t="s">
        <v>6</v>
      </c>
      <c r="B143" s="129">
        <v>141</v>
      </c>
      <c r="C143" s="141" t="s">
        <v>1003</v>
      </c>
      <c r="D143" s="129" t="s">
        <v>3122</v>
      </c>
      <c r="E143" s="143" t="s">
        <v>1054</v>
      </c>
      <c r="F143" s="129" t="s">
        <v>1055</v>
      </c>
      <c r="G143" s="141" t="s">
        <v>684</v>
      </c>
      <c r="H143" s="129" t="s">
        <v>216</v>
      </c>
      <c r="I143" s="129" t="s">
        <v>1025</v>
      </c>
      <c r="J143" s="129" t="s">
        <v>724</v>
      </c>
      <c r="K143" s="129" t="s">
        <v>724</v>
      </c>
      <c r="L143" s="129" t="s">
        <v>725</v>
      </c>
      <c r="M143" s="129" t="s">
        <v>725</v>
      </c>
      <c r="N143" s="129">
        <v>100</v>
      </c>
      <c r="O143" s="129">
        <v>100</v>
      </c>
      <c r="P143" s="129" t="s">
        <v>725</v>
      </c>
      <c r="Q143" s="129">
        <v>8</v>
      </c>
      <c r="R143" s="129">
        <v>35</v>
      </c>
      <c r="S143" s="129">
        <v>35</v>
      </c>
      <c r="T143" s="129">
        <v>1</v>
      </c>
      <c r="U143" s="141" t="s">
        <v>884</v>
      </c>
      <c r="V143" s="141" t="s">
        <v>885</v>
      </c>
      <c r="W143" s="129">
        <v>500</v>
      </c>
      <c r="X143" s="141" t="s">
        <v>725</v>
      </c>
      <c r="Y143" s="129" t="s">
        <v>890</v>
      </c>
      <c r="Z143" s="129" t="s">
        <v>194</v>
      </c>
      <c r="AA143" s="129">
        <v>1</v>
      </c>
      <c r="AB143" s="129" t="s">
        <v>725</v>
      </c>
      <c r="AC143" s="141" t="s">
        <v>725</v>
      </c>
      <c r="AD143" s="129" t="s">
        <v>725</v>
      </c>
      <c r="AE143" s="141" t="s">
        <v>725</v>
      </c>
      <c r="AF143" s="129">
        <v>0</v>
      </c>
      <c r="AG143" s="129">
        <v>0</v>
      </c>
      <c r="AH143" s="129">
        <v>1</v>
      </c>
      <c r="AI143" s="129" t="s">
        <v>725</v>
      </c>
      <c r="AJ143" s="159" t="s">
        <v>1053</v>
      </c>
      <c r="AK143" s="141" t="s">
        <v>725</v>
      </c>
      <c r="AL143" s="141" t="s">
        <v>725</v>
      </c>
      <c r="AM143" s="143"/>
      <c r="AN143" s="143" t="s">
        <v>685</v>
      </c>
      <c r="AO143" s="143"/>
      <c r="AP143" s="143"/>
      <c r="AQ143" s="143"/>
      <c r="AR143" s="143"/>
      <c r="AS143" s="143"/>
      <c r="AT143" s="143"/>
      <c r="AU143" s="143"/>
      <c r="AV143" s="143"/>
      <c r="AW143" s="144"/>
      <c r="AX143" s="145"/>
      <c r="AY143" s="138"/>
      <c r="AZ143" s="138"/>
      <c r="BA143" s="138"/>
      <c r="BB143" s="138"/>
      <c r="BC143" s="138"/>
      <c r="BD143" s="138"/>
      <c r="BE143" s="138"/>
    </row>
    <row r="144" spans="1:57" s="139" customFormat="1" ht="30">
      <c r="A144" s="140" t="s">
        <v>2898</v>
      </c>
      <c r="B144" s="129">
        <v>142</v>
      </c>
      <c r="C144" s="141" t="s">
        <v>2844</v>
      </c>
      <c r="D144" s="129"/>
      <c r="E144" s="143" t="s">
        <v>2899</v>
      </c>
      <c r="F144" s="129" t="s">
        <v>2900</v>
      </c>
      <c r="G144" s="141" t="s">
        <v>2901</v>
      </c>
      <c r="H144" s="129" t="s">
        <v>216</v>
      </c>
      <c r="I144" s="129" t="s">
        <v>2894</v>
      </c>
      <c r="J144" s="129" t="s">
        <v>2902</v>
      </c>
      <c r="K144" s="129" t="s">
        <v>2902</v>
      </c>
      <c r="L144" s="129" t="s">
        <v>2903</v>
      </c>
      <c r="M144" s="129" t="s">
        <v>2903</v>
      </c>
      <c r="N144" s="129">
        <v>100</v>
      </c>
      <c r="O144" s="129">
        <v>100</v>
      </c>
      <c r="P144" s="129" t="s">
        <v>2903</v>
      </c>
      <c r="Q144" s="129">
        <v>8</v>
      </c>
      <c r="R144" s="129">
        <v>34</v>
      </c>
      <c r="S144" s="129">
        <v>34</v>
      </c>
      <c r="T144" s="129">
        <v>1</v>
      </c>
      <c r="U144" s="141" t="s">
        <v>2838</v>
      </c>
      <c r="V144" s="141" t="s">
        <v>2839</v>
      </c>
      <c r="W144" s="129" t="s">
        <v>665</v>
      </c>
      <c r="X144" s="141" t="s">
        <v>2903</v>
      </c>
      <c r="Y144" s="129" t="s">
        <v>2840</v>
      </c>
      <c r="Z144" s="129" t="s">
        <v>194</v>
      </c>
      <c r="AA144" s="129">
        <v>1</v>
      </c>
      <c r="AB144" s="129" t="s">
        <v>2903</v>
      </c>
      <c r="AC144" s="141" t="s">
        <v>2903</v>
      </c>
      <c r="AD144" s="129" t="s">
        <v>2903</v>
      </c>
      <c r="AE144" s="141" t="s">
        <v>2903</v>
      </c>
      <c r="AF144" s="129">
        <v>0</v>
      </c>
      <c r="AG144" s="129">
        <v>0</v>
      </c>
      <c r="AH144" s="129">
        <v>1</v>
      </c>
      <c r="AI144" s="129" t="s">
        <v>2903</v>
      </c>
      <c r="AJ144" s="159" t="s">
        <v>2843</v>
      </c>
      <c r="AK144" s="141" t="s">
        <v>2903</v>
      </c>
      <c r="AL144" s="141" t="s">
        <v>2903</v>
      </c>
      <c r="AM144" s="143"/>
      <c r="AN144" s="143"/>
      <c r="AO144" s="143"/>
      <c r="AP144" s="143"/>
      <c r="AQ144" s="143"/>
      <c r="AR144" s="143"/>
      <c r="AS144" s="143"/>
      <c r="AT144" s="143"/>
      <c r="AU144" s="143"/>
      <c r="AV144" s="143"/>
      <c r="AW144" s="144"/>
      <c r="AX144" s="145"/>
      <c r="AY144" s="138"/>
      <c r="AZ144" s="138"/>
      <c r="BA144" s="138"/>
      <c r="BB144" s="138"/>
      <c r="BC144" s="138"/>
      <c r="BD144" s="138"/>
      <c r="BE144" s="138"/>
    </row>
    <row r="145" spans="1:57" s="139" customFormat="1" ht="30">
      <c r="A145" s="140" t="s">
        <v>6</v>
      </c>
      <c r="B145" s="129">
        <v>143</v>
      </c>
      <c r="C145" s="141" t="s">
        <v>1003</v>
      </c>
      <c r="D145" s="129" t="s">
        <v>3122</v>
      </c>
      <c r="E145" s="143" t="s">
        <v>1056</v>
      </c>
      <c r="F145" s="129" t="s">
        <v>1057</v>
      </c>
      <c r="G145" s="141" t="s">
        <v>684</v>
      </c>
      <c r="H145" s="129" t="s">
        <v>216</v>
      </c>
      <c r="I145" s="129" t="s">
        <v>1025</v>
      </c>
      <c r="J145" s="129" t="s">
        <v>724</v>
      </c>
      <c r="K145" s="129" t="s">
        <v>724</v>
      </c>
      <c r="L145" s="129" t="s">
        <v>725</v>
      </c>
      <c r="M145" s="129" t="s">
        <v>725</v>
      </c>
      <c r="N145" s="129">
        <v>100</v>
      </c>
      <c r="O145" s="129">
        <v>100</v>
      </c>
      <c r="P145" s="129" t="s">
        <v>725</v>
      </c>
      <c r="Q145" s="129">
        <v>8</v>
      </c>
      <c r="R145" s="129">
        <v>33</v>
      </c>
      <c r="S145" s="129">
        <v>33</v>
      </c>
      <c r="T145" s="129">
        <v>1</v>
      </c>
      <c r="U145" s="141" t="s">
        <v>884</v>
      </c>
      <c r="V145" s="141" t="s">
        <v>885</v>
      </c>
      <c r="W145" s="129">
        <v>500</v>
      </c>
      <c r="X145" s="141" t="s">
        <v>725</v>
      </c>
      <c r="Y145" s="129" t="s">
        <v>890</v>
      </c>
      <c r="Z145" s="129" t="s">
        <v>194</v>
      </c>
      <c r="AA145" s="129">
        <v>1</v>
      </c>
      <c r="AB145" s="129" t="s">
        <v>725</v>
      </c>
      <c r="AC145" s="141" t="s">
        <v>725</v>
      </c>
      <c r="AD145" s="129" t="s">
        <v>725</v>
      </c>
      <c r="AE145" s="141" t="s">
        <v>725</v>
      </c>
      <c r="AF145" s="129">
        <v>0</v>
      </c>
      <c r="AG145" s="129">
        <v>0</v>
      </c>
      <c r="AH145" s="129">
        <v>1</v>
      </c>
      <c r="AI145" s="129" t="s">
        <v>725</v>
      </c>
      <c r="AJ145" s="159" t="s">
        <v>1053</v>
      </c>
      <c r="AK145" s="141" t="s">
        <v>725</v>
      </c>
      <c r="AL145" s="141" t="s">
        <v>725</v>
      </c>
      <c r="AM145" s="143"/>
      <c r="AN145" s="143" t="s">
        <v>685</v>
      </c>
      <c r="AO145" s="143"/>
      <c r="AP145" s="143"/>
      <c r="AQ145" s="143"/>
      <c r="AR145" s="143"/>
      <c r="AS145" s="143"/>
      <c r="AT145" s="143"/>
      <c r="AU145" s="143"/>
      <c r="AV145" s="143"/>
      <c r="AW145" s="144"/>
      <c r="AX145" s="145"/>
      <c r="AY145" s="138"/>
      <c r="AZ145" s="138"/>
      <c r="BA145" s="138"/>
      <c r="BB145" s="138"/>
      <c r="BC145" s="138"/>
      <c r="BD145" s="138"/>
      <c r="BE145" s="138"/>
    </row>
    <row r="146" spans="1:57" s="139" customFormat="1" ht="30">
      <c r="A146" s="140" t="s">
        <v>6</v>
      </c>
      <c r="B146" s="129">
        <v>144</v>
      </c>
      <c r="C146" s="141" t="s">
        <v>1003</v>
      </c>
      <c r="D146" s="129" t="s">
        <v>3122</v>
      </c>
      <c r="E146" s="143" t="s">
        <v>1058</v>
      </c>
      <c r="F146" s="129" t="s">
        <v>1059</v>
      </c>
      <c r="G146" s="141" t="s">
        <v>684</v>
      </c>
      <c r="H146" s="129" t="s">
        <v>216</v>
      </c>
      <c r="I146" s="129" t="s">
        <v>1025</v>
      </c>
      <c r="J146" s="129" t="s">
        <v>724</v>
      </c>
      <c r="K146" s="129" t="s">
        <v>724</v>
      </c>
      <c r="L146" s="129" t="s">
        <v>725</v>
      </c>
      <c r="M146" s="129" t="s">
        <v>725</v>
      </c>
      <c r="N146" s="129">
        <v>100</v>
      </c>
      <c r="O146" s="129">
        <v>100</v>
      </c>
      <c r="P146" s="129" t="s">
        <v>725</v>
      </c>
      <c r="Q146" s="129">
        <v>8</v>
      </c>
      <c r="R146" s="129">
        <v>32</v>
      </c>
      <c r="S146" s="129">
        <v>32</v>
      </c>
      <c r="T146" s="129">
        <v>1</v>
      </c>
      <c r="U146" s="141" t="s">
        <v>884</v>
      </c>
      <c r="V146" s="141" t="s">
        <v>885</v>
      </c>
      <c r="W146" s="129">
        <v>500</v>
      </c>
      <c r="X146" s="141" t="s">
        <v>725</v>
      </c>
      <c r="Y146" s="129" t="s">
        <v>890</v>
      </c>
      <c r="Z146" s="129" t="s">
        <v>194</v>
      </c>
      <c r="AA146" s="129">
        <v>1</v>
      </c>
      <c r="AB146" s="129" t="s">
        <v>725</v>
      </c>
      <c r="AC146" s="141" t="s">
        <v>725</v>
      </c>
      <c r="AD146" s="129" t="s">
        <v>725</v>
      </c>
      <c r="AE146" s="141" t="s">
        <v>725</v>
      </c>
      <c r="AF146" s="129">
        <v>0</v>
      </c>
      <c r="AG146" s="129">
        <v>0</v>
      </c>
      <c r="AH146" s="129">
        <v>1</v>
      </c>
      <c r="AI146" s="129" t="s">
        <v>725</v>
      </c>
      <c r="AJ146" s="159" t="s">
        <v>1053</v>
      </c>
      <c r="AK146" s="141" t="s">
        <v>725</v>
      </c>
      <c r="AL146" s="141" t="s">
        <v>725</v>
      </c>
      <c r="AM146" s="143"/>
      <c r="AN146" s="143" t="s">
        <v>685</v>
      </c>
      <c r="AO146" s="143"/>
      <c r="AP146" s="143"/>
      <c r="AQ146" s="143"/>
      <c r="AR146" s="143"/>
      <c r="AS146" s="143"/>
      <c r="AT146" s="143"/>
      <c r="AU146" s="143"/>
      <c r="AV146" s="143"/>
      <c r="AW146" s="144"/>
      <c r="AX146" s="145"/>
      <c r="AY146" s="138"/>
      <c r="AZ146" s="138"/>
      <c r="BA146" s="138"/>
      <c r="BB146" s="138"/>
      <c r="BC146" s="138"/>
      <c r="BD146" s="138"/>
      <c r="BE146" s="138"/>
    </row>
    <row r="147" spans="1:57" s="139" customFormat="1" ht="30">
      <c r="A147" s="140" t="s">
        <v>6</v>
      </c>
      <c r="B147" s="129">
        <v>145</v>
      </c>
      <c r="C147" s="141" t="s">
        <v>1003</v>
      </c>
      <c r="D147" s="129" t="s">
        <v>3122</v>
      </c>
      <c r="E147" s="143" t="s">
        <v>1060</v>
      </c>
      <c r="F147" s="129" t="s">
        <v>1061</v>
      </c>
      <c r="G147" s="141" t="s">
        <v>684</v>
      </c>
      <c r="H147" s="129" t="s">
        <v>216</v>
      </c>
      <c r="I147" s="129" t="s">
        <v>1025</v>
      </c>
      <c r="J147" s="129" t="s">
        <v>724</v>
      </c>
      <c r="K147" s="129" t="s">
        <v>724</v>
      </c>
      <c r="L147" s="129" t="s">
        <v>725</v>
      </c>
      <c r="M147" s="129" t="s">
        <v>725</v>
      </c>
      <c r="N147" s="129">
        <v>100</v>
      </c>
      <c r="O147" s="129">
        <v>100</v>
      </c>
      <c r="P147" s="129" t="s">
        <v>725</v>
      </c>
      <c r="Q147" s="129">
        <v>8</v>
      </c>
      <c r="R147" s="129">
        <v>47</v>
      </c>
      <c r="S147" s="129">
        <v>47</v>
      </c>
      <c r="T147" s="129">
        <v>1</v>
      </c>
      <c r="U147" s="141" t="s">
        <v>884</v>
      </c>
      <c r="V147" s="141" t="s">
        <v>885</v>
      </c>
      <c r="W147" s="129">
        <v>500</v>
      </c>
      <c r="X147" s="141" t="s">
        <v>725</v>
      </c>
      <c r="Y147" s="129" t="s">
        <v>890</v>
      </c>
      <c r="Z147" s="129" t="s">
        <v>194</v>
      </c>
      <c r="AA147" s="129">
        <v>1</v>
      </c>
      <c r="AB147" s="129" t="s">
        <v>725</v>
      </c>
      <c r="AC147" s="141" t="s">
        <v>725</v>
      </c>
      <c r="AD147" s="129" t="s">
        <v>725</v>
      </c>
      <c r="AE147" s="141" t="s">
        <v>725</v>
      </c>
      <c r="AF147" s="129">
        <v>0</v>
      </c>
      <c r="AG147" s="129">
        <v>0</v>
      </c>
      <c r="AH147" s="129">
        <v>1</v>
      </c>
      <c r="AI147" s="129" t="s">
        <v>725</v>
      </c>
      <c r="AJ147" s="159" t="s">
        <v>1053</v>
      </c>
      <c r="AK147" s="141" t="s">
        <v>725</v>
      </c>
      <c r="AL147" s="141" t="s">
        <v>725</v>
      </c>
      <c r="AM147" s="143"/>
      <c r="AN147" s="143" t="s">
        <v>685</v>
      </c>
      <c r="AO147" s="143"/>
      <c r="AP147" s="143"/>
      <c r="AQ147" s="143"/>
      <c r="AR147" s="143"/>
      <c r="AS147" s="143"/>
      <c r="AT147" s="143"/>
      <c r="AU147" s="143"/>
      <c r="AV147" s="143"/>
      <c r="AW147" s="144"/>
      <c r="AX147" s="145"/>
      <c r="AY147" s="138"/>
      <c r="AZ147" s="138"/>
      <c r="BA147" s="138"/>
      <c r="BB147" s="138"/>
      <c r="BC147" s="138"/>
      <c r="BD147" s="138"/>
      <c r="BE147" s="138"/>
    </row>
    <row r="148" spans="1:57" s="139" customFormat="1" ht="30">
      <c r="A148" s="140" t="s">
        <v>6</v>
      </c>
      <c r="B148" s="129">
        <v>146</v>
      </c>
      <c r="C148" s="141" t="s">
        <v>1003</v>
      </c>
      <c r="D148" s="129" t="s">
        <v>3122</v>
      </c>
      <c r="E148" s="143" t="s">
        <v>1062</v>
      </c>
      <c r="F148" s="129" t="s">
        <v>1063</v>
      </c>
      <c r="G148" s="141" t="s">
        <v>684</v>
      </c>
      <c r="H148" s="129" t="s">
        <v>216</v>
      </c>
      <c r="I148" s="129" t="s">
        <v>1025</v>
      </c>
      <c r="J148" s="129" t="s">
        <v>724</v>
      </c>
      <c r="K148" s="129" t="s">
        <v>724</v>
      </c>
      <c r="L148" s="129" t="s">
        <v>725</v>
      </c>
      <c r="M148" s="129" t="s">
        <v>725</v>
      </c>
      <c r="N148" s="129">
        <v>100</v>
      </c>
      <c r="O148" s="129">
        <v>100</v>
      </c>
      <c r="P148" s="129" t="s">
        <v>725</v>
      </c>
      <c r="Q148" s="129">
        <v>8</v>
      </c>
      <c r="R148" s="129">
        <v>46</v>
      </c>
      <c r="S148" s="129">
        <v>46</v>
      </c>
      <c r="T148" s="129">
        <v>1</v>
      </c>
      <c r="U148" s="141" t="s">
        <v>884</v>
      </c>
      <c r="V148" s="141" t="s">
        <v>885</v>
      </c>
      <c r="W148" s="129">
        <v>500</v>
      </c>
      <c r="X148" s="141" t="s">
        <v>725</v>
      </c>
      <c r="Y148" s="129" t="s">
        <v>890</v>
      </c>
      <c r="Z148" s="129" t="s">
        <v>194</v>
      </c>
      <c r="AA148" s="129">
        <v>1</v>
      </c>
      <c r="AB148" s="129" t="s">
        <v>725</v>
      </c>
      <c r="AC148" s="141" t="s">
        <v>725</v>
      </c>
      <c r="AD148" s="129" t="s">
        <v>725</v>
      </c>
      <c r="AE148" s="141" t="s">
        <v>725</v>
      </c>
      <c r="AF148" s="129">
        <v>0</v>
      </c>
      <c r="AG148" s="129">
        <v>0</v>
      </c>
      <c r="AH148" s="129">
        <v>1</v>
      </c>
      <c r="AI148" s="129" t="s">
        <v>725</v>
      </c>
      <c r="AJ148" s="159" t="s">
        <v>1053</v>
      </c>
      <c r="AK148" s="141" t="s">
        <v>725</v>
      </c>
      <c r="AL148" s="141" t="s">
        <v>725</v>
      </c>
      <c r="AM148" s="143"/>
      <c r="AN148" s="143" t="s">
        <v>685</v>
      </c>
      <c r="AO148" s="143"/>
      <c r="AP148" s="143"/>
      <c r="AQ148" s="143"/>
      <c r="AR148" s="143"/>
      <c r="AS148" s="143"/>
      <c r="AT148" s="143"/>
      <c r="AU148" s="143"/>
      <c r="AV148" s="143"/>
      <c r="AW148" s="144"/>
      <c r="AX148" s="145"/>
      <c r="AY148" s="138"/>
      <c r="AZ148" s="138"/>
      <c r="BA148" s="138"/>
      <c r="BB148" s="138"/>
      <c r="BC148" s="138"/>
      <c r="BD148" s="138"/>
      <c r="BE148" s="138"/>
    </row>
    <row r="149" spans="1:57" s="459" customFormat="1" ht="86">
      <c r="A149" s="451" t="s">
        <v>6</v>
      </c>
      <c r="B149" s="452">
        <v>147</v>
      </c>
      <c r="C149" s="450" t="s">
        <v>1003</v>
      </c>
      <c r="D149" s="452" t="s">
        <v>3121</v>
      </c>
      <c r="E149" s="452" t="s">
        <v>1064</v>
      </c>
      <c r="F149" s="452" t="s">
        <v>1065</v>
      </c>
      <c r="G149" s="450" t="s">
        <v>684</v>
      </c>
      <c r="H149" s="452" t="s">
        <v>216</v>
      </c>
      <c r="I149" s="452" t="s">
        <v>1025</v>
      </c>
      <c r="J149" s="452" t="s">
        <v>724</v>
      </c>
      <c r="K149" s="452" t="s">
        <v>724</v>
      </c>
      <c r="L149" s="452" t="s">
        <v>725</v>
      </c>
      <c r="M149" s="452" t="s">
        <v>725</v>
      </c>
      <c r="N149" s="452">
        <v>100</v>
      </c>
      <c r="O149" s="452">
        <v>100</v>
      </c>
      <c r="P149" s="452" t="s">
        <v>725</v>
      </c>
      <c r="Q149" s="452">
        <v>8</v>
      </c>
      <c r="R149" s="452">
        <v>51</v>
      </c>
      <c r="S149" s="452">
        <v>49</v>
      </c>
      <c r="T149" s="452">
        <v>3</v>
      </c>
      <c r="U149" s="450" t="s">
        <v>884</v>
      </c>
      <c r="V149" s="450" t="s">
        <v>885</v>
      </c>
      <c r="W149" s="452">
        <v>500</v>
      </c>
      <c r="X149" s="450" t="s">
        <v>725</v>
      </c>
      <c r="Y149" s="452" t="s">
        <v>890</v>
      </c>
      <c r="Z149" s="452" t="s">
        <v>194</v>
      </c>
      <c r="AA149" s="452">
        <v>1</v>
      </c>
      <c r="AB149" s="452" t="s">
        <v>725</v>
      </c>
      <c r="AC149" s="450" t="s">
        <v>725</v>
      </c>
      <c r="AD149" s="452" t="s">
        <v>725</v>
      </c>
      <c r="AE149" s="450" t="s">
        <v>725</v>
      </c>
      <c r="AF149" s="452">
        <v>0</v>
      </c>
      <c r="AG149" s="452">
        <v>0</v>
      </c>
      <c r="AH149" s="452">
        <v>7</v>
      </c>
      <c r="AI149" s="452" t="s">
        <v>725</v>
      </c>
      <c r="AJ149" s="455" t="s">
        <v>3158</v>
      </c>
      <c r="AK149" s="450" t="s">
        <v>725</v>
      </c>
      <c r="AL149" s="450" t="s">
        <v>957</v>
      </c>
      <c r="AM149" s="285" t="s">
        <v>685</v>
      </c>
      <c r="AN149" s="285" t="s">
        <v>685</v>
      </c>
      <c r="AO149" s="285"/>
      <c r="AP149" s="285"/>
      <c r="AQ149" s="285"/>
      <c r="AR149" s="285"/>
      <c r="AS149" s="285"/>
      <c r="AT149" s="285"/>
      <c r="AU149" s="285"/>
      <c r="AV149" s="285"/>
      <c r="AW149" s="456"/>
      <c r="AX149" s="457"/>
      <c r="AY149" s="458"/>
      <c r="AZ149" s="458"/>
      <c r="BA149" s="458"/>
      <c r="BB149" s="458"/>
      <c r="BC149" s="458"/>
      <c r="BD149" s="458"/>
      <c r="BE149" s="458"/>
    </row>
    <row r="150" spans="1:57" s="141" customFormat="1" ht="47">
      <c r="A150" s="140" t="s">
        <v>6</v>
      </c>
      <c r="B150" s="129">
        <v>148</v>
      </c>
      <c r="C150" s="141" t="s">
        <v>2832</v>
      </c>
      <c r="E150" s="141" t="s">
        <v>2869</v>
      </c>
      <c r="F150" s="141" t="s">
        <v>2834</v>
      </c>
      <c r="G150" s="203" t="s">
        <v>2867</v>
      </c>
      <c r="H150" s="141" t="s">
        <v>2835</v>
      </c>
      <c r="I150" s="141" t="s">
        <v>2836</v>
      </c>
      <c r="J150" s="141" t="s">
        <v>2837</v>
      </c>
      <c r="K150" s="141" t="s">
        <v>2837</v>
      </c>
      <c r="L150" s="141" t="s">
        <v>2833</v>
      </c>
      <c r="M150" s="141" t="s">
        <v>2833</v>
      </c>
      <c r="N150" s="141">
        <v>100</v>
      </c>
      <c r="O150" s="141">
        <v>100</v>
      </c>
      <c r="P150" s="141" t="s">
        <v>2833</v>
      </c>
      <c r="Q150" s="141">
        <v>8</v>
      </c>
      <c r="R150" s="141">
        <v>45</v>
      </c>
      <c r="S150" s="141">
        <v>45</v>
      </c>
      <c r="T150" s="141">
        <v>1</v>
      </c>
      <c r="U150" s="141" t="s">
        <v>2838</v>
      </c>
      <c r="V150" s="141" t="s">
        <v>2839</v>
      </c>
      <c r="W150" s="141" t="s">
        <v>2833</v>
      </c>
      <c r="X150" s="141" t="s">
        <v>2833</v>
      </c>
      <c r="Y150" s="141" t="s">
        <v>2840</v>
      </c>
      <c r="Z150" s="141" t="s">
        <v>2841</v>
      </c>
      <c r="AA150" s="141">
        <v>1</v>
      </c>
      <c r="AB150" s="141" t="s">
        <v>2842</v>
      </c>
      <c r="AC150" s="141" t="s">
        <v>2842</v>
      </c>
      <c r="AD150" s="141" t="s">
        <v>2842</v>
      </c>
      <c r="AE150" s="141" t="s">
        <v>2842</v>
      </c>
      <c r="AF150" s="141">
        <v>0</v>
      </c>
      <c r="AG150" s="141">
        <v>0</v>
      </c>
      <c r="AH150" s="141">
        <v>1</v>
      </c>
      <c r="AI150" s="141" t="s">
        <v>2842</v>
      </c>
      <c r="AJ150" s="164" t="s">
        <v>2843</v>
      </c>
    </row>
    <row r="151" spans="1:57" s="141" customFormat="1" ht="32">
      <c r="A151" s="140" t="s">
        <v>6</v>
      </c>
      <c r="B151" s="129">
        <v>149</v>
      </c>
      <c r="C151" s="141" t="s">
        <v>2844</v>
      </c>
      <c r="E151" s="141" t="s">
        <v>2870</v>
      </c>
      <c r="F151" s="141" t="s">
        <v>2845</v>
      </c>
      <c r="G151" s="203" t="s">
        <v>2868</v>
      </c>
      <c r="H151" s="141" t="s">
        <v>2835</v>
      </c>
      <c r="I151" s="141" t="s">
        <v>2836</v>
      </c>
      <c r="J151" s="141" t="s">
        <v>2846</v>
      </c>
      <c r="K151" s="141" t="s">
        <v>2846</v>
      </c>
      <c r="L151" s="141" t="s">
        <v>2842</v>
      </c>
      <c r="M151" s="141" t="s">
        <v>2842</v>
      </c>
      <c r="N151" s="141">
        <v>100</v>
      </c>
      <c r="O151" s="141">
        <v>100</v>
      </c>
      <c r="P151" s="141" t="s">
        <v>2842</v>
      </c>
      <c r="Q151" s="141">
        <v>8</v>
      </c>
      <c r="R151" s="141">
        <v>44</v>
      </c>
      <c r="S151" s="141">
        <v>44</v>
      </c>
      <c r="T151" s="141">
        <v>1</v>
      </c>
      <c r="U151" s="141" t="s">
        <v>2838</v>
      </c>
      <c r="V151" s="141" t="s">
        <v>2839</v>
      </c>
      <c r="W151" s="141" t="s">
        <v>2842</v>
      </c>
      <c r="X151" s="141" t="s">
        <v>2842</v>
      </c>
      <c r="Y151" s="141" t="s">
        <v>2840</v>
      </c>
      <c r="Z151" s="141" t="s">
        <v>2841</v>
      </c>
      <c r="AA151" s="141">
        <v>1</v>
      </c>
      <c r="AB151" s="141" t="s">
        <v>2842</v>
      </c>
      <c r="AC151" s="141" t="s">
        <v>2842</v>
      </c>
      <c r="AD151" s="141" t="s">
        <v>2842</v>
      </c>
      <c r="AE151" s="141" t="s">
        <v>2842</v>
      </c>
      <c r="AF151" s="141">
        <v>0</v>
      </c>
      <c r="AG151" s="141">
        <v>0</v>
      </c>
      <c r="AH151" s="141">
        <v>1</v>
      </c>
      <c r="AI151" s="141" t="s">
        <v>2842</v>
      </c>
      <c r="AJ151" s="164" t="s">
        <v>2843</v>
      </c>
    </row>
    <row r="152" spans="1:57" s="141" customFormat="1" ht="30">
      <c r="A152" s="140" t="s">
        <v>6</v>
      </c>
      <c r="B152" s="129">
        <v>150</v>
      </c>
      <c r="C152" s="141" t="s">
        <v>2844</v>
      </c>
      <c r="E152" s="141" t="s">
        <v>2847</v>
      </c>
      <c r="F152" s="141" t="s">
        <v>2848</v>
      </c>
      <c r="H152" s="141" t="s">
        <v>2835</v>
      </c>
      <c r="I152" s="141" t="s">
        <v>2836</v>
      </c>
      <c r="J152" s="141" t="s">
        <v>2846</v>
      </c>
      <c r="K152" s="141" t="s">
        <v>2846</v>
      </c>
      <c r="L152" s="141" t="s">
        <v>2842</v>
      </c>
      <c r="M152" s="141" t="s">
        <v>2842</v>
      </c>
      <c r="N152" s="141">
        <v>100</v>
      </c>
      <c r="O152" s="141">
        <v>100</v>
      </c>
      <c r="P152" s="141" t="s">
        <v>2842</v>
      </c>
      <c r="Q152" s="141">
        <v>8</v>
      </c>
      <c r="R152" s="141">
        <v>43</v>
      </c>
      <c r="S152" s="141">
        <v>43</v>
      </c>
      <c r="T152" s="141">
        <v>1</v>
      </c>
      <c r="U152" s="141" t="s">
        <v>2838</v>
      </c>
      <c r="V152" s="141" t="s">
        <v>2839</v>
      </c>
      <c r="W152" s="141" t="s">
        <v>2842</v>
      </c>
      <c r="X152" s="141" t="s">
        <v>2842</v>
      </c>
      <c r="Y152" s="141" t="s">
        <v>2840</v>
      </c>
      <c r="Z152" s="141" t="s">
        <v>2841</v>
      </c>
      <c r="AA152" s="141">
        <v>1</v>
      </c>
      <c r="AB152" s="141" t="s">
        <v>2842</v>
      </c>
      <c r="AC152" s="141" t="s">
        <v>2842</v>
      </c>
      <c r="AD152" s="141" t="s">
        <v>2842</v>
      </c>
      <c r="AE152" s="141" t="s">
        <v>2842</v>
      </c>
      <c r="AF152" s="141">
        <v>0</v>
      </c>
      <c r="AG152" s="141">
        <v>0</v>
      </c>
      <c r="AH152" s="141">
        <v>1</v>
      </c>
      <c r="AI152" s="141" t="s">
        <v>2842</v>
      </c>
      <c r="AJ152" s="164" t="s">
        <v>2843</v>
      </c>
    </row>
    <row r="153" spans="1:57" s="141" customFormat="1" ht="30">
      <c r="A153" s="140" t="s">
        <v>6</v>
      </c>
      <c r="B153" s="129">
        <v>151</v>
      </c>
      <c r="C153" s="141" t="s">
        <v>2844</v>
      </c>
      <c r="E153" s="141" t="s">
        <v>2849</v>
      </c>
      <c r="F153" s="141" t="s">
        <v>2850</v>
      </c>
      <c r="H153" s="141" t="s">
        <v>2835</v>
      </c>
      <c r="I153" s="141" t="s">
        <v>2836</v>
      </c>
      <c r="J153" s="141" t="s">
        <v>2846</v>
      </c>
      <c r="K153" s="141" t="s">
        <v>2846</v>
      </c>
      <c r="L153" s="141" t="s">
        <v>2842</v>
      </c>
      <c r="M153" s="141" t="s">
        <v>2842</v>
      </c>
      <c r="N153" s="141">
        <v>100</v>
      </c>
      <c r="O153" s="141">
        <v>100</v>
      </c>
      <c r="P153" s="141" t="s">
        <v>2842</v>
      </c>
      <c r="Q153" s="141">
        <v>8</v>
      </c>
      <c r="R153" s="141">
        <v>42</v>
      </c>
      <c r="S153" s="141">
        <v>42</v>
      </c>
      <c r="T153" s="141">
        <v>1</v>
      </c>
      <c r="U153" s="141" t="s">
        <v>2838</v>
      </c>
      <c r="V153" s="141" t="s">
        <v>2839</v>
      </c>
      <c r="W153" s="141" t="s">
        <v>2842</v>
      </c>
      <c r="X153" s="141" t="s">
        <v>2842</v>
      </c>
      <c r="Y153" s="141" t="s">
        <v>2840</v>
      </c>
      <c r="Z153" s="141" t="s">
        <v>2841</v>
      </c>
      <c r="AA153" s="141">
        <v>1</v>
      </c>
      <c r="AB153" s="141" t="s">
        <v>2842</v>
      </c>
      <c r="AC153" s="141" t="s">
        <v>2842</v>
      </c>
      <c r="AD153" s="141" t="s">
        <v>2842</v>
      </c>
      <c r="AE153" s="141" t="s">
        <v>2842</v>
      </c>
      <c r="AF153" s="141">
        <v>0</v>
      </c>
      <c r="AG153" s="141">
        <v>0</v>
      </c>
      <c r="AH153" s="141">
        <v>1</v>
      </c>
      <c r="AI153" s="141" t="s">
        <v>2842</v>
      </c>
      <c r="AJ153" s="164" t="s">
        <v>2851</v>
      </c>
    </row>
    <row r="154" spans="1:57" s="141" customFormat="1" ht="30">
      <c r="A154" s="140" t="s">
        <v>6</v>
      </c>
      <c r="B154" s="129">
        <v>152</v>
      </c>
      <c r="C154" s="141" t="s">
        <v>2844</v>
      </c>
      <c r="E154" s="141" t="s">
        <v>2852</v>
      </c>
      <c r="F154" s="141" t="s">
        <v>2853</v>
      </c>
      <c r="H154" s="141" t="s">
        <v>2835</v>
      </c>
      <c r="I154" s="141" t="s">
        <v>2836</v>
      </c>
      <c r="J154" s="141" t="s">
        <v>2846</v>
      </c>
      <c r="K154" s="141" t="s">
        <v>2846</v>
      </c>
      <c r="L154" s="141" t="s">
        <v>2842</v>
      </c>
      <c r="M154" s="141" t="s">
        <v>2842</v>
      </c>
      <c r="N154" s="141">
        <v>100</v>
      </c>
      <c r="O154" s="141">
        <v>100</v>
      </c>
      <c r="P154" s="141" t="s">
        <v>2842</v>
      </c>
      <c r="Q154" s="141">
        <v>8</v>
      </c>
      <c r="R154" s="141">
        <v>41</v>
      </c>
      <c r="S154" s="141">
        <v>41</v>
      </c>
      <c r="T154" s="141">
        <v>1</v>
      </c>
      <c r="U154" s="141" t="s">
        <v>2838</v>
      </c>
      <c r="V154" s="141" t="s">
        <v>2839</v>
      </c>
      <c r="W154" s="141" t="s">
        <v>2842</v>
      </c>
      <c r="X154" s="141" t="s">
        <v>2842</v>
      </c>
      <c r="Y154" s="141" t="s">
        <v>2840</v>
      </c>
      <c r="Z154" s="141" t="s">
        <v>2841</v>
      </c>
      <c r="AA154" s="141">
        <v>1</v>
      </c>
      <c r="AB154" s="141" t="s">
        <v>2842</v>
      </c>
      <c r="AC154" s="141" t="s">
        <v>2842</v>
      </c>
      <c r="AD154" s="141" t="s">
        <v>2842</v>
      </c>
      <c r="AE154" s="141" t="s">
        <v>2842</v>
      </c>
      <c r="AF154" s="141">
        <v>0</v>
      </c>
      <c r="AG154" s="141">
        <v>0</v>
      </c>
      <c r="AH154" s="141">
        <v>1</v>
      </c>
      <c r="AI154" s="141" t="s">
        <v>2842</v>
      </c>
      <c r="AJ154" s="164" t="s">
        <v>2854</v>
      </c>
    </row>
    <row r="155" spans="1:57" s="141" customFormat="1" ht="30">
      <c r="A155" s="140" t="s">
        <v>6</v>
      </c>
      <c r="B155" s="129">
        <v>153</v>
      </c>
      <c r="C155" s="141" t="s">
        <v>2844</v>
      </c>
      <c r="E155" s="141" t="s">
        <v>2855</v>
      </c>
      <c r="F155" s="141" t="s">
        <v>2856</v>
      </c>
      <c r="H155" s="141" t="s">
        <v>2835</v>
      </c>
      <c r="I155" s="141" t="s">
        <v>2836</v>
      </c>
      <c r="J155" s="141" t="s">
        <v>2846</v>
      </c>
      <c r="K155" s="141" t="s">
        <v>2846</v>
      </c>
      <c r="L155" s="141" t="s">
        <v>2842</v>
      </c>
      <c r="M155" s="141" t="s">
        <v>2842</v>
      </c>
      <c r="N155" s="141">
        <v>100</v>
      </c>
      <c r="O155" s="141">
        <v>100</v>
      </c>
      <c r="P155" s="141" t="s">
        <v>2842</v>
      </c>
      <c r="Q155" s="141">
        <v>8</v>
      </c>
      <c r="R155" s="141">
        <v>40</v>
      </c>
      <c r="S155" s="141">
        <v>40</v>
      </c>
      <c r="T155" s="141">
        <v>1</v>
      </c>
      <c r="U155" s="141" t="s">
        <v>2838</v>
      </c>
      <c r="V155" s="141" t="s">
        <v>2839</v>
      </c>
      <c r="W155" s="141" t="s">
        <v>2842</v>
      </c>
      <c r="X155" s="141" t="s">
        <v>2842</v>
      </c>
      <c r="Y155" s="141" t="s">
        <v>2840</v>
      </c>
      <c r="Z155" s="141" t="s">
        <v>2841</v>
      </c>
      <c r="AA155" s="141">
        <v>1</v>
      </c>
      <c r="AB155" s="141" t="s">
        <v>2842</v>
      </c>
      <c r="AC155" s="141" t="s">
        <v>2842</v>
      </c>
      <c r="AD155" s="141" t="s">
        <v>2842</v>
      </c>
      <c r="AE155" s="141" t="s">
        <v>2842</v>
      </c>
      <c r="AF155" s="141">
        <v>0</v>
      </c>
      <c r="AG155" s="141">
        <v>0</v>
      </c>
      <c r="AH155" s="141">
        <v>1</v>
      </c>
      <c r="AI155" s="141" t="s">
        <v>2842</v>
      </c>
      <c r="AJ155" s="164" t="s">
        <v>2857</v>
      </c>
    </row>
    <row r="156" spans="1:57" s="141" customFormat="1" ht="30">
      <c r="A156" s="140" t="s">
        <v>6</v>
      </c>
      <c r="B156" s="129">
        <v>154</v>
      </c>
      <c r="C156" s="141" t="s">
        <v>2844</v>
      </c>
      <c r="E156" s="141" t="s">
        <v>2858</v>
      </c>
      <c r="F156" s="141" t="s">
        <v>2859</v>
      </c>
      <c r="G156" s="141" t="s">
        <v>2860</v>
      </c>
      <c r="H156" s="141" t="s">
        <v>2835</v>
      </c>
      <c r="I156" s="141" t="s">
        <v>2836</v>
      </c>
      <c r="J156" s="141" t="s">
        <v>2846</v>
      </c>
      <c r="K156" s="141" t="s">
        <v>2846</v>
      </c>
      <c r="L156" s="141" t="s">
        <v>2842</v>
      </c>
      <c r="M156" s="141" t="s">
        <v>2842</v>
      </c>
      <c r="N156" s="141">
        <v>100</v>
      </c>
      <c r="O156" s="141">
        <v>100</v>
      </c>
      <c r="P156" s="141" t="s">
        <v>2842</v>
      </c>
      <c r="Q156" s="141">
        <v>8</v>
      </c>
      <c r="R156" s="141">
        <v>55</v>
      </c>
      <c r="S156" s="141">
        <v>55</v>
      </c>
      <c r="T156" s="141">
        <v>1</v>
      </c>
      <c r="U156" s="141" t="s">
        <v>2838</v>
      </c>
      <c r="V156" s="141" t="s">
        <v>2839</v>
      </c>
      <c r="W156" s="141" t="s">
        <v>2842</v>
      </c>
      <c r="X156" s="141" t="s">
        <v>2842</v>
      </c>
      <c r="Y156" s="141" t="s">
        <v>2840</v>
      </c>
      <c r="Z156" s="141" t="s">
        <v>2841</v>
      </c>
      <c r="AA156" s="141">
        <v>1</v>
      </c>
      <c r="AB156" s="141" t="s">
        <v>2842</v>
      </c>
      <c r="AC156" s="141" t="s">
        <v>2842</v>
      </c>
      <c r="AD156" s="141" t="s">
        <v>2842</v>
      </c>
      <c r="AE156" s="141" t="s">
        <v>2842</v>
      </c>
      <c r="AF156" s="141">
        <v>0</v>
      </c>
      <c r="AG156" s="141">
        <v>0</v>
      </c>
      <c r="AH156" s="141">
        <v>1</v>
      </c>
      <c r="AI156" s="141" t="s">
        <v>2842</v>
      </c>
      <c r="AJ156" s="164" t="s">
        <v>2843</v>
      </c>
    </row>
    <row r="157" spans="1:57" s="141" customFormat="1" ht="30">
      <c r="A157" s="140" t="s">
        <v>6</v>
      </c>
      <c r="B157" s="129">
        <v>155</v>
      </c>
      <c r="C157" s="141" t="s">
        <v>2844</v>
      </c>
      <c r="E157" s="141" t="s">
        <v>2861</v>
      </c>
      <c r="F157" s="141" t="s">
        <v>2862</v>
      </c>
      <c r="G157" s="141" t="s">
        <v>2863</v>
      </c>
      <c r="H157" s="141" t="s">
        <v>2835</v>
      </c>
      <c r="I157" s="141" t="s">
        <v>2836</v>
      </c>
      <c r="J157" s="141" t="s">
        <v>2846</v>
      </c>
      <c r="K157" s="141" t="s">
        <v>2846</v>
      </c>
      <c r="L157" s="141" t="s">
        <v>2842</v>
      </c>
      <c r="M157" s="141" t="s">
        <v>2842</v>
      </c>
      <c r="N157" s="141">
        <v>100</v>
      </c>
      <c r="O157" s="141">
        <v>100</v>
      </c>
      <c r="P157" s="141" t="s">
        <v>2842</v>
      </c>
      <c r="Q157" s="141">
        <v>8</v>
      </c>
      <c r="R157" s="141">
        <v>54</v>
      </c>
      <c r="S157" s="141">
        <v>54</v>
      </c>
      <c r="T157" s="141">
        <v>1</v>
      </c>
      <c r="U157" s="141" t="s">
        <v>2838</v>
      </c>
      <c r="V157" s="141" t="s">
        <v>2839</v>
      </c>
      <c r="W157" s="141" t="s">
        <v>2842</v>
      </c>
      <c r="X157" s="141" t="s">
        <v>2842</v>
      </c>
      <c r="Y157" s="141" t="s">
        <v>2840</v>
      </c>
      <c r="Z157" s="141" t="s">
        <v>2841</v>
      </c>
      <c r="AA157" s="141">
        <v>1</v>
      </c>
      <c r="AB157" s="141" t="s">
        <v>2842</v>
      </c>
      <c r="AC157" s="141" t="s">
        <v>2842</v>
      </c>
      <c r="AD157" s="141" t="s">
        <v>2842</v>
      </c>
      <c r="AE157" s="141" t="s">
        <v>2842</v>
      </c>
      <c r="AF157" s="141">
        <v>0</v>
      </c>
      <c r="AG157" s="141">
        <v>0</v>
      </c>
      <c r="AH157" s="141">
        <v>1</v>
      </c>
      <c r="AI157" s="141" t="s">
        <v>2842</v>
      </c>
      <c r="AJ157" s="164" t="s">
        <v>2851</v>
      </c>
    </row>
    <row r="158" spans="1:57" s="141" customFormat="1" ht="58">
      <c r="A158" s="140" t="s">
        <v>6</v>
      </c>
      <c r="B158" s="129">
        <v>156</v>
      </c>
      <c r="C158" s="141" t="s">
        <v>2844</v>
      </c>
      <c r="E158" s="141" t="s">
        <v>2864</v>
      </c>
      <c r="F158" s="141" t="s">
        <v>2865</v>
      </c>
      <c r="H158" s="141" t="s">
        <v>2835</v>
      </c>
      <c r="I158" s="141" t="s">
        <v>2836</v>
      </c>
      <c r="J158" s="141" t="s">
        <v>2846</v>
      </c>
      <c r="K158" s="141" t="s">
        <v>2846</v>
      </c>
      <c r="L158" s="141" t="s">
        <v>2842</v>
      </c>
      <c r="M158" s="141" t="s">
        <v>2842</v>
      </c>
      <c r="N158" s="141">
        <v>100</v>
      </c>
      <c r="O158" s="141">
        <v>100</v>
      </c>
      <c r="P158" s="141" t="s">
        <v>2842</v>
      </c>
      <c r="Q158" s="141">
        <v>8</v>
      </c>
      <c r="R158" s="141">
        <v>53</v>
      </c>
      <c r="S158" s="141">
        <v>52</v>
      </c>
      <c r="T158" s="141">
        <v>2</v>
      </c>
      <c r="U158" s="141" t="s">
        <v>2838</v>
      </c>
      <c r="V158" s="141" t="s">
        <v>2839</v>
      </c>
      <c r="W158" s="141" t="s">
        <v>2842</v>
      </c>
      <c r="X158" s="141" t="s">
        <v>2842</v>
      </c>
      <c r="Y158" s="141" t="s">
        <v>2840</v>
      </c>
      <c r="Z158" s="141" t="s">
        <v>2841</v>
      </c>
      <c r="AA158" s="141">
        <v>1</v>
      </c>
      <c r="AB158" s="141" t="s">
        <v>2842</v>
      </c>
      <c r="AC158" s="141" t="s">
        <v>2842</v>
      </c>
      <c r="AD158" s="141" t="s">
        <v>2842</v>
      </c>
      <c r="AE158" s="141" t="s">
        <v>2842</v>
      </c>
      <c r="AF158" s="141">
        <v>0</v>
      </c>
      <c r="AG158" s="141">
        <v>0</v>
      </c>
      <c r="AH158" s="141">
        <v>15</v>
      </c>
      <c r="AI158" s="141" t="s">
        <v>2842</v>
      </c>
      <c r="AJ158" s="164" t="s">
        <v>2866</v>
      </c>
    </row>
    <row r="159" spans="1:57" s="459" customFormat="1" ht="86">
      <c r="A159" s="451" t="s">
        <v>6</v>
      </c>
      <c r="B159" s="452">
        <v>157</v>
      </c>
      <c r="C159" s="450" t="s">
        <v>1003</v>
      </c>
      <c r="D159" s="452" t="s">
        <v>3121</v>
      </c>
      <c r="E159" s="452" t="s">
        <v>1066</v>
      </c>
      <c r="F159" s="452" t="s">
        <v>1067</v>
      </c>
      <c r="G159" s="450" t="s">
        <v>684</v>
      </c>
      <c r="H159" s="452" t="s">
        <v>1068</v>
      </c>
      <c r="I159" s="452" t="s">
        <v>1025</v>
      </c>
      <c r="J159" s="452" t="s">
        <v>724</v>
      </c>
      <c r="K159" s="452" t="s">
        <v>724</v>
      </c>
      <c r="L159" s="452" t="s">
        <v>725</v>
      </c>
      <c r="M159" s="452" t="s">
        <v>725</v>
      </c>
      <c r="N159" s="452">
        <v>100</v>
      </c>
      <c r="O159" s="452">
        <v>100</v>
      </c>
      <c r="P159" s="452" t="s">
        <v>725</v>
      </c>
      <c r="Q159" s="452">
        <v>8</v>
      </c>
      <c r="R159" s="452">
        <v>63</v>
      </c>
      <c r="S159" s="452">
        <v>61</v>
      </c>
      <c r="T159" s="452">
        <v>3</v>
      </c>
      <c r="U159" s="450" t="s">
        <v>884</v>
      </c>
      <c r="V159" s="450" t="s">
        <v>885</v>
      </c>
      <c r="W159" s="452">
        <v>500</v>
      </c>
      <c r="X159" s="450" t="s">
        <v>725</v>
      </c>
      <c r="Y159" s="452" t="s">
        <v>890</v>
      </c>
      <c r="Z159" s="452" t="s">
        <v>194</v>
      </c>
      <c r="AA159" s="452">
        <v>1</v>
      </c>
      <c r="AB159" s="452" t="s">
        <v>725</v>
      </c>
      <c r="AC159" s="450" t="s">
        <v>725</v>
      </c>
      <c r="AD159" s="452" t="s">
        <v>725</v>
      </c>
      <c r="AE159" s="450" t="s">
        <v>725</v>
      </c>
      <c r="AF159" s="452">
        <v>0</v>
      </c>
      <c r="AG159" s="452">
        <v>0</v>
      </c>
      <c r="AH159" s="452">
        <v>7</v>
      </c>
      <c r="AI159" s="452" t="s">
        <v>725</v>
      </c>
      <c r="AJ159" s="455" t="s">
        <v>2139</v>
      </c>
      <c r="AK159" s="450" t="s">
        <v>725</v>
      </c>
      <c r="AL159" s="450" t="s">
        <v>725</v>
      </c>
      <c r="AM159" s="285" t="s">
        <v>693</v>
      </c>
      <c r="AN159" s="285" t="s">
        <v>685</v>
      </c>
      <c r="AO159" s="285"/>
      <c r="AP159" s="285"/>
      <c r="AQ159" s="285"/>
      <c r="AR159" s="285"/>
      <c r="AS159" s="285"/>
      <c r="AT159" s="285"/>
      <c r="AU159" s="285"/>
      <c r="AV159" s="285"/>
      <c r="AW159" s="456"/>
      <c r="AX159" s="457"/>
      <c r="AY159" s="458"/>
      <c r="AZ159" s="458"/>
      <c r="BA159" s="458"/>
      <c r="BB159" s="458"/>
      <c r="BC159" s="458"/>
      <c r="BD159" s="458"/>
      <c r="BE159" s="458"/>
    </row>
    <row r="160" spans="1:57" s="139" customFormat="1" ht="58">
      <c r="A160" s="140" t="s">
        <v>6</v>
      </c>
      <c r="B160" s="129">
        <v>158</v>
      </c>
      <c r="C160" s="141" t="s">
        <v>1003</v>
      </c>
      <c r="D160" s="129" t="s">
        <v>3122</v>
      </c>
      <c r="E160" s="129" t="s">
        <v>1069</v>
      </c>
      <c r="F160" s="129" t="s">
        <v>1070</v>
      </c>
      <c r="G160" s="141" t="s">
        <v>684</v>
      </c>
      <c r="H160" s="129" t="s">
        <v>216</v>
      </c>
      <c r="I160" s="129" t="s">
        <v>1025</v>
      </c>
      <c r="J160" s="129" t="s">
        <v>724</v>
      </c>
      <c r="K160" s="129" t="s">
        <v>724</v>
      </c>
      <c r="L160" s="129" t="s">
        <v>725</v>
      </c>
      <c r="M160" s="129" t="s">
        <v>725</v>
      </c>
      <c r="N160" s="129">
        <v>100</v>
      </c>
      <c r="O160" s="129">
        <v>100</v>
      </c>
      <c r="P160" s="129" t="s">
        <v>725</v>
      </c>
      <c r="Q160" s="129">
        <v>8</v>
      </c>
      <c r="R160" s="129">
        <v>60</v>
      </c>
      <c r="S160" s="129">
        <v>59</v>
      </c>
      <c r="T160" s="129">
        <v>2</v>
      </c>
      <c r="U160" s="141" t="s">
        <v>884</v>
      </c>
      <c r="V160" s="141" t="s">
        <v>885</v>
      </c>
      <c r="W160" s="129">
        <v>500</v>
      </c>
      <c r="X160" s="141" t="s">
        <v>725</v>
      </c>
      <c r="Y160" s="129" t="s">
        <v>890</v>
      </c>
      <c r="Z160" s="129" t="s">
        <v>194</v>
      </c>
      <c r="AA160" s="129">
        <v>1</v>
      </c>
      <c r="AB160" s="129" t="s">
        <v>725</v>
      </c>
      <c r="AC160" s="141" t="s">
        <v>725</v>
      </c>
      <c r="AD160" s="129" t="s">
        <v>725</v>
      </c>
      <c r="AE160" s="141" t="s">
        <v>725</v>
      </c>
      <c r="AF160" s="129">
        <v>0</v>
      </c>
      <c r="AG160" s="129">
        <v>0</v>
      </c>
      <c r="AH160" s="129">
        <v>3</v>
      </c>
      <c r="AI160" s="129" t="s">
        <v>725</v>
      </c>
      <c r="AJ160" s="159" t="s">
        <v>1026</v>
      </c>
      <c r="AK160" s="141" t="s">
        <v>725</v>
      </c>
      <c r="AL160" s="141" t="s">
        <v>725</v>
      </c>
      <c r="AM160" s="143"/>
      <c r="AN160" s="143" t="s">
        <v>685</v>
      </c>
      <c r="AO160" s="143"/>
      <c r="AP160" s="143"/>
      <c r="AQ160" s="143"/>
      <c r="AR160" s="143"/>
      <c r="AS160" s="143"/>
      <c r="AT160" s="143"/>
      <c r="AU160" s="143"/>
      <c r="AV160" s="143"/>
      <c r="AW160" s="144"/>
      <c r="AX160" s="145"/>
      <c r="AY160" s="138"/>
      <c r="AZ160" s="138"/>
      <c r="BA160" s="138"/>
      <c r="BB160" s="138"/>
      <c r="BC160" s="138"/>
      <c r="BD160" s="138"/>
      <c r="BE160" s="138"/>
    </row>
    <row r="161" spans="1:57" s="139" customFormat="1" ht="30">
      <c r="A161" s="140" t="s">
        <v>6</v>
      </c>
      <c r="B161" s="129">
        <v>159</v>
      </c>
      <c r="C161" s="141" t="s">
        <v>1003</v>
      </c>
      <c r="D161" s="129" t="s">
        <v>3122</v>
      </c>
      <c r="E161" s="160" t="s">
        <v>1071</v>
      </c>
      <c r="F161" s="129" t="s">
        <v>1072</v>
      </c>
      <c r="G161" s="172" t="s">
        <v>1840</v>
      </c>
      <c r="H161" s="129" t="s">
        <v>216</v>
      </c>
      <c r="I161" s="129" t="s">
        <v>1025</v>
      </c>
      <c r="J161" s="129" t="s">
        <v>192</v>
      </c>
      <c r="K161" s="129" t="s">
        <v>192</v>
      </c>
      <c r="L161" s="129" t="s">
        <v>725</v>
      </c>
      <c r="M161" s="129" t="s">
        <v>725</v>
      </c>
      <c r="N161" s="129">
        <v>100</v>
      </c>
      <c r="O161" s="129">
        <v>100</v>
      </c>
      <c r="P161" s="129" t="s">
        <v>725</v>
      </c>
      <c r="Q161" s="129">
        <v>8</v>
      </c>
      <c r="R161" s="129">
        <v>58</v>
      </c>
      <c r="S161" s="129">
        <v>58</v>
      </c>
      <c r="T161" s="129">
        <v>1</v>
      </c>
      <c r="U161" s="141" t="s">
        <v>240</v>
      </c>
      <c r="V161" s="141" t="s">
        <v>535</v>
      </c>
      <c r="W161" s="129">
        <v>500</v>
      </c>
      <c r="X161" s="141" t="s">
        <v>725</v>
      </c>
      <c r="Y161" s="129" t="s">
        <v>339</v>
      </c>
      <c r="Z161" s="129" t="s">
        <v>194</v>
      </c>
      <c r="AA161" s="129">
        <v>1</v>
      </c>
      <c r="AB161" s="129" t="s">
        <v>198</v>
      </c>
      <c r="AC161" s="141" t="s">
        <v>198</v>
      </c>
      <c r="AD161" s="129" t="s">
        <v>198</v>
      </c>
      <c r="AE161" s="141" t="s">
        <v>198</v>
      </c>
      <c r="AF161" s="129">
        <v>0</v>
      </c>
      <c r="AG161" s="129">
        <v>0</v>
      </c>
      <c r="AH161" s="129">
        <v>1</v>
      </c>
      <c r="AI161" s="129" t="s">
        <v>198</v>
      </c>
      <c r="AJ161" s="159" t="s">
        <v>208</v>
      </c>
      <c r="AK161" s="141" t="s">
        <v>198</v>
      </c>
      <c r="AL161" s="141" t="s">
        <v>198</v>
      </c>
      <c r="AM161" s="143"/>
      <c r="AN161" s="143" t="s">
        <v>807</v>
      </c>
      <c r="AO161" s="143"/>
      <c r="AP161" s="143"/>
      <c r="AQ161" s="143"/>
      <c r="AR161" s="143"/>
      <c r="AS161" s="143"/>
      <c r="AT161" s="143"/>
      <c r="AU161" s="143"/>
      <c r="AV161" s="143"/>
      <c r="AW161" s="144"/>
      <c r="AX161" s="145"/>
      <c r="AY161" s="138"/>
      <c r="AZ161" s="138"/>
      <c r="BA161" s="138"/>
      <c r="BB161" s="138"/>
      <c r="BC161" s="138"/>
      <c r="BD161" s="138"/>
      <c r="BE161" s="138"/>
    </row>
    <row r="162" spans="1:57" s="139" customFormat="1" ht="30">
      <c r="A162" s="140" t="s">
        <v>6</v>
      </c>
      <c r="B162" s="129">
        <v>160</v>
      </c>
      <c r="C162" s="141" t="s">
        <v>1073</v>
      </c>
      <c r="D162" s="129" t="s">
        <v>3122</v>
      </c>
      <c r="E162" s="160" t="s">
        <v>1074</v>
      </c>
      <c r="F162" s="129" t="s">
        <v>1075</v>
      </c>
      <c r="G162" s="141" t="s">
        <v>804</v>
      </c>
      <c r="H162" s="129" t="s">
        <v>216</v>
      </c>
      <c r="I162" s="129" t="s">
        <v>1076</v>
      </c>
      <c r="J162" s="129" t="s">
        <v>192</v>
      </c>
      <c r="K162" s="129" t="s">
        <v>192</v>
      </c>
      <c r="L162" s="129" t="s">
        <v>801</v>
      </c>
      <c r="M162" s="129" t="s">
        <v>801</v>
      </c>
      <c r="N162" s="129">
        <v>100</v>
      </c>
      <c r="O162" s="129">
        <v>100</v>
      </c>
      <c r="P162" s="129" t="s">
        <v>801</v>
      </c>
      <c r="Q162" s="129">
        <v>8</v>
      </c>
      <c r="R162" s="129">
        <v>57</v>
      </c>
      <c r="S162" s="129">
        <v>57</v>
      </c>
      <c r="T162" s="141">
        <v>1</v>
      </c>
      <c r="U162" s="141" t="s">
        <v>240</v>
      </c>
      <c r="V162" s="141" t="s">
        <v>535</v>
      </c>
      <c r="W162" s="129">
        <v>500</v>
      </c>
      <c r="X162" s="141" t="s">
        <v>801</v>
      </c>
      <c r="Y162" s="129" t="s">
        <v>339</v>
      </c>
      <c r="Z162" s="129" t="s">
        <v>194</v>
      </c>
      <c r="AA162" s="129">
        <v>1</v>
      </c>
      <c r="AB162" s="129" t="s">
        <v>198</v>
      </c>
      <c r="AC162" s="141" t="s">
        <v>198</v>
      </c>
      <c r="AD162" s="129" t="s">
        <v>198</v>
      </c>
      <c r="AE162" s="141" t="s">
        <v>198</v>
      </c>
      <c r="AF162" s="129">
        <v>0</v>
      </c>
      <c r="AG162" s="129">
        <v>0</v>
      </c>
      <c r="AH162" s="129">
        <v>1</v>
      </c>
      <c r="AI162" s="129" t="s">
        <v>801</v>
      </c>
      <c r="AJ162" s="159" t="s">
        <v>1077</v>
      </c>
      <c r="AK162" s="141" t="s">
        <v>198</v>
      </c>
      <c r="AL162" s="141" t="s">
        <v>198</v>
      </c>
      <c r="AM162" s="143"/>
      <c r="AN162" s="143" t="s">
        <v>807</v>
      </c>
      <c r="AO162" s="143"/>
      <c r="AP162" s="143"/>
      <c r="AQ162" s="143"/>
      <c r="AR162" s="143"/>
      <c r="AS162" s="143"/>
      <c r="AT162" s="143"/>
      <c r="AU162" s="143"/>
      <c r="AV162" s="143"/>
      <c r="AW162" s="144"/>
      <c r="AX162" s="145"/>
      <c r="AY162" s="138"/>
      <c r="AZ162" s="138"/>
      <c r="BA162" s="138"/>
      <c r="BB162" s="138"/>
      <c r="BC162" s="138"/>
      <c r="BD162" s="138"/>
      <c r="BE162" s="138"/>
    </row>
    <row r="163" spans="1:57" s="139" customFormat="1" ht="44">
      <c r="A163" s="140" t="s">
        <v>6</v>
      </c>
      <c r="B163" s="129">
        <v>161</v>
      </c>
      <c r="C163" s="141" t="s">
        <v>1078</v>
      </c>
      <c r="D163" s="129" t="s">
        <v>3115</v>
      </c>
      <c r="E163" s="129" t="s">
        <v>1079</v>
      </c>
      <c r="F163" s="141" t="s">
        <v>1080</v>
      </c>
      <c r="G163" s="141" t="s">
        <v>804</v>
      </c>
      <c r="H163" s="129" t="s">
        <v>217</v>
      </c>
      <c r="I163" s="129" t="s">
        <v>1081</v>
      </c>
      <c r="J163" s="129" t="s">
        <v>843</v>
      </c>
      <c r="K163" s="129" t="s">
        <v>843</v>
      </c>
      <c r="L163" s="129" t="s">
        <v>801</v>
      </c>
      <c r="M163" s="129" t="s">
        <v>801</v>
      </c>
      <c r="N163" s="129">
        <v>100</v>
      </c>
      <c r="O163" s="129">
        <v>100</v>
      </c>
      <c r="P163" s="129" t="s">
        <v>801</v>
      </c>
      <c r="Q163" s="129">
        <v>8</v>
      </c>
      <c r="R163" s="129">
        <v>7</v>
      </c>
      <c r="S163" s="129">
        <v>0</v>
      </c>
      <c r="T163" s="129">
        <v>8</v>
      </c>
      <c r="U163" s="141" t="s">
        <v>802</v>
      </c>
      <c r="V163" s="141" t="s">
        <v>803</v>
      </c>
      <c r="W163" s="129">
        <v>500</v>
      </c>
      <c r="X163" s="141" t="s">
        <v>804</v>
      </c>
      <c r="Y163" s="129" t="s">
        <v>805</v>
      </c>
      <c r="Z163" s="129" t="s">
        <v>194</v>
      </c>
      <c r="AA163" s="129">
        <v>1</v>
      </c>
      <c r="AB163" s="129" t="s">
        <v>804</v>
      </c>
      <c r="AC163" s="141" t="s">
        <v>804</v>
      </c>
      <c r="AD163" s="129" t="s">
        <v>804</v>
      </c>
      <c r="AE163" s="141" t="s">
        <v>804</v>
      </c>
      <c r="AF163" s="129">
        <v>0</v>
      </c>
      <c r="AG163" s="129">
        <v>0</v>
      </c>
      <c r="AH163" s="129">
        <v>255</v>
      </c>
      <c r="AI163" s="129" t="s">
        <v>804</v>
      </c>
      <c r="AJ163" s="159" t="s">
        <v>2121</v>
      </c>
      <c r="AK163" s="141" t="s">
        <v>804</v>
      </c>
      <c r="AL163" s="141" t="s">
        <v>804</v>
      </c>
      <c r="AM163" s="143"/>
      <c r="AN163" s="143" t="s">
        <v>1082</v>
      </c>
      <c r="AO163" s="143"/>
      <c r="AP163" s="143"/>
      <c r="AQ163" s="143"/>
      <c r="AR163" s="143"/>
      <c r="AS163" s="143"/>
      <c r="AT163" s="143"/>
      <c r="AU163" s="143"/>
      <c r="AV163" s="143"/>
      <c r="AW163" s="144"/>
      <c r="AX163" s="145"/>
      <c r="AY163" s="138"/>
      <c r="AZ163" s="138"/>
      <c r="BA163" s="138"/>
      <c r="BB163" s="138"/>
      <c r="BC163" s="138"/>
      <c r="BD163" s="138"/>
      <c r="BE163" s="138"/>
    </row>
    <row r="164" spans="1:57" s="139" customFormat="1" ht="30">
      <c r="A164" s="140" t="s">
        <v>6</v>
      </c>
      <c r="B164" s="129">
        <v>162</v>
      </c>
      <c r="C164" s="141" t="s">
        <v>1078</v>
      </c>
      <c r="D164" s="129" t="s">
        <v>3115</v>
      </c>
      <c r="E164" s="129" t="s">
        <v>1083</v>
      </c>
      <c r="F164" s="129" t="s">
        <v>1084</v>
      </c>
      <c r="G164" s="141" t="s">
        <v>804</v>
      </c>
      <c r="H164" s="129" t="s">
        <v>217</v>
      </c>
      <c r="I164" s="129" t="s">
        <v>1081</v>
      </c>
      <c r="J164" s="129" t="s">
        <v>843</v>
      </c>
      <c r="K164" s="129" t="s">
        <v>843</v>
      </c>
      <c r="L164" s="129" t="s">
        <v>801</v>
      </c>
      <c r="M164" s="129" t="s">
        <v>801</v>
      </c>
      <c r="N164" s="129">
        <v>100</v>
      </c>
      <c r="O164" s="129">
        <v>100</v>
      </c>
      <c r="P164" s="129" t="s">
        <v>801</v>
      </c>
      <c r="Q164" s="129">
        <v>8</v>
      </c>
      <c r="R164" s="129">
        <v>15</v>
      </c>
      <c r="S164" s="129">
        <v>16</v>
      </c>
      <c r="T164" s="129">
        <v>16</v>
      </c>
      <c r="U164" s="141" t="s">
        <v>802</v>
      </c>
      <c r="V164" s="141" t="s">
        <v>803</v>
      </c>
      <c r="W164" s="129">
        <v>500</v>
      </c>
      <c r="X164" s="141" t="s">
        <v>804</v>
      </c>
      <c r="Y164" s="141" t="s">
        <v>1085</v>
      </c>
      <c r="Z164" s="129" t="s">
        <v>194</v>
      </c>
      <c r="AA164" s="129">
        <v>0.1</v>
      </c>
      <c r="AB164" s="129" t="s">
        <v>804</v>
      </c>
      <c r="AC164" s="141" t="s">
        <v>804</v>
      </c>
      <c r="AD164" s="129" t="s">
        <v>804</v>
      </c>
      <c r="AE164" s="141" t="s">
        <v>804</v>
      </c>
      <c r="AF164" s="129">
        <v>0</v>
      </c>
      <c r="AG164" s="129">
        <v>0</v>
      </c>
      <c r="AH164" s="129">
        <v>800</v>
      </c>
      <c r="AI164" s="129" t="s">
        <v>1086</v>
      </c>
      <c r="AJ164" s="159" t="s">
        <v>2137</v>
      </c>
      <c r="AK164" s="141" t="s">
        <v>804</v>
      </c>
      <c r="AL164" s="141" t="s">
        <v>804</v>
      </c>
      <c r="AM164" s="143"/>
      <c r="AN164" s="143" t="s">
        <v>1082</v>
      </c>
      <c r="AO164" s="143"/>
      <c r="AP164" s="143"/>
      <c r="AQ164" s="143"/>
      <c r="AR164" s="143"/>
      <c r="AS164" s="143"/>
      <c r="AT164" s="143"/>
      <c r="AU164" s="143"/>
      <c r="AV164" s="143"/>
      <c r="AW164" s="144"/>
      <c r="AX164" s="145"/>
      <c r="AY164" s="138"/>
      <c r="AZ164" s="138"/>
      <c r="BA164" s="138"/>
      <c r="BB164" s="138"/>
      <c r="BC164" s="138"/>
      <c r="BD164" s="138"/>
      <c r="BE164" s="138"/>
    </row>
    <row r="165" spans="1:57" s="498" customFormat="1" ht="32">
      <c r="A165" s="451" t="s">
        <v>6</v>
      </c>
      <c r="B165" s="452">
        <v>163</v>
      </c>
      <c r="C165" s="491" t="s">
        <v>1078</v>
      </c>
      <c r="D165" s="492" t="s">
        <v>3119</v>
      </c>
      <c r="E165" s="492" t="s">
        <v>1087</v>
      </c>
      <c r="F165" s="492" t="s">
        <v>1088</v>
      </c>
      <c r="G165" s="491" t="s">
        <v>804</v>
      </c>
      <c r="H165" s="492" t="s">
        <v>217</v>
      </c>
      <c r="I165" s="492" t="s">
        <v>1081</v>
      </c>
      <c r="J165" s="492" t="s">
        <v>843</v>
      </c>
      <c r="K165" s="492" t="s">
        <v>843</v>
      </c>
      <c r="L165" s="492" t="s">
        <v>801</v>
      </c>
      <c r="M165" s="492" t="s">
        <v>801</v>
      </c>
      <c r="N165" s="492">
        <v>100</v>
      </c>
      <c r="O165" s="492">
        <v>100</v>
      </c>
      <c r="P165" s="492" t="s">
        <v>801</v>
      </c>
      <c r="Q165" s="492">
        <v>8</v>
      </c>
      <c r="R165" s="492">
        <v>31</v>
      </c>
      <c r="S165" s="492">
        <v>32</v>
      </c>
      <c r="T165" s="492">
        <v>16</v>
      </c>
      <c r="U165" s="491" t="s">
        <v>802</v>
      </c>
      <c r="V165" s="491" t="s">
        <v>803</v>
      </c>
      <c r="W165" s="492">
        <v>500</v>
      </c>
      <c r="X165" s="491" t="s">
        <v>804</v>
      </c>
      <c r="Y165" s="491" t="s">
        <v>1085</v>
      </c>
      <c r="Z165" s="492" t="s">
        <v>194</v>
      </c>
      <c r="AA165" s="492">
        <v>1</v>
      </c>
      <c r="AB165" s="492" t="s">
        <v>804</v>
      </c>
      <c r="AC165" s="491" t="s">
        <v>804</v>
      </c>
      <c r="AD165" s="492" t="s">
        <v>1089</v>
      </c>
      <c r="AE165" s="491" t="s">
        <v>804</v>
      </c>
      <c r="AF165" s="492">
        <v>0</v>
      </c>
      <c r="AG165" s="492">
        <v>0</v>
      </c>
      <c r="AH165" s="492">
        <v>1000</v>
      </c>
      <c r="AI165" s="492" t="s">
        <v>1090</v>
      </c>
      <c r="AJ165" s="493" t="s">
        <v>2140</v>
      </c>
      <c r="AK165" s="491" t="s">
        <v>804</v>
      </c>
      <c r="AL165" s="491" t="s">
        <v>2114</v>
      </c>
      <c r="AM165" s="494" t="s">
        <v>807</v>
      </c>
      <c r="AN165" s="494" t="s">
        <v>1082</v>
      </c>
      <c r="AO165" s="494"/>
      <c r="AP165" s="494"/>
      <c r="AQ165" s="494"/>
      <c r="AR165" s="494"/>
      <c r="AS165" s="494"/>
      <c r="AT165" s="494"/>
      <c r="AU165" s="494"/>
      <c r="AV165" s="494"/>
      <c r="AW165" s="495"/>
      <c r="AX165" s="496"/>
      <c r="AY165" s="497"/>
      <c r="AZ165" s="497"/>
      <c r="BA165" s="497"/>
      <c r="BB165" s="497"/>
      <c r="BC165" s="497"/>
      <c r="BD165" s="497"/>
      <c r="BE165" s="497"/>
    </row>
    <row r="166" spans="1:57" s="139" customFormat="1" ht="30">
      <c r="A166" s="140" t="s">
        <v>6</v>
      </c>
      <c r="B166" s="129">
        <v>164</v>
      </c>
      <c r="C166" s="141" t="s">
        <v>937</v>
      </c>
      <c r="D166" s="129" t="s">
        <v>3115</v>
      </c>
      <c r="E166" s="172" t="s">
        <v>2069</v>
      </c>
      <c r="F166" s="129" t="s">
        <v>2068</v>
      </c>
      <c r="G166" s="141" t="s">
        <v>665</v>
      </c>
      <c r="H166" s="129" t="s">
        <v>217</v>
      </c>
      <c r="I166" s="129" t="s">
        <v>1081</v>
      </c>
      <c r="J166" s="129" t="s">
        <v>815</v>
      </c>
      <c r="K166" s="129" t="s">
        <v>815</v>
      </c>
      <c r="L166" s="129" t="s">
        <v>193</v>
      </c>
      <c r="M166" s="129" t="s">
        <v>193</v>
      </c>
      <c r="N166" s="129">
        <v>100</v>
      </c>
      <c r="O166" s="129">
        <v>100</v>
      </c>
      <c r="P166" s="129" t="s">
        <v>193</v>
      </c>
      <c r="Q166" s="129">
        <v>8</v>
      </c>
      <c r="R166" s="129">
        <v>47</v>
      </c>
      <c r="S166" s="129">
        <v>54</v>
      </c>
      <c r="T166" s="129">
        <v>10</v>
      </c>
      <c r="U166" s="141" t="s">
        <v>670</v>
      </c>
      <c r="V166" s="141" t="s">
        <v>671</v>
      </c>
      <c r="W166" s="129">
        <v>500</v>
      </c>
      <c r="X166" s="141" t="s">
        <v>665</v>
      </c>
      <c r="Y166" s="141" t="s">
        <v>941</v>
      </c>
      <c r="Z166" s="129" t="s">
        <v>194</v>
      </c>
      <c r="AA166" s="129">
        <v>0.1</v>
      </c>
      <c r="AB166" s="129" t="s">
        <v>942</v>
      </c>
      <c r="AC166" s="141" t="s">
        <v>665</v>
      </c>
      <c r="AD166" s="129" t="s">
        <v>942</v>
      </c>
      <c r="AE166" s="141" t="s">
        <v>665</v>
      </c>
      <c r="AF166" s="129">
        <v>0</v>
      </c>
      <c r="AG166" s="129">
        <v>0</v>
      </c>
      <c r="AH166" s="129">
        <v>50</v>
      </c>
      <c r="AI166" s="129" t="s">
        <v>2337</v>
      </c>
      <c r="AJ166" s="142" t="s">
        <v>2338</v>
      </c>
      <c r="AK166" s="209" t="s">
        <v>665</v>
      </c>
      <c r="AL166" s="169" t="s">
        <v>2060</v>
      </c>
      <c r="AM166" s="143"/>
      <c r="AN166" s="210" t="s">
        <v>195</v>
      </c>
      <c r="AO166" s="143"/>
      <c r="AP166" s="143"/>
      <c r="AQ166" s="143"/>
      <c r="AR166" s="143"/>
      <c r="AS166" s="143"/>
      <c r="AT166" s="143"/>
      <c r="AU166" s="143"/>
      <c r="AV166" s="143"/>
      <c r="AW166" s="144"/>
      <c r="AX166" s="145"/>
      <c r="AY166" s="138"/>
      <c r="AZ166" s="138"/>
      <c r="BA166" s="138"/>
      <c r="BB166" s="138"/>
      <c r="BC166" s="138"/>
      <c r="BD166" s="138"/>
      <c r="BE166" s="138"/>
    </row>
    <row r="167" spans="1:57" s="139" customFormat="1" ht="25">
      <c r="A167" s="140" t="s">
        <v>6</v>
      </c>
      <c r="B167" s="129">
        <v>165</v>
      </c>
      <c r="C167" s="141" t="s">
        <v>1078</v>
      </c>
      <c r="D167" s="129" t="s">
        <v>3118</v>
      </c>
      <c r="E167" s="141" t="s">
        <v>1091</v>
      </c>
      <c r="F167" s="141" t="s">
        <v>1092</v>
      </c>
      <c r="G167" s="141" t="s">
        <v>804</v>
      </c>
      <c r="H167" s="129" t="s">
        <v>217</v>
      </c>
      <c r="I167" s="129" t="s">
        <v>1081</v>
      </c>
      <c r="J167" s="129" t="s">
        <v>843</v>
      </c>
      <c r="K167" s="129" t="s">
        <v>843</v>
      </c>
      <c r="L167" s="129" t="s">
        <v>801</v>
      </c>
      <c r="M167" s="129" t="s">
        <v>801</v>
      </c>
      <c r="N167" s="129">
        <v>100</v>
      </c>
      <c r="O167" s="129">
        <v>100</v>
      </c>
      <c r="P167" s="129" t="s">
        <v>801</v>
      </c>
      <c r="Q167" s="129">
        <v>8</v>
      </c>
      <c r="R167" s="129">
        <v>59</v>
      </c>
      <c r="S167" s="129">
        <v>56</v>
      </c>
      <c r="T167" s="129">
        <v>4</v>
      </c>
      <c r="U167" s="141" t="s">
        <v>802</v>
      </c>
      <c r="V167" s="141" t="s">
        <v>803</v>
      </c>
      <c r="W167" s="129">
        <v>500</v>
      </c>
      <c r="X167" s="141" t="s">
        <v>804</v>
      </c>
      <c r="Y167" s="141" t="s">
        <v>817</v>
      </c>
      <c r="Z167" s="129" t="s">
        <v>194</v>
      </c>
      <c r="AA167" s="141">
        <v>1</v>
      </c>
      <c r="AB167" s="141" t="s">
        <v>804</v>
      </c>
      <c r="AC167" s="141" t="s">
        <v>804</v>
      </c>
      <c r="AD167" s="141" t="s">
        <v>804</v>
      </c>
      <c r="AE167" s="141" t="s">
        <v>804</v>
      </c>
      <c r="AF167" s="141">
        <v>0</v>
      </c>
      <c r="AG167" s="141">
        <v>0</v>
      </c>
      <c r="AH167" s="141">
        <v>15</v>
      </c>
      <c r="AI167" s="141" t="s">
        <v>806</v>
      </c>
      <c r="AJ167" s="159" t="s">
        <v>2123</v>
      </c>
      <c r="AK167" s="141" t="s">
        <v>804</v>
      </c>
      <c r="AL167" s="141" t="s">
        <v>804</v>
      </c>
      <c r="AM167" s="143"/>
      <c r="AN167" s="143" t="s">
        <v>807</v>
      </c>
      <c r="AO167" s="143"/>
      <c r="AP167" s="143"/>
      <c r="AQ167" s="143"/>
      <c r="AR167" s="143"/>
      <c r="AS167" s="143"/>
      <c r="AT167" s="143"/>
      <c r="AU167" s="143"/>
      <c r="AV167" s="143"/>
      <c r="AW167" s="144"/>
      <c r="AX167" s="145"/>
      <c r="AY167" s="138"/>
      <c r="AZ167" s="138"/>
      <c r="BA167" s="138"/>
      <c r="BB167" s="138"/>
      <c r="BC167" s="138"/>
      <c r="BD167" s="138"/>
      <c r="BE167" s="138"/>
    </row>
    <row r="168" spans="1:57" s="139" customFormat="1" ht="44">
      <c r="A168" s="140" t="s">
        <v>6</v>
      </c>
      <c r="B168" s="129">
        <v>166</v>
      </c>
      <c r="C168" s="141" t="s">
        <v>1078</v>
      </c>
      <c r="D168" s="129" t="s">
        <v>3123</v>
      </c>
      <c r="E168" s="141" t="s">
        <v>1093</v>
      </c>
      <c r="F168" s="141" t="s">
        <v>1080</v>
      </c>
      <c r="G168" s="141" t="s">
        <v>804</v>
      </c>
      <c r="H168" s="129" t="s">
        <v>218</v>
      </c>
      <c r="I168" s="129" t="s">
        <v>1094</v>
      </c>
      <c r="J168" s="129" t="s">
        <v>843</v>
      </c>
      <c r="K168" s="129" t="s">
        <v>843</v>
      </c>
      <c r="L168" s="129" t="s">
        <v>801</v>
      </c>
      <c r="M168" s="129" t="s">
        <v>801</v>
      </c>
      <c r="N168" s="129">
        <v>100</v>
      </c>
      <c r="O168" s="129">
        <v>100</v>
      </c>
      <c r="P168" s="129" t="s">
        <v>801</v>
      </c>
      <c r="Q168" s="129">
        <v>8</v>
      </c>
      <c r="R168" s="129">
        <v>7</v>
      </c>
      <c r="S168" s="129">
        <v>0</v>
      </c>
      <c r="T168" s="129">
        <v>8</v>
      </c>
      <c r="U168" s="141" t="s">
        <v>802</v>
      </c>
      <c r="V168" s="141" t="s">
        <v>803</v>
      </c>
      <c r="W168" s="129">
        <v>500</v>
      </c>
      <c r="X168" s="141" t="s">
        <v>804</v>
      </c>
      <c r="Y168" s="141" t="s">
        <v>805</v>
      </c>
      <c r="Z168" s="129" t="s">
        <v>194</v>
      </c>
      <c r="AA168" s="141">
        <v>1</v>
      </c>
      <c r="AB168" s="141" t="s">
        <v>804</v>
      </c>
      <c r="AC168" s="141" t="s">
        <v>804</v>
      </c>
      <c r="AD168" s="141" t="s">
        <v>804</v>
      </c>
      <c r="AE168" s="141" t="s">
        <v>804</v>
      </c>
      <c r="AF168" s="141">
        <v>0</v>
      </c>
      <c r="AG168" s="141">
        <v>0</v>
      </c>
      <c r="AH168" s="141">
        <v>255</v>
      </c>
      <c r="AI168" s="141" t="s">
        <v>806</v>
      </c>
      <c r="AJ168" s="159" t="s">
        <v>2121</v>
      </c>
      <c r="AK168" s="141" t="s">
        <v>804</v>
      </c>
      <c r="AL168" s="141" t="s">
        <v>804</v>
      </c>
      <c r="AM168" s="143"/>
      <c r="AN168" s="143" t="s">
        <v>807</v>
      </c>
      <c r="AO168" s="143"/>
      <c r="AP168" s="143" t="s">
        <v>1082</v>
      </c>
      <c r="AQ168" s="143"/>
      <c r="AR168" s="143"/>
      <c r="AS168" s="143"/>
      <c r="AT168" s="143"/>
      <c r="AU168" s="143"/>
      <c r="AV168" s="143"/>
      <c r="AW168" s="144"/>
      <c r="AX168" s="145"/>
      <c r="AY168" s="138"/>
      <c r="AZ168" s="138"/>
      <c r="BA168" s="138"/>
      <c r="BB168" s="138"/>
      <c r="BC168" s="138"/>
      <c r="BD168" s="138"/>
      <c r="BE168" s="138"/>
    </row>
    <row r="169" spans="1:57" s="139" customFormat="1" ht="30">
      <c r="A169" s="140" t="s">
        <v>6</v>
      </c>
      <c r="B169" s="129">
        <v>167</v>
      </c>
      <c r="C169" s="141" t="s">
        <v>1078</v>
      </c>
      <c r="D169" s="129" t="s">
        <v>3124</v>
      </c>
      <c r="E169" s="129" t="s">
        <v>1096</v>
      </c>
      <c r="F169" s="129" t="s">
        <v>1097</v>
      </c>
      <c r="G169" s="141" t="s">
        <v>804</v>
      </c>
      <c r="H169" s="129" t="s">
        <v>1098</v>
      </c>
      <c r="I169" s="129" t="s">
        <v>1094</v>
      </c>
      <c r="J169" s="129" t="s">
        <v>843</v>
      </c>
      <c r="K169" s="129" t="s">
        <v>843</v>
      </c>
      <c r="L169" s="129" t="s">
        <v>801</v>
      </c>
      <c r="M169" s="129" t="s">
        <v>801</v>
      </c>
      <c r="N169" s="129">
        <v>100</v>
      </c>
      <c r="O169" s="129">
        <v>100</v>
      </c>
      <c r="P169" s="129" t="s">
        <v>801</v>
      </c>
      <c r="Q169" s="129">
        <v>8</v>
      </c>
      <c r="R169" s="129">
        <v>15</v>
      </c>
      <c r="S169" s="129">
        <v>16</v>
      </c>
      <c r="T169" s="129">
        <v>16</v>
      </c>
      <c r="U169" s="141" t="s">
        <v>802</v>
      </c>
      <c r="V169" s="141" t="s">
        <v>803</v>
      </c>
      <c r="W169" s="129">
        <v>500</v>
      </c>
      <c r="X169" s="141" t="s">
        <v>804</v>
      </c>
      <c r="Y169" s="141" t="s">
        <v>1085</v>
      </c>
      <c r="Z169" s="129" t="s">
        <v>194</v>
      </c>
      <c r="AA169" s="129">
        <v>0.1</v>
      </c>
      <c r="AB169" s="129" t="s">
        <v>1099</v>
      </c>
      <c r="AC169" s="141" t="s">
        <v>804</v>
      </c>
      <c r="AD169" s="129" t="s">
        <v>1099</v>
      </c>
      <c r="AE169" s="141" t="s">
        <v>804</v>
      </c>
      <c r="AF169" s="129">
        <v>0</v>
      </c>
      <c r="AG169" s="129">
        <v>0</v>
      </c>
      <c r="AH169" s="129">
        <v>500</v>
      </c>
      <c r="AI169" s="129" t="s">
        <v>1100</v>
      </c>
      <c r="AJ169" s="164" t="s">
        <v>2138</v>
      </c>
      <c r="AK169" s="141" t="s">
        <v>804</v>
      </c>
      <c r="AL169" s="141"/>
      <c r="AM169" s="143"/>
      <c r="AN169" s="160" t="s">
        <v>2391</v>
      </c>
      <c r="AO169" s="143"/>
      <c r="AP169" s="143" t="s">
        <v>1082</v>
      </c>
      <c r="AQ169" s="143"/>
      <c r="AR169" s="143"/>
      <c r="AS169" s="143"/>
      <c r="AT169" s="143"/>
      <c r="AU169" s="143"/>
      <c r="AV169" s="143"/>
      <c r="AW169" s="144"/>
      <c r="AX169" s="145"/>
      <c r="AY169" s="138"/>
      <c r="AZ169" s="138"/>
      <c r="BA169" s="138"/>
      <c r="BB169" s="138"/>
      <c r="BC169" s="138"/>
      <c r="BD169" s="138"/>
      <c r="BE169" s="138"/>
    </row>
    <row r="170" spans="1:57" s="139" customFormat="1" ht="30">
      <c r="A170" s="140" t="s">
        <v>6</v>
      </c>
      <c r="B170" s="129">
        <v>168</v>
      </c>
      <c r="C170" s="141" t="s">
        <v>1078</v>
      </c>
      <c r="D170" s="129" t="s">
        <v>3125</v>
      </c>
      <c r="E170" s="129" t="s">
        <v>1101</v>
      </c>
      <c r="F170" s="129" t="s">
        <v>1102</v>
      </c>
      <c r="G170" s="141" t="s">
        <v>804</v>
      </c>
      <c r="H170" s="129" t="s">
        <v>218</v>
      </c>
      <c r="I170" s="129" t="s">
        <v>1094</v>
      </c>
      <c r="J170" s="129" t="s">
        <v>843</v>
      </c>
      <c r="K170" s="129" t="s">
        <v>843</v>
      </c>
      <c r="L170" s="129" t="s">
        <v>801</v>
      </c>
      <c r="M170" s="129" t="s">
        <v>801</v>
      </c>
      <c r="N170" s="129">
        <v>100</v>
      </c>
      <c r="O170" s="129">
        <v>100</v>
      </c>
      <c r="P170" s="129" t="s">
        <v>801</v>
      </c>
      <c r="Q170" s="129">
        <v>8</v>
      </c>
      <c r="R170" s="129">
        <v>31</v>
      </c>
      <c r="S170" s="129">
        <v>32</v>
      </c>
      <c r="T170" s="129">
        <v>16</v>
      </c>
      <c r="U170" s="141" t="s">
        <v>802</v>
      </c>
      <c r="V170" s="141" t="s">
        <v>803</v>
      </c>
      <c r="W170" s="129">
        <v>500</v>
      </c>
      <c r="X170" s="141" t="s">
        <v>804</v>
      </c>
      <c r="Y170" s="141" t="s">
        <v>1085</v>
      </c>
      <c r="Z170" s="129" t="s">
        <v>194</v>
      </c>
      <c r="AA170" s="129">
        <v>0.1</v>
      </c>
      <c r="AB170" s="129" t="s">
        <v>1103</v>
      </c>
      <c r="AC170" s="141" t="s">
        <v>804</v>
      </c>
      <c r="AD170" s="129" t="s">
        <v>1103</v>
      </c>
      <c r="AE170" s="141" t="s">
        <v>804</v>
      </c>
      <c r="AF170" s="129">
        <v>0</v>
      </c>
      <c r="AG170" s="129">
        <v>0</v>
      </c>
      <c r="AH170" s="129">
        <v>800</v>
      </c>
      <c r="AI170" s="129" t="s">
        <v>1086</v>
      </c>
      <c r="AJ170" s="159" t="s">
        <v>2137</v>
      </c>
      <c r="AK170" s="141" t="s">
        <v>804</v>
      </c>
      <c r="AL170" s="141"/>
      <c r="AM170" s="143"/>
      <c r="AN170" s="143"/>
      <c r="AO170" s="143"/>
      <c r="AP170" s="143" t="s">
        <v>1082</v>
      </c>
      <c r="AQ170" s="143"/>
      <c r="AR170" s="143"/>
      <c r="AS170" s="143"/>
      <c r="AT170" s="143"/>
      <c r="AU170" s="143"/>
      <c r="AV170" s="143"/>
      <c r="AW170" s="144"/>
      <c r="AX170" s="145"/>
      <c r="AY170" s="138"/>
      <c r="AZ170" s="138"/>
      <c r="BA170" s="138"/>
      <c r="BB170" s="138"/>
      <c r="BC170" s="138"/>
      <c r="BD170" s="138"/>
      <c r="BE170" s="138"/>
    </row>
    <row r="171" spans="1:57" s="139" customFormat="1" ht="58">
      <c r="A171" s="140" t="s">
        <v>6</v>
      </c>
      <c r="B171" s="129">
        <v>169</v>
      </c>
      <c r="C171" s="141" t="s">
        <v>1078</v>
      </c>
      <c r="D171" s="129" t="s">
        <v>3125</v>
      </c>
      <c r="E171" s="129" t="s">
        <v>1104</v>
      </c>
      <c r="F171" s="129" t="s">
        <v>1105</v>
      </c>
      <c r="G171" s="141" t="s">
        <v>804</v>
      </c>
      <c r="H171" s="129" t="s">
        <v>218</v>
      </c>
      <c r="I171" s="129" t="s">
        <v>1094</v>
      </c>
      <c r="J171" s="129" t="s">
        <v>843</v>
      </c>
      <c r="K171" s="129" t="s">
        <v>843</v>
      </c>
      <c r="L171" s="129" t="s">
        <v>801</v>
      </c>
      <c r="M171" s="129" t="s">
        <v>801</v>
      </c>
      <c r="N171" s="129">
        <v>100</v>
      </c>
      <c r="O171" s="129">
        <v>100</v>
      </c>
      <c r="P171" s="129" t="s">
        <v>801</v>
      </c>
      <c r="Q171" s="129">
        <v>8</v>
      </c>
      <c r="R171" s="129">
        <v>47</v>
      </c>
      <c r="S171" s="129">
        <v>46</v>
      </c>
      <c r="T171" s="129">
        <v>2</v>
      </c>
      <c r="U171" s="141" t="s">
        <v>802</v>
      </c>
      <c r="V171" s="141" t="s">
        <v>803</v>
      </c>
      <c r="W171" s="129">
        <v>500</v>
      </c>
      <c r="X171" s="141" t="s">
        <v>804</v>
      </c>
      <c r="Y171" s="141" t="s">
        <v>817</v>
      </c>
      <c r="Z171" s="129" t="s">
        <v>194</v>
      </c>
      <c r="AA171" s="129">
        <v>1</v>
      </c>
      <c r="AB171" s="129" t="s">
        <v>804</v>
      </c>
      <c r="AC171" s="141" t="s">
        <v>804</v>
      </c>
      <c r="AD171" s="129" t="s">
        <v>804</v>
      </c>
      <c r="AE171" s="141" t="s">
        <v>804</v>
      </c>
      <c r="AF171" s="129">
        <v>0</v>
      </c>
      <c r="AG171" s="129">
        <v>0</v>
      </c>
      <c r="AH171" s="129">
        <v>3</v>
      </c>
      <c r="AI171" s="129" t="s">
        <v>804</v>
      </c>
      <c r="AJ171" s="159" t="s">
        <v>1106</v>
      </c>
      <c r="AK171" s="141" t="s">
        <v>804</v>
      </c>
      <c r="AL171" s="141"/>
      <c r="AM171" s="143"/>
      <c r="AN171" s="143"/>
      <c r="AO171" s="143"/>
      <c r="AP171" s="143" t="s">
        <v>1082</v>
      </c>
      <c r="AQ171" s="143"/>
      <c r="AR171" s="143"/>
      <c r="AS171" s="143"/>
      <c r="AT171" s="143"/>
      <c r="AU171" s="143"/>
      <c r="AV171" s="143"/>
      <c r="AW171" s="144"/>
      <c r="AX171" s="145"/>
      <c r="AY171" s="138"/>
      <c r="AZ171" s="138"/>
      <c r="BA171" s="138"/>
      <c r="BB171" s="138"/>
      <c r="BC171" s="138"/>
      <c r="BD171" s="138"/>
      <c r="BE171" s="138"/>
    </row>
    <row r="172" spans="1:57" s="139" customFormat="1" ht="30">
      <c r="A172" s="140" t="s">
        <v>6</v>
      </c>
      <c r="B172" s="129">
        <v>170</v>
      </c>
      <c r="C172" s="141" t="s">
        <v>1078</v>
      </c>
      <c r="D172" s="129" t="s">
        <v>3115</v>
      </c>
      <c r="E172" s="129" t="s">
        <v>1107</v>
      </c>
      <c r="F172" s="129" t="s">
        <v>1108</v>
      </c>
      <c r="G172" s="141" t="s">
        <v>804</v>
      </c>
      <c r="H172" s="129" t="s">
        <v>1098</v>
      </c>
      <c r="I172" s="129" t="s">
        <v>1094</v>
      </c>
      <c r="J172" s="129" t="s">
        <v>843</v>
      </c>
      <c r="K172" s="129" t="s">
        <v>843</v>
      </c>
      <c r="L172" s="129" t="s">
        <v>801</v>
      </c>
      <c r="M172" s="129" t="s">
        <v>801</v>
      </c>
      <c r="N172" s="129">
        <v>100</v>
      </c>
      <c r="O172" s="129">
        <v>100</v>
      </c>
      <c r="P172" s="129" t="s">
        <v>801</v>
      </c>
      <c r="Q172" s="129">
        <v>8</v>
      </c>
      <c r="R172" s="129">
        <v>45</v>
      </c>
      <c r="S172" s="129">
        <v>45</v>
      </c>
      <c r="T172" s="129">
        <v>1</v>
      </c>
      <c r="U172" s="141" t="s">
        <v>802</v>
      </c>
      <c r="V172" s="141" t="s">
        <v>803</v>
      </c>
      <c r="W172" s="141" t="s">
        <v>804</v>
      </c>
      <c r="X172" s="141" t="s">
        <v>804</v>
      </c>
      <c r="Y172" s="141" t="s">
        <v>817</v>
      </c>
      <c r="Z172" s="129" t="s">
        <v>194</v>
      </c>
      <c r="AA172" s="129">
        <v>1</v>
      </c>
      <c r="AB172" s="141" t="s">
        <v>804</v>
      </c>
      <c r="AC172" s="141" t="s">
        <v>804</v>
      </c>
      <c r="AD172" s="141" t="s">
        <v>804</v>
      </c>
      <c r="AE172" s="141" t="s">
        <v>804</v>
      </c>
      <c r="AF172" s="129">
        <v>0</v>
      </c>
      <c r="AG172" s="129">
        <v>0</v>
      </c>
      <c r="AH172" s="129">
        <v>1</v>
      </c>
      <c r="AI172" s="129" t="s">
        <v>804</v>
      </c>
      <c r="AJ172" s="159" t="s">
        <v>1109</v>
      </c>
      <c r="AK172" s="129" t="s">
        <v>804</v>
      </c>
      <c r="AL172" s="141"/>
      <c r="AM172" s="143"/>
      <c r="AN172" s="143" t="s">
        <v>807</v>
      </c>
      <c r="AO172" s="143"/>
      <c r="AP172" s="143"/>
      <c r="AQ172" s="143"/>
      <c r="AR172" s="143"/>
      <c r="AS172" s="143"/>
      <c r="AT172" s="143"/>
      <c r="AU172" s="143"/>
      <c r="AV172" s="143"/>
      <c r="AW172" s="144"/>
      <c r="AX172" s="145"/>
      <c r="AY172" s="138"/>
      <c r="AZ172" s="138"/>
      <c r="BA172" s="138"/>
      <c r="BB172" s="138"/>
      <c r="BC172" s="138"/>
      <c r="BD172" s="138"/>
      <c r="BE172" s="138"/>
    </row>
    <row r="173" spans="1:57" s="139" customFormat="1" ht="30">
      <c r="A173" s="140" t="s">
        <v>6</v>
      </c>
      <c r="B173" s="129">
        <v>171</v>
      </c>
      <c r="C173" s="141" t="s">
        <v>1078</v>
      </c>
      <c r="D173" s="129" t="s">
        <v>3115</v>
      </c>
      <c r="E173" s="129" t="s">
        <v>1110</v>
      </c>
      <c r="F173" s="129" t="s">
        <v>1111</v>
      </c>
      <c r="G173" s="141" t="s">
        <v>804</v>
      </c>
      <c r="H173" s="129" t="s">
        <v>1098</v>
      </c>
      <c r="I173" s="129" t="s">
        <v>1094</v>
      </c>
      <c r="J173" s="129" t="s">
        <v>843</v>
      </c>
      <c r="K173" s="129" t="s">
        <v>843</v>
      </c>
      <c r="L173" s="129" t="s">
        <v>801</v>
      </c>
      <c r="M173" s="129" t="s">
        <v>801</v>
      </c>
      <c r="N173" s="129">
        <v>100</v>
      </c>
      <c r="O173" s="129">
        <v>100</v>
      </c>
      <c r="P173" s="129" t="s">
        <v>801</v>
      </c>
      <c r="Q173" s="129">
        <v>8</v>
      </c>
      <c r="R173" s="129">
        <v>44</v>
      </c>
      <c r="S173" s="129">
        <v>44</v>
      </c>
      <c r="T173" s="129">
        <v>1</v>
      </c>
      <c r="U173" s="141" t="s">
        <v>802</v>
      </c>
      <c r="V173" s="141" t="s">
        <v>803</v>
      </c>
      <c r="W173" s="141" t="s">
        <v>804</v>
      </c>
      <c r="X173" s="141" t="s">
        <v>804</v>
      </c>
      <c r="Y173" s="141" t="s">
        <v>817</v>
      </c>
      <c r="Z173" s="129" t="s">
        <v>194</v>
      </c>
      <c r="AA173" s="129">
        <v>1</v>
      </c>
      <c r="AB173" s="141" t="s">
        <v>804</v>
      </c>
      <c r="AC173" s="141" t="s">
        <v>804</v>
      </c>
      <c r="AD173" s="141" t="s">
        <v>804</v>
      </c>
      <c r="AE173" s="141" t="s">
        <v>804</v>
      </c>
      <c r="AF173" s="129">
        <v>0</v>
      </c>
      <c r="AG173" s="129">
        <v>0</v>
      </c>
      <c r="AH173" s="129">
        <v>1</v>
      </c>
      <c r="AI173" s="141" t="s">
        <v>806</v>
      </c>
      <c r="AJ173" s="159" t="s">
        <v>1109</v>
      </c>
      <c r="AK173" s="141" t="s">
        <v>806</v>
      </c>
      <c r="AL173" s="141"/>
      <c r="AM173" s="143"/>
      <c r="AN173" s="143" t="s">
        <v>807</v>
      </c>
      <c r="AO173" s="143"/>
      <c r="AP173" s="143"/>
      <c r="AQ173" s="143"/>
      <c r="AR173" s="143"/>
      <c r="AS173" s="143"/>
      <c r="AT173" s="143"/>
      <c r="AU173" s="143"/>
      <c r="AV173" s="143"/>
      <c r="AW173" s="144"/>
      <c r="AX173" s="145"/>
      <c r="AY173" s="138"/>
      <c r="AZ173" s="138"/>
      <c r="BA173" s="138"/>
      <c r="BB173" s="138"/>
      <c r="BC173" s="138"/>
      <c r="BD173" s="138"/>
      <c r="BE173" s="138"/>
    </row>
    <row r="174" spans="1:57" s="459" customFormat="1" ht="44">
      <c r="A174" s="451" t="s">
        <v>6</v>
      </c>
      <c r="B174" s="452">
        <v>172</v>
      </c>
      <c r="C174" s="450" t="s">
        <v>1078</v>
      </c>
      <c r="D174" s="452" t="s">
        <v>3119</v>
      </c>
      <c r="E174" s="452" t="s">
        <v>1112</v>
      </c>
      <c r="F174" s="452" t="s">
        <v>1113</v>
      </c>
      <c r="G174" s="450" t="s">
        <v>804</v>
      </c>
      <c r="H174" s="452" t="s">
        <v>218</v>
      </c>
      <c r="I174" s="452" t="s">
        <v>1094</v>
      </c>
      <c r="J174" s="452" t="s">
        <v>843</v>
      </c>
      <c r="K174" s="452" t="s">
        <v>843</v>
      </c>
      <c r="L174" s="452" t="s">
        <v>801</v>
      </c>
      <c r="M174" s="452" t="s">
        <v>801</v>
      </c>
      <c r="N174" s="452">
        <v>100</v>
      </c>
      <c r="O174" s="452">
        <v>100</v>
      </c>
      <c r="P174" s="452" t="s">
        <v>801</v>
      </c>
      <c r="Q174" s="452">
        <v>8</v>
      </c>
      <c r="R174" s="452">
        <v>55</v>
      </c>
      <c r="S174" s="452">
        <v>55</v>
      </c>
      <c r="T174" s="452">
        <v>1</v>
      </c>
      <c r="U174" s="450" t="s">
        <v>802</v>
      </c>
      <c r="V174" s="450" t="s">
        <v>803</v>
      </c>
      <c r="W174" s="452">
        <v>500</v>
      </c>
      <c r="X174" s="450" t="s">
        <v>804</v>
      </c>
      <c r="Y174" s="452" t="s">
        <v>817</v>
      </c>
      <c r="Z174" s="452" t="s">
        <v>194</v>
      </c>
      <c r="AA174" s="452">
        <v>1</v>
      </c>
      <c r="AB174" s="452" t="s">
        <v>804</v>
      </c>
      <c r="AC174" s="450" t="s">
        <v>804</v>
      </c>
      <c r="AD174" s="452" t="s">
        <v>804</v>
      </c>
      <c r="AE174" s="450" t="s">
        <v>804</v>
      </c>
      <c r="AF174" s="452">
        <v>0</v>
      </c>
      <c r="AG174" s="452">
        <v>0</v>
      </c>
      <c r="AH174" s="452">
        <v>1</v>
      </c>
      <c r="AI174" s="452" t="s">
        <v>804</v>
      </c>
      <c r="AJ174" s="455" t="s">
        <v>3157</v>
      </c>
      <c r="AK174" s="450" t="s">
        <v>804</v>
      </c>
      <c r="AL174" s="453" t="s">
        <v>2295</v>
      </c>
      <c r="AM174" s="285" t="s">
        <v>807</v>
      </c>
      <c r="AN174" s="285" t="s">
        <v>1082</v>
      </c>
      <c r="AO174" s="285"/>
      <c r="AP174" s="285"/>
      <c r="AQ174" s="285"/>
      <c r="AR174" s="285"/>
      <c r="AS174" s="285"/>
      <c r="AT174" s="285"/>
      <c r="AU174" s="285"/>
      <c r="AV174" s="285"/>
      <c r="AW174" s="456"/>
      <c r="AX174" s="457"/>
      <c r="AY174" s="458"/>
      <c r="AZ174" s="458"/>
      <c r="BA174" s="458"/>
      <c r="BB174" s="458"/>
      <c r="BC174" s="458"/>
      <c r="BD174" s="458"/>
      <c r="BE174" s="458"/>
    </row>
    <row r="175" spans="1:57" s="459" customFormat="1" ht="58">
      <c r="A175" s="451" t="s">
        <v>6</v>
      </c>
      <c r="B175" s="452">
        <v>173</v>
      </c>
      <c r="C175" s="450" t="s">
        <v>1078</v>
      </c>
      <c r="D175" s="452" t="s">
        <v>3119</v>
      </c>
      <c r="E175" s="452" t="s">
        <v>1115</v>
      </c>
      <c r="F175" s="452" t="s">
        <v>1116</v>
      </c>
      <c r="G175" s="450" t="s">
        <v>804</v>
      </c>
      <c r="H175" s="452" t="s">
        <v>218</v>
      </c>
      <c r="I175" s="452" t="s">
        <v>1094</v>
      </c>
      <c r="J175" s="452" t="s">
        <v>843</v>
      </c>
      <c r="K175" s="452" t="s">
        <v>843</v>
      </c>
      <c r="L175" s="452" t="s">
        <v>801</v>
      </c>
      <c r="M175" s="452" t="s">
        <v>801</v>
      </c>
      <c r="N175" s="452">
        <v>100</v>
      </c>
      <c r="O175" s="452">
        <v>100</v>
      </c>
      <c r="P175" s="452" t="s">
        <v>801</v>
      </c>
      <c r="Q175" s="452">
        <v>8</v>
      </c>
      <c r="R175" s="452">
        <v>54</v>
      </c>
      <c r="S175" s="452">
        <v>53</v>
      </c>
      <c r="T175" s="452">
        <v>2</v>
      </c>
      <c r="U175" s="450" t="s">
        <v>802</v>
      </c>
      <c r="V175" s="450" t="s">
        <v>803</v>
      </c>
      <c r="W175" s="452">
        <v>500</v>
      </c>
      <c r="X175" s="450" t="s">
        <v>804</v>
      </c>
      <c r="Y175" s="450" t="s">
        <v>817</v>
      </c>
      <c r="Z175" s="452" t="s">
        <v>194</v>
      </c>
      <c r="AA175" s="452">
        <v>1</v>
      </c>
      <c r="AB175" s="452" t="s">
        <v>804</v>
      </c>
      <c r="AC175" s="450" t="s">
        <v>804</v>
      </c>
      <c r="AD175" s="452" t="s">
        <v>804</v>
      </c>
      <c r="AE175" s="450" t="s">
        <v>804</v>
      </c>
      <c r="AF175" s="452">
        <v>0</v>
      </c>
      <c r="AG175" s="452">
        <v>0</v>
      </c>
      <c r="AH175" s="452">
        <v>3</v>
      </c>
      <c r="AI175" s="452" t="s">
        <v>804</v>
      </c>
      <c r="AJ175" s="455" t="s">
        <v>3154</v>
      </c>
      <c r="AK175" s="450" t="s">
        <v>804</v>
      </c>
      <c r="AL175" s="453" t="s">
        <v>2295</v>
      </c>
      <c r="AM175" s="285" t="s">
        <v>807</v>
      </c>
      <c r="AN175" s="285" t="s">
        <v>1082</v>
      </c>
      <c r="AO175" s="285"/>
      <c r="AP175" s="285"/>
      <c r="AQ175" s="285"/>
      <c r="AR175" s="285"/>
      <c r="AS175" s="285"/>
      <c r="AT175" s="285"/>
      <c r="AU175" s="285"/>
      <c r="AV175" s="285"/>
      <c r="AW175" s="456"/>
      <c r="AX175" s="457"/>
      <c r="AY175" s="458"/>
      <c r="AZ175" s="458"/>
      <c r="BA175" s="458"/>
      <c r="BB175" s="458"/>
      <c r="BC175" s="458"/>
      <c r="BD175" s="458"/>
      <c r="BE175" s="458"/>
    </row>
    <row r="176" spans="1:57" s="139" customFormat="1" ht="58">
      <c r="A176" s="140" t="s">
        <v>6</v>
      </c>
      <c r="B176" s="129">
        <v>174</v>
      </c>
      <c r="C176" s="141" t="s">
        <v>1078</v>
      </c>
      <c r="D176" s="129" t="s">
        <v>3119</v>
      </c>
      <c r="E176" s="129" t="s">
        <v>2988</v>
      </c>
      <c r="F176" s="129" t="s">
        <v>1117</v>
      </c>
      <c r="G176" s="141" t="s">
        <v>684</v>
      </c>
      <c r="H176" s="129" t="s">
        <v>218</v>
      </c>
      <c r="I176" s="129" t="s">
        <v>1118</v>
      </c>
      <c r="J176" s="129" t="s">
        <v>935</v>
      </c>
      <c r="K176" s="129" t="s">
        <v>935</v>
      </c>
      <c r="L176" s="129" t="s">
        <v>725</v>
      </c>
      <c r="M176" s="129" t="s">
        <v>725</v>
      </c>
      <c r="N176" s="129">
        <v>100</v>
      </c>
      <c r="O176" s="129">
        <v>100</v>
      </c>
      <c r="P176" s="129" t="s">
        <v>725</v>
      </c>
      <c r="Q176" s="129">
        <v>8</v>
      </c>
      <c r="R176" s="129">
        <v>52</v>
      </c>
      <c r="S176" s="129">
        <v>51</v>
      </c>
      <c r="T176" s="129">
        <v>2</v>
      </c>
      <c r="U176" s="141" t="s">
        <v>726</v>
      </c>
      <c r="V176" s="141" t="s">
        <v>727</v>
      </c>
      <c r="W176" s="141" t="s">
        <v>684</v>
      </c>
      <c r="X176" s="141" t="s">
        <v>684</v>
      </c>
      <c r="Y176" s="141" t="s">
        <v>728</v>
      </c>
      <c r="Z176" s="129" t="s">
        <v>194</v>
      </c>
      <c r="AA176" s="129">
        <v>1</v>
      </c>
      <c r="AB176" s="129" t="s">
        <v>684</v>
      </c>
      <c r="AC176" s="129" t="s">
        <v>684</v>
      </c>
      <c r="AD176" s="129" t="s">
        <v>684</v>
      </c>
      <c r="AE176" s="129" t="s">
        <v>684</v>
      </c>
      <c r="AF176" s="129">
        <v>0</v>
      </c>
      <c r="AG176" s="129">
        <v>0</v>
      </c>
      <c r="AH176" s="129">
        <v>3</v>
      </c>
      <c r="AI176" s="129" t="s">
        <v>684</v>
      </c>
      <c r="AJ176" s="211" t="s">
        <v>2890</v>
      </c>
      <c r="AK176" s="141" t="s">
        <v>684</v>
      </c>
      <c r="AL176" s="141" t="s">
        <v>2986</v>
      </c>
      <c r="AM176" s="143" t="s">
        <v>2980</v>
      </c>
      <c r="AN176" s="143" t="s">
        <v>936</v>
      </c>
      <c r="AO176" s="143"/>
      <c r="AP176" s="143"/>
      <c r="AQ176" s="143"/>
      <c r="AR176" s="143"/>
      <c r="AS176" s="143"/>
      <c r="AT176" s="143"/>
      <c r="AU176" s="143"/>
      <c r="AV176" s="143"/>
      <c r="AW176" s="144"/>
      <c r="AX176" s="145"/>
      <c r="AY176" s="138"/>
      <c r="AZ176" s="138"/>
      <c r="BA176" s="138"/>
      <c r="BB176" s="138"/>
      <c r="BC176" s="138"/>
      <c r="BD176" s="138"/>
      <c r="BE176" s="138"/>
    </row>
    <row r="177" spans="1:221" s="139" customFormat="1" ht="25">
      <c r="A177" s="140" t="s">
        <v>6</v>
      </c>
      <c r="B177" s="129">
        <v>175</v>
      </c>
      <c r="C177" s="141" t="s">
        <v>1078</v>
      </c>
      <c r="D177" s="129" t="s">
        <v>3124</v>
      </c>
      <c r="E177" s="129" t="s">
        <v>1119</v>
      </c>
      <c r="F177" s="129" t="s">
        <v>1120</v>
      </c>
      <c r="G177" s="141" t="s">
        <v>804</v>
      </c>
      <c r="H177" s="129" t="s">
        <v>218</v>
      </c>
      <c r="I177" s="129" t="s">
        <v>1094</v>
      </c>
      <c r="J177" s="129" t="s">
        <v>843</v>
      </c>
      <c r="K177" s="129" t="s">
        <v>843</v>
      </c>
      <c r="L177" s="129" t="s">
        <v>801</v>
      </c>
      <c r="M177" s="129" t="s">
        <v>801</v>
      </c>
      <c r="N177" s="129">
        <v>100</v>
      </c>
      <c r="O177" s="129">
        <v>100</v>
      </c>
      <c r="P177" s="129" t="s">
        <v>801</v>
      </c>
      <c r="Q177" s="129">
        <v>8</v>
      </c>
      <c r="R177" s="129">
        <v>59</v>
      </c>
      <c r="S177" s="129">
        <v>56</v>
      </c>
      <c r="T177" s="129">
        <v>4</v>
      </c>
      <c r="U177" s="141" t="s">
        <v>802</v>
      </c>
      <c r="V177" s="141" t="s">
        <v>803</v>
      </c>
      <c r="W177" s="129">
        <v>500</v>
      </c>
      <c r="X177" s="141" t="s">
        <v>804</v>
      </c>
      <c r="Y177" s="129" t="s">
        <v>817</v>
      </c>
      <c r="Z177" s="129" t="s">
        <v>194</v>
      </c>
      <c r="AA177" s="129">
        <v>1</v>
      </c>
      <c r="AB177" s="129" t="s">
        <v>804</v>
      </c>
      <c r="AC177" s="141" t="s">
        <v>804</v>
      </c>
      <c r="AD177" s="129" t="s">
        <v>804</v>
      </c>
      <c r="AE177" s="141" t="s">
        <v>804</v>
      </c>
      <c r="AF177" s="129">
        <v>0</v>
      </c>
      <c r="AG177" s="129">
        <v>0</v>
      </c>
      <c r="AH177" s="129">
        <v>15</v>
      </c>
      <c r="AI177" s="129" t="s">
        <v>804</v>
      </c>
      <c r="AJ177" s="159" t="s">
        <v>2123</v>
      </c>
      <c r="AK177" s="141" t="s">
        <v>804</v>
      </c>
      <c r="AL177" s="141" t="s">
        <v>804</v>
      </c>
      <c r="AM177" s="143"/>
      <c r="AN177" s="143" t="s">
        <v>807</v>
      </c>
      <c r="AO177" s="143"/>
      <c r="AP177" s="143" t="s">
        <v>1082</v>
      </c>
      <c r="AQ177" s="143"/>
      <c r="AR177" s="143"/>
      <c r="AS177" s="143"/>
      <c r="AT177" s="143"/>
      <c r="AU177" s="143"/>
      <c r="AV177" s="143"/>
      <c r="AW177" s="144"/>
      <c r="AX177" s="145"/>
      <c r="AY177" s="138"/>
      <c r="AZ177" s="138"/>
      <c r="BA177" s="138"/>
      <c r="BB177" s="138"/>
      <c r="BC177" s="138"/>
      <c r="BD177" s="138"/>
      <c r="BE177" s="138"/>
    </row>
    <row r="178" spans="1:221" s="213" customFormat="1" ht="58">
      <c r="A178" s="140" t="s">
        <v>6</v>
      </c>
      <c r="B178" s="129">
        <v>176</v>
      </c>
      <c r="C178" s="141" t="s">
        <v>937</v>
      </c>
      <c r="D178" s="129" t="s">
        <v>3115</v>
      </c>
      <c r="E178" s="212" t="s">
        <v>2279</v>
      </c>
      <c r="F178" s="164" t="s">
        <v>933</v>
      </c>
      <c r="G178" s="141" t="s">
        <v>665</v>
      </c>
      <c r="H178" s="172" t="s">
        <v>2280</v>
      </c>
      <c r="I178" s="172" t="s">
        <v>2281</v>
      </c>
      <c r="J178" s="129" t="s">
        <v>815</v>
      </c>
      <c r="K178" s="129" t="s">
        <v>815</v>
      </c>
      <c r="L178" s="129" t="s">
        <v>665</v>
      </c>
      <c r="M178" s="129" t="s">
        <v>665</v>
      </c>
      <c r="N178" s="129">
        <v>10</v>
      </c>
      <c r="O178" s="129">
        <v>100</v>
      </c>
      <c r="P178" s="129" t="s">
        <v>193</v>
      </c>
      <c r="Q178" s="129">
        <v>8</v>
      </c>
      <c r="R178" s="129">
        <v>7</v>
      </c>
      <c r="S178" s="129">
        <v>0</v>
      </c>
      <c r="T178" s="129">
        <v>8</v>
      </c>
      <c r="U178" s="141" t="s">
        <v>670</v>
      </c>
      <c r="V178" s="141" t="s">
        <v>671</v>
      </c>
      <c r="W178" s="129" t="s">
        <v>990</v>
      </c>
      <c r="X178" s="141" t="s">
        <v>665</v>
      </c>
      <c r="Y178" s="143" t="s">
        <v>679</v>
      </c>
      <c r="Z178" s="143" t="s">
        <v>665</v>
      </c>
      <c r="AA178" s="143">
        <v>1</v>
      </c>
      <c r="AB178" s="129" t="s">
        <v>665</v>
      </c>
      <c r="AC178" s="141" t="s">
        <v>665</v>
      </c>
      <c r="AD178" s="129" t="s">
        <v>665</v>
      </c>
      <c r="AE178" s="141" t="s">
        <v>665</v>
      </c>
      <c r="AF178" s="143">
        <v>0</v>
      </c>
      <c r="AG178" s="143">
        <v>0</v>
      </c>
      <c r="AH178" s="143">
        <v>255</v>
      </c>
      <c r="AI178" s="143" t="s">
        <v>665</v>
      </c>
      <c r="AJ178" s="164" t="s">
        <v>665</v>
      </c>
      <c r="AK178" s="141" t="s">
        <v>665</v>
      </c>
      <c r="AL178" s="141"/>
      <c r="AM178" s="141"/>
      <c r="AN178" s="141" t="s">
        <v>677</v>
      </c>
      <c r="AO178" s="143"/>
      <c r="AP178" s="143"/>
      <c r="AQ178" s="143"/>
      <c r="AR178" s="163"/>
      <c r="AS178" s="143"/>
      <c r="AT178" s="143"/>
      <c r="AU178" s="143"/>
      <c r="AV178" s="143"/>
      <c r="AW178" s="144"/>
      <c r="AX178" s="145"/>
      <c r="AY178" s="138"/>
      <c r="AZ178" s="138"/>
      <c r="BA178" s="138"/>
      <c r="BB178" s="138"/>
    </row>
    <row r="179" spans="1:221" s="473" customFormat="1" ht="31">
      <c r="A179" s="451" t="s">
        <v>6</v>
      </c>
      <c r="B179" s="452">
        <v>177</v>
      </c>
      <c r="C179" s="450" t="s">
        <v>937</v>
      </c>
      <c r="D179" s="452" t="s">
        <v>3119</v>
      </c>
      <c r="E179" s="461" t="s">
        <v>2989</v>
      </c>
      <c r="F179" s="455" t="s">
        <v>1144</v>
      </c>
      <c r="G179" s="450" t="s">
        <v>665</v>
      </c>
      <c r="H179" s="454" t="s">
        <v>2280</v>
      </c>
      <c r="I179" s="454" t="s">
        <v>2281</v>
      </c>
      <c r="J179" s="452" t="s">
        <v>815</v>
      </c>
      <c r="K179" s="452" t="s">
        <v>815</v>
      </c>
      <c r="L179" s="452" t="s">
        <v>193</v>
      </c>
      <c r="M179" s="452" t="s">
        <v>193</v>
      </c>
      <c r="N179" s="452">
        <v>10</v>
      </c>
      <c r="O179" s="452">
        <v>100</v>
      </c>
      <c r="P179" s="452" t="s">
        <v>193</v>
      </c>
      <c r="Q179" s="452">
        <v>8</v>
      </c>
      <c r="R179" s="452">
        <v>31</v>
      </c>
      <c r="S179" s="452">
        <v>34</v>
      </c>
      <c r="T179" s="452">
        <v>14</v>
      </c>
      <c r="U179" s="450" t="s">
        <v>670</v>
      </c>
      <c r="V179" s="450" t="s">
        <v>671</v>
      </c>
      <c r="W179" s="452">
        <v>500</v>
      </c>
      <c r="X179" s="450" t="s">
        <v>665</v>
      </c>
      <c r="Y179" s="450" t="s">
        <v>941</v>
      </c>
      <c r="Z179" s="452" t="s">
        <v>194</v>
      </c>
      <c r="AA179" s="452">
        <v>0.1</v>
      </c>
      <c r="AB179" s="452" t="s">
        <v>973</v>
      </c>
      <c r="AC179" s="450" t="s">
        <v>665</v>
      </c>
      <c r="AD179" s="452" t="s">
        <v>973</v>
      </c>
      <c r="AE179" s="450" t="s">
        <v>665</v>
      </c>
      <c r="AF179" s="452">
        <v>-800</v>
      </c>
      <c r="AG179" s="452">
        <v>-800</v>
      </c>
      <c r="AH179" s="452">
        <v>800</v>
      </c>
      <c r="AI179" s="452" t="s">
        <v>974</v>
      </c>
      <c r="AJ179" s="455" t="s">
        <v>2143</v>
      </c>
      <c r="AK179" s="450" t="s">
        <v>665</v>
      </c>
      <c r="AL179" s="450" t="s">
        <v>2984</v>
      </c>
      <c r="AM179" s="285" t="s">
        <v>270</v>
      </c>
      <c r="AN179" s="285" t="s">
        <v>270</v>
      </c>
      <c r="AO179" s="285"/>
      <c r="AP179" s="285"/>
      <c r="AQ179" s="285"/>
      <c r="AR179" s="460"/>
      <c r="AS179" s="285"/>
      <c r="AT179" s="285"/>
      <c r="AU179" s="285"/>
      <c r="AV179" s="285"/>
      <c r="AW179" s="456"/>
      <c r="AX179" s="457"/>
      <c r="AY179" s="458"/>
      <c r="AZ179" s="458"/>
      <c r="BA179" s="458"/>
      <c r="BB179" s="458"/>
    </row>
    <row r="180" spans="1:221" s="213" customFormat="1" ht="25">
      <c r="A180" s="140" t="s">
        <v>6</v>
      </c>
      <c r="B180" s="129">
        <v>178</v>
      </c>
      <c r="C180" s="141" t="s">
        <v>937</v>
      </c>
      <c r="D180" s="129" t="s">
        <v>3115</v>
      </c>
      <c r="E180" s="142" t="s">
        <v>2282</v>
      </c>
      <c r="F180" s="159" t="s">
        <v>2283</v>
      </c>
      <c r="G180" s="141" t="s">
        <v>2232</v>
      </c>
      <c r="H180" s="172" t="s">
        <v>2284</v>
      </c>
      <c r="I180" s="172" t="s">
        <v>2285</v>
      </c>
      <c r="J180" s="129" t="s">
        <v>2231</v>
      </c>
      <c r="K180" s="129" t="s">
        <v>2231</v>
      </c>
      <c r="L180" s="129" t="s">
        <v>2232</v>
      </c>
      <c r="M180" s="129" t="s">
        <v>2232</v>
      </c>
      <c r="N180" s="129">
        <v>10</v>
      </c>
      <c r="O180" s="129">
        <v>100</v>
      </c>
      <c r="P180" s="129" t="s">
        <v>2286</v>
      </c>
      <c r="Q180" s="129">
        <v>8</v>
      </c>
      <c r="R180" s="129">
        <v>59</v>
      </c>
      <c r="S180" s="129">
        <v>56</v>
      </c>
      <c r="T180" s="129">
        <v>4</v>
      </c>
      <c r="U180" s="141" t="s">
        <v>2287</v>
      </c>
      <c r="V180" s="141" t="s">
        <v>2288</v>
      </c>
      <c r="W180" s="129" t="s">
        <v>2289</v>
      </c>
      <c r="X180" s="141" t="s">
        <v>2232</v>
      </c>
      <c r="Y180" s="129" t="s">
        <v>2290</v>
      </c>
      <c r="Z180" s="129" t="s">
        <v>2232</v>
      </c>
      <c r="AA180" s="129">
        <v>1</v>
      </c>
      <c r="AB180" s="129" t="s">
        <v>2232</v>
      </c>
      <c r="AC180" s="141" t="s">
        <v>2232</v>
      </c>
      <c r="AD180" s="129" t="s">
        <v>2232</v>
      </c>
      <c r="AE180" s="141" t="s">
        <v>2232</v>
      </c>
      <c r="AF180" s="143">
        <v>0</v>
      </c>
      <c r="AG180" s="143">
        <v>0</v>
      </c>
      <c r="AH180" s="129">
        <v>15</v>
      </c>
      <c r="AI180" s="129" t="s">
        <v>2232</v>
      </c>
      <c r="AJ180" s="159" t="s">
        <v>2232</v>
      </c>
      <c r="AK180" s="141"/>
      <c r="AL180" s="141"/>
      <c r="AM180" s="143"/>
      <c r="AN180" s="143" t="s">
        <v>2291</v>
      </c>
      <c r="AO180" s="143"/>
      <c r="AP180" s="143"/>
      <c r="AQ180" s="143"/>
      <c r="AR180" s="143"/>
      <c r="AS180" s="143"/>
      <c r="AT180" s="143"/>
      <c r="AU180" s="143"/>
      <c r="AV180" s="143"/>
      <c r="AW180" s="144"/>
      <c r="AX180" s="145"/>
      <c r="AY180" s="138"/>
      <c r="AZ180" s="138"/>
      <c r="BA180" s="138"/>
      <c r="BB180" s="138"/>
    </row>
    <row r="181" spans="1:221" s="139" customFormat="1" ht="44">
      <c r="A181" s="140" t="s">
        <v>6</v>
      </c>
      <c r="B181" s="129">
        <v>179</v>
      </c>
      <c r="C181" s="141" t="s">
        <v>1078</v>
      </c>
      <c r="D181" s="129" t="s">
        <v>3115</v>
      </c>
      <c r="E181" s="141" t="s">
        <v>1125</v>
      </c>
      <c r="F181" s="141" t="s">
        <v>1080</v>
      </c>
      <c r="G181" s="141" t="s">
        <v>804</v>
      </c>
      <c r="H181" s="129" t="s">
        <v>219</v>
      </c>
      <c r="I181" s="129" t="s">
        <v>1126</v>
      </c>
      <c r="J181" s="129" t="s">
        <v>843</v>
      </c>
      <c r="K181" s="129" t="s">
        <v>843</v>
      </c>
      <c r="L181" s="129" t="s">
        <v>804</v>
      </c>
      <c r="M181" s="129" t="s">
        <v>804</v>
      </c>
      <c r="N181" s="129">
        <v>200</v>
      </c>
      <c r="O181" s="129" t="s">
        <v>1127</v>
      </c>
      <c r="P181" s="129" t="s">
        <v>801</v>
      </c>
      <c r="Q181" s="129">
        <v>8</v>
      </c>
      <c r="R181" s="129">
        <v>7</v>
      </c>
      <c r="S181" s="129">
        <v>0</v>
      </c>
      <c r="T181" s="129">
        <v>8</v>
      </c>
      <c r="U181" s="141" t="s">
        <v>802</v>
      </c>
      <c r="V181" s="141" t="s">
        <v>803</v>
      </c>
      <c r="W181" s="129" t="s">
        <v>804</v>
      </c>
      <c r="X181" s="141" t="s">
        <v>804</v>
      </c>
      <c r="Y181" s="143" t="s">
        <v>817</v>
      </c>
      <c r="Z181" s="143" t="s">
        <v>804</v>
      </c>
      <c r="AA181" s="143">
        <v>1</v>
      </c>
      <c r="AB181" s="129" t="s">
        <v>804</v>
      </c>
      <c r="AC181" s="141" t="s">
        <v>804</v>
      </c>
      <c r="AD181" s="129" t="s">
        <v>804</v>
      </c>
      <c r="AE181" s="141" t="s">
        <v>804</v>
      </c>
      <c r="AF181" s="143">
        <v>0</v>
      </c>
      <c r="AG181" s="143">
        <v>0</v>
      </c>
      <c r="AH181" s="143">
        <v>255</v>
      </c>
      <c r="AI181" s="143" t="s">
        <v>804</v>
      </c>
      <c r="AJ181" s="164" t="s">
        <v>804</v>
      </c>
      <c r="AK181" s="141" t="s">
        <v>804</v>
      </c>
      <c r="AL181" s="141"/>
      <c r="AM181" s="143"/>
      <c r="AN181" s="141" t="s">
        <v>807</v>
      </c>
      <c r="AO181" s="143"/>
      <c r="AP181" s="143"/>
      <c r="AQ181" s="143"/>
      <c r="AR181" s="143"/>
      <c r="AS181" s="163"/>
      <c r="AT181" s="143"/>
      <c r="AU181" s="143"/>
      <c r="AV181" s="143"/>
      <c r="AW181" s="144"/>
      <c r="AX181" s="145"/>
      <c r="AY181" s="138"/>
      <c r="AZ181" s="138"/>
      <c r="BA181" s="138"/>
      <c r="BB181" s="138"/>
      <c r="BC181" s="138"/>
      <c r="BD181" s="138"/>
      <c r="BE181" s="138"/>
    </row>
    <row r="182" spans="1:221" s="139" customFormat="1" ht="44">
      <c r="A182" s="140" t="s">
        <v>6</v>
      </c>
      <c r="B182" s="129">
        <v>180</v>
      </c>
      <c r="C182" s="141" t="s">
        <v>1078</v>
      </c>
      <c r="D182" s="129" t="s">
        <v>3115</v>
      </c>
      <c r="E182" s="129" t="s">
        <v>1128</v>
      </c>
      <c r="F182" s="129" t="s">
        <v>1129</v>
      </c>
      <c r="G182" s="141" t="s">
        <v>684</v>
      </c>
      <c r="H182" s="129" t="s">
        <v>219</v>
      </c>
      <c r="I182" s="129" t="s">
        <v>1130</v>
      </c>
      <c r="J182" s="129" t="s">
        <v>935</v>
      </c>
      <c r="K182" s="129" t="s">
        <v>935</v>
      </c>
      <c r="L182" s="129" t="s">
        <v>684</v>
      </c>
      <c r="M182" s="129" t="s">
        <v>684</v>
      </c>
      <c r="N182" s="129">
        <v>200</v>
      </c>
      <c r="O182" s="129" t="s">
        <v>1131</v>
      </c>
      <c r="P182" s="129" t="s">
        <v>725</v>
      </c>
      <c r="Q182" s="129">
        <v>8</v>
      </c>
      <c r="R182" s="129">
        <v>15</v>
      </c>
      <c r="S182" s="129">
        <v>22</v>
      </c>
      <c r="T182" s="129">
        <v>10</v>
      </c>
      <c r="U182" s="141" t="s">
        <v>726</v>
      </c>
      <c r="V182" s="141" t="s">
        <v>727</v>
      </c>
      <c r="W182" s="129" t="s">
        <v>990</v>
      </c>
      <c r="X182" s="141" t="s">
        <v>684</v>
      </c>
      <c r="Y182" s="141" t="s">
        <v>1132</v>
      </c>
      <c r="Z182" s="129" t="s">
        <v>728</v>
      </c>
      <c r="AA182" s="129">
        <v>0.1</v>
      </c>
      <c r="AB182" s="129" t="s">
        <v>684</v>
      </c>
      <c r="AC182" s="141" t="s">
        <v>684</v>
      </c>
      <c r="AD182" s="129" t="s">
        <v>684</v>
      </c>
      <c r="AE182" s="141" t="s">
        <v>684</v>
      </c>
      <c r="AF182" s="143">
        <v>0</v>
      </c>
      <c r="AG182" s="143">
        <v>0</v>
      </c>
      <c r="AH182" s="129">
        <v>100</v>
      </c>
      <c r="AI182" s="129" t="s">
        <v>943</v>
      </c>
      <c r="AJ182" s="159" t="s">
        <v>2141</v>
      </c>
      <c r="AK182" s="141" t="s">
        <v>684</v>
      </c>
      <c r="AL182" s="141" t="s">
        <v>684</v>
      </c>
      <c r="AM182" s="143"/>
      <c r="AN182" s="143" t="s">
        <v>936</v>
      </c>
      <c r="AO182" s="143"/>
      <c r="AP182" s="143"/>
      <c r="AQ182" s="143"/>
      <c r="AR182" s="143"/>
      <c r="AS182" s="143"/>
      <c r="AT182" s="143"/>
      <c r="AU182" s="143"/>
      <c r="AV182" s="143"/>
      <c r="AW182" s="144"/>
      <c r="AX182" s="145"/>
      <c r="AY182" s="138"/>
      <c r="AZ182" s="138"/>
      <c r="BA182" s="138"/>
      <c r="BB182" s="138"/>
      <c r="BC182" s="138"/>
      <c r="BD182" s="138"/>
      <c r="BE182" s="138"/>
    </row>
    <row r="183" spans="1:221" s="459" customFormat="1" ht="44">
      <c r="A183" s="451" t="s">
        <v>6</v>
      </c>
      <c r="B183" s="452">
        <v>181</v>
      </c>
      <c r="C183" s="450" t="s">
        <v>937</v>
      </c>
      <c r="D183" s="452" t="s">
        <v>3126</v>
      </c>
      <c r="E183" s="452" t="s">
        <v>1133</v>
      </c>
      <c r="F183" s="452" t="s">
        <v>1134</v>
      </c>
      <c r="G183" s="450" t="s">
        <v>684</v>
      </c>
      <c r="H183" s="452" t="s">
        <v>1135</v>
      </c>
      <c r="I183" s="452" t="s">
        <v>1130</v>
      </c>
      <c r="J183" s="452" t="s">
        <v>935</v>
      </c>
      <c r="K183" s="452" t="s">
        <v>935</v>
      </c>
      <c r="L183" s="452" t="s">
        <v>684</v>
      </c>
      <c r="M183" s="452" t="s">
        <v>684</v>
      </c>
      <c r="N183" s="452">
        <v>200</v>
      </c>
      <c r="O183" s="452" t="s">
        <v>1131</v>
      </c>
      <c r="P183" s="452" t="s">
        <v>725</v>
      </c>
      <c r="Q183" s="452">
        <v>8</v>
      </c>
      <c r="R183" s="452">
        <v>39</v>
      </c>
      <c r="S183" s="452">
        <v>40</v>
      </c>
      <c r="T183" s="452">
        <v>16</v>
      </c>
      <c r="U183" s="450" t="s">
        <v>726</v>
      </c>
      <c r="V183" s="450" t="s">
        <v>727</v>
      </c>
      <c r="W183" s="452" t="s">
        <v>1136</v>
      </c>
      <c r="X183" s="450" t="s">
        <v>684</v>
      </c>
      <c r="Y183" s="452" t="s">
        <v>1137</v>
      </c>
      <c r="Z183" s="452" t="s">
        <v>1137</v>
      </c>
      <c r="AA183" s="452">
        <v>1</v>
      </c>
      <c r="AB183" s="452" t="s">
        <v>684</v>
      </c>
      <c r="AC183" s="450" t="s">
        <v>684</v>
      </c>
      <c r="AD183" s="452" t="s">
        <v>684</v>
      </c>
      <c r="AE183" s="450" t="s">
        <v>684</v>
      </c>
      <c r="AF183" s="285">
        <v>0</v>
      </c>
      <c r="AG183" s="285">
        <v>0</v>
      </c>
      <c r="AH183" s="452">
        <v>50000</v>
      </c>
      <c r="AI183" s="452" t="s">
        <v>1138</v>
      </c>
      <c r="AJ183" s="455" t="s">
        <v>2142</v>
      </c>
      <c r="AK183" s="450" t="s">
        <v>684</v>
      </c>
      <c r="AL183" s="450" t="s">
        <v>957</v>
      </c>
      <c r="AM183" s="285" t="s">
        <v>685</v>
      </c>
      <c r="AN183" s="285" t="s">
        <v>936</v>
      </c>
      <c r="AO183" s="285"/>
      <c r="AP183" s="285"/>
      <c r="AQ183" s="285"/>
      <c r="AR183" s="285"/>
      <c r="AS183" s="285"/>
      <c r="AT183" s="285"/>
      <c r="AU183" s="285"/>
      <c r="AV183" s="285" t="s">
        <v>685</v>
      </c>
      <c r="AW183" s="456"/>
      <c r="AX183" s="457"/>
      <c r="AY183" s="458"/>
      <c r="AZ183" s="458"/>
      <c r="BA183" s="458"/>
      <c r="BB183" s="458"/>
      <c r="BC183" s="458"/>
      <c r="BD183" s="458"/>
      <c r="BE183" s="458"/>
    </row>
    <row r="184" spans="1:221" s="139" customFormat="1" ht="25">
      <c r="A184" s="140" t="s">
        <v>6</v>
      </c>
      <c r="B184" s="129">
        <v>182</v>
      </c>
      <c r="C184" s="141" t="s">
        <v>937</v>
      </c>
      <c r="D184" s="129" t="s">
        <v>3115</v>
      </c>
      <c r="E184" s="129" t="s">
        <v>1139</v>
      </c>
      <c r="F184" s="129" t="s">
        <v>1140</v>
      </c>
      <c r="G184" s="141" t="s">
        <v>684</v>
      </c>
      <c r="H184" s="129" t="s">
        <v>219</v>
      </c>
      <c r="I184" s="129" t="s">
        <v>1130</v>
      </c>
      <c r="J184" s="129" t="s">
        <v>935</v>
      </c>
      <c r="K184" s="129" t="s">
        <v>935</v>
      </c>
      <c r="L184" s="129" t="s">
        <v>684</v>
      </c>
      <c r="M184" s="129" t="s">
        <v>684</v>
      </c>
      <c r="N184" s="129">
        <v>200</v>
      </c>
      <c r="O184" s="129" t="s">
        <v>1131</v>
      </c>
      <c r="P184" s="129" t="s">
        <v>725</v>
      </c>
      <c r="Q184" s="129">
        <v>8</v>
      </c>
      <c r="R184" s="129">
        <v>59</v>
      </c>
      <c r="S184" s="129">
        <v>56</v>
      </c>
      <c r="T184" s="129">
        <v>4</v>
      </c>
      <c r="U184" s="141" t="s">
        <v>726</v>
      </c>
      <c r="V184" s="141" t="s">
        <v>727</v>
      </c>
      <c r="W184" s="129" t="s">
        <v>684</v>
      </c>
      <c r="X184" s="141" t="s">
        <v>684</v>
      </c>
      <c r="Y184" s="129" t="s">
        <v>728</v>
      </c>
      <c r="Z184" s="129" t="s">
        <v>684</v>
      </c>
      <c r="AA184" s="129">
        <v>1</v>
      </c>
      <c r="AB184" s="129" t="s">
        <v>684</v>
      </c>
      <c r="AC184" s="141" t="s">
        <v>684</v>
      </c>
      <c r="AD184" s="129" t="s">
        <v>684</v>
      </c>
      <c r="AE184" s="141" t="s">
        <v>684</v>
      </c>
      <c r="AF184" s="143">
        <v>0</v>
      </c>
      <c r="AG184" s="143">
        <v>0</v>
      </c>
      <c r="AH184" s="129">
        <v>15</v>
      </c>
      <c r="AI184" s="129" t="s">
        <v>684</v>
      </c>
      <c r="AJ184" s="159" t="s">
        <v>684</v>
      </c>
      <c r="AK184" s="141"/>
      <c r="AL184" s="141"/>
      <c r="AM184" s="143"/>
      <c r="AN184" s="143" t="s">
        <v>685</v>
      </c>
      <c r="AO184" s="143"/>
      <c r="AP184" s="143"/>
      <c r="AQ184" s="143"/>
      <c r="AR184" s="143"/>
      <c r="AS184" s="143"/>
      <c r="AT184" s="143"/>
      <c r="AU184" s="143"/>
      <c r="AV184" s="143"/>
      <c r="AW184" s="144"/>
      <c r="AX184" s="145"/>
      <c r="AY184" s="138"/>
      <c r="AZ184" s="138"/>
      <c r="BA184" s="138"/>
      <c r="BB184" s="138"/>
      <c r="BC184" s="138"/>
      <c r="BD184" s="138"/>
      <c r="BE184" s="138"/>
    </row>
    <row r="185" spans="1:221" s="207" customFormat="1" ht="30">
      <c r="A185" s="140" t="s">
        <v>6</v>
      </c>
      <c r="B185" s="129">
        <v>183</v>
      </c>
      <c r="C185" s="141" t="s">
        <v>999</v>
      </c>
      <c r="D185" s="129" t="s">
        <v>3122</v>
      </c>
      <c r="E185" s="172" t="s">
        <v>1146</v>
      </c>
      <c r="F185" s="172" t="s">
        <v>1843</v>
      </c>
      <c r="G185" s="141" t="s">
        <v>703</v>
      </c>
      <c r="H185" s="129" t="s">
        <v>1147</v>
      </c>
      <c r="I185" s="129" t="s">
        <v>1148</v>
      </c>
      <c r="J185" s="129" t="s">
        <v>724</v>
      </c>
      <c r="K185" s="129" t="s">
        <v>724</v>
      </c>
      <c r="L185" s="141" t="s">
        <v>725</v>
      </c>
      <c r="M185" s="141" t="s">
        <v>725</v>
      </c>
      <c r="N185" s="129">
        <v>100</v>
      </c>
      <c r="O185" s="129" t="s">
        <v>725</v>
      </c>
      <c r="P185" s="129" t="s">
        <v>725</v>
      </c>
      <c r="Q185" s="129">
        <v>8</v>
      </c>
      <c r="R185" s="129">
        <v>7</v>
      </c>
      <c r="S185" s="129">
        <v>0</v>
      </c>
      <c r="T185" s="129">
        <v>8</v>
      </c>
      <c r="U185" s="141" t="s">
        <v>884</v>
      </c>
      <c r="V185" s="141" t="s">
        <v>885</v>
      </c>
      <c r="W185" s="141" t="s">
        <v>725</v>
      </c>
      <c r="X185" s="141" t="s">
        <v>725</v>
      </c>
      <c r="Y185" s="141" t="s">
        <v>1149</v>
      </c>
      <c r="Z185" s="129" t="s">
        <v>194</v>
      </c>
      <c r="AA185" s="129">
        <v>1</v>
      </c>
      <c r="AB185" s="129" t="s">
        <v>1150</v>
      </c>
      <c r="AC185" s="141" t="s">
        <v>725</v>
      </c>
      <c r="AD185" s="129" t="s">
        <v>1150</v>
      </c>
      <c r="AE185" s="141" t="s">
        <v>725</v>
      </c>
      <c r="AF185" s="129">
        <v>-40</v>
      </c>
      <c r="AG185" s="129">
        <v>-40</v>
      </c>
      <c r="AH185" s="129">
        <v>125</v>
      </c>
      <c r="AI185" s="202" t="s">
        <v>1151</v>
      </c>
      <c r="AJ185" s="159" t="s">
        <v>2144</v>
      </c>
      <c r="AK185" s="129" t="s">
        <v>712</v>
      </c>
      <c r="AL185" s="129" t="s">
        <v>712</v>
      </c>
      <c r="AM185" s="143"/>
      <c r="AN185" s="143" t="s">
        <v>705</v>
      </c>
      <c r="AO185" s="143"/>
      <c r="AP185" s="143"/>
      <c r="AQ185" s="143"/>
      <c r="AR185" s="143"/>
      <c r="AS185" s="143"/>
      <c r="AT185" s="143"/>
      <c r="AU185" s="143"/>
      <c r="AV185" s="143"/>
      <c r="AW185" s="144"/>
      <c r="AX185" s="145"/>
      <c r="AY185" s="138"/>
      <c r="AZ185" s="138"/>
      <c r="BA185" s="138"/>
      <c r="BB185" s="138"/>
      <c r="BC185" s="138"/>
      <c r="BD185" s="138"/>
      <c r="BE185" s="138"/>
      <c r="BF185" s="139"/>
      <c r="BG185" s="139"/>
      <c r="BH185" s="139"/>
      <c r="BI185" s="139"/>
      <c r="BJ185" s="139"/>
      <c r="BK185" s="139"/>
      <c r="BL185" s="139"/>
      <c r="BM185" s="139"/>
      <c r="BN185" s="139"/>
      <c r="BO185" s="139"/>
      <c r="BP185" s="139"/>
      <c r="BQ185" s="139"/>
      <c r="BR185" s="139"/>
      <c r="BS185" s="139"/>
      <c r="BT185" s="139"/>
      <c r="BU185" s="139"/>
      <c r="BV185" s="139"/>
      <c r="BW185" s="139"/>
      <c r="BX185" s="139"/>
      <c r="BY185" s="139"/>
      <c r="BZ185" s="139"/>
      <c r="CA185" s="139"/>
      <c r="CB185" s="139"/>
      <c r="CC185" s="139"/>
      <c r="CD185" s="139"/>
      <c r="CE185" s="139"/>
      <c r="CF185" s="139"/>
      <c r="CG185" s="139"/>
      <c r="CH185" s="139"/>
      <c r="CI185" s="139"/>
      <c r="CJ185" s="139"/>
      <c r="CK185" s="139"/>
      <c r="CL185" s="139"/>
      <c r="CM185" s="139"/>
      <c r="CN185" s="139"/>
      <c r="CO185" s="139"/>
      <c r="CP185" s="139"/>
      <c r="CQ185" s="139"/>
      <c r="CR185" s="139"/>
      <c r="CS185" s="139"/>
      <c r="CT185" s="139"/>
      <c r="CU185" s="139"/>
      <c r="CV185" s="139"/>
      <c r="CW185" s="139"/>
      <c r="CX185" s="139"/>
      <c r="CY185" s="139"/>
      <c r="CZ185" s="139"/>
      <c r="DA185" s="139"/>
      <c r="DB185" s="139"/>
      <c r="DC185" s="139"/>
      <c r="DD185" s="139"/>
      <c r="DE185" s="139"/>
      <c r="DF185" s="139"/>
      <c r="DG185" s="139"/>
      <c r="DH185" s="139"/>
      <c r="DI185" s="139"/>
      <c r="DJ185" s="139"/>
      <c r="DK185" s="139"/>
      <c r="DL185" s="139"/>
      <c r="DM185" s="139"/>
      <c r="DN185" s="139"/>
      <c r="DO185" s="139"/>
      <c r="DP185" s="139"/>
      <c r="DQ185" s="139"/>
      <c r="DR185" s="139"/>
      <c r="DS185" s="139"/>
      <c r="DT185" s="139"/>
      <c r="DU185" s="139"/>
      <c r="DV185" s="139"/>
      <c r="DW185" s="139"/>
      <c r="DX185" s="139"/>
      <c r="DY185" s="139"/>
      <c r="DZ185" s="139"/>
      <c r="EA185" s="139"/>
      <c r="EB185" s="139"/>
      <c r="EC185" s="139"/>
      <c r="ED185" s="139"/>
      <c r="EE185" s="139"/>
      <c r="EF185" s="139"/>
      <c r="EG185" s="139"/>
      <c r="EH185" s="139"/>
      <c r="EI185" s="139"/>
      <c r="EJ185" s="139"/>
      <c r="EK185" s="139"/>
      <c r="EL185" s="139"/>
      <c r="EM185" s="139"/>
      <c r="EN185" s="139"/>
      <c r="EO185" s="139"/>
      <c r="EP185" s="139"/>
      <c r="EQ185" s="139"/>
      <c r="ER185" s="139"/>
      <c r="ES185" s="139"/>
      <c r="ET185" s="139"/>
      <c r="EU185" s="139"/>
      <c r="EV185" s="139"/>
      <c r="EW185" s="139"/>
      <c r="EX185" s="139"/>
      <c r="EY185" s="139"/>
      <c r="EZ185" s="139"/>
      <c r="FA185" s="139"/>
      <c r="FB185" s="139"/>
      <c r="FC185" s="139"/>
      <c r="FD185" s="139"/>
      <c r="FE185" s="139"/>
      <c r="FF185" s="139"/>
      <c r="FG185" s="139"/>
      <c r="FH185" s="139"/>
      <c r="FI185" s="139"/>
      <c r="FJ185" s="139"/>
      <c r="FK185" s="139"/>
      <c r="FL185" s="139"/>
      <c r="FM185" s="139"/>
      <c r="FN185" s="139"/>
      <c r="FO185" s="139"/>
      <c r="FP185" s="139"/>
      <c r="FQ185" s="139"/>
      <c r="FR185" s="139"/>
      <c r="FS185" s="139"/>
      <c r="FT185" s="139"/>
      <c r="FU185" s="139"/>
      <c r="FV185" s="139"/>
      <c r="FW185" s="139"/>
      <c r="FX185" s="139"/>
      <c r="FY185" s="139"/>
      <c r="FZ185" s="139"/>
      <c r="GA185" s="139"/>
      <c r="GB185" s="139"/>
      <c r="GC185" s="139"/>
      <c r="GD185" s="139"/>
      <c r="GE185" s="139"/>
      <c r="GF185" s="139"/>
      <c r="GG185" s="139"/>
      <c r="GH185" s="139"/>
      <c r="GI185" s="139"/>
      <c r="GJ185" s="139"/>
      <c r="GK185" s="139"/>
      <c r="GL185" s="139"/>
      <c r="GM185" s="139"/>
      <c r="GN185" s="139"/>
      <c r="GO185" s="139"/>
      <c r="GP185" s="139"/>
      <c r="GQ185" s="139"/>
      <c r="GR185" s="139"/>
      <c r="GS185" s="139"/>
      <c r="GT185" s="139"/>
      <c r="GU185" s="139"/>
      <c r="GV185" s="139"/>
      <c r="GW185" s="139"/>
      <c r="GX185" s="139"/>
      <c r="GY185" s="139"/>
      <c r="GZ185" s="139"/>
      <c r="HA185" s="139"/>
      <c r="HB185" s="139"/>
      <c r="HC185" s="139"/>
      <c r="HD185" s="139"/>
      <c r="HE185" s="139"/>
      <c r="HF185" s="139"/>
      <c r="HG185" s="139"/>
      <c r="HH185" s="139"/>
      <c r="HI185" s="139"/>
      <c r="HJ185" s="139"/>
      <c r="HK185" s="139"/>
      <c r="HL185" s="139"/>
      <c r="HM185" s="139"/>
    </row>
    <row r="186" spans="1:221" s="207" customFormat="1" ht="30">
      <c r="A186" s="140" t="s">
        <v>6</v>
      </c>
      <c r="B186" s="129">
        <v>184</v>
      </c>
      <c r="C186" s="141" t="s">
        <v>999</v>
      </c>
      <c r="D186" s="129" t="s">
        <v>3122</v>
      </c>
      <c r="E186" s="172" t="s">
        <v>1152</v>
      </c>
      <c r="F186" s="172" t="s">
        <v>1842</v>
      </c>
      <c r="G186" s="141" t="s">
        <v>703</v>
      </c>
      <c r="H186" s="129" t="s">
        <v>1147</v>
      </c>
      <c r="I186" s="129" t="s">
        <v>322</v>
      </c>
      <c r="J186" s="129" t="s">
        <v>711</v>
      </c>
      <c r="K186" s="129" t="s">
        <v>711</v>
      </c>
      <c r="L186" s="141" t="s">
        <v>712</v>
      </c>
      <c r="M186" s="141" t="s">
        <v>712</v>
      </c>
      <c r="N186" s="129">
        <v>100</v>
      </c>
      <c r="O186" s="129" t="s">
        <v>712</v>
      </c>
      <c r="P186" s="129" t="s">
        <v>712</v>
      </c>
      <c r="Q186" s="129">
        <v>8</v>
      </c>
      <c r="R186" s="129">
        <v>15</v>
      </c>
      <c r="S186" s="129">
        <v>8</v>
      </c>
      <c r="T186" s="129">
        <v>8</v>
      </c>
      <c r="U186" s="141" t="s">
        <v>1006</v>
      </c>
      <c r="V186" s="141" t="s">
        <v>1007</v>
      </c>
      <c r="W186" s="141" t="s">
        <v>712</v>
      </c>
      <c r="X186" s="141" t="s">
        <v>712</v>
      </c>
      <c r="Y186" s="141" t="s">
        <v>1153</v>
      </c>
      <c r="Z186" s="129" t="s">
        <v>194</v>
      </c>
      <c r="AA186" s="129">
        <v>1</v>
      </c>
      <c r="AB186" s="129" t="s">
        <v>1154</v>
      </c>
      <c r="AC186" s="141" t="s">
        <v>712</v>
      </c>
      <c r="AD186" s="129" t="s">
        <v>1154</v>
      </c>
      <c r="AE186" s="141" t="s">
        <v>712</v>
      </c>
      <c r="AF186" s="129">
        <v>-40</v>
      </c>
      <c r="AG186" s="129">
        <v>-40</v>
      </c>
      <c r="AH186" s="129">
        <v>125</v>
      </c>
      <c r="AI186" s="202" t="s">
        <v>1155</v>
      </c>
      <c r="AJ186" s="159" t="s">
        <v>2144</v>
      </c>
      <c r="AK186" s="129" t="s">
        <v>712</v>
      </c>
      <c r="AL186" s="129" t="s">
        <v>712</v>
      </c>
      <c r="AM186" s="143"/>
      <c r="AN186" s="143" t="s">
        <v>705</v>
      </c>
      <c r="AO186" s="143"/>
      <c r="AP186" s="143"/>
      <c r="AQ186" s="143"/>
      <c r="AR186" s="143"/>
      <c r="AS186" s="143"/>
      <c r="AT186" s="143"/>
      <c r="AU186" s="143"/>
      <c r="AV186" s="143"/>
      <c r="AW186" s="144"/>
      <c r="AX186" s="145"/>
      <c r="AY186" s="138"/>
      <c r="AZ186" s="138"/>
      <c r="BA186" s="138"/>
      <c r="BB186" s="138"/>
      <c r="BC186" s="138"/>
      <c r="BD186" s="138"/>
      <c r="BE186" s="138"/>
      <c r="BF186" s="139"/>
      <c r="BG186" s="139"/>
      <c r="BH186" s="139"/>
      <c r="BI186" s="139"/>
      <c r="BJ186" s="139"/>
      <c r="BK186" s="139"/>
      <c r="BL186" s="139"/>
      <c r="BM186" s="139"/>
      <c r="BN186" s="139"/>
      <c r="BO186" s="139"/>
      <c r="BP186" s="139"/>
      <c r="BQ186" s="139"/>
      <c r="BR186" s="139"/>
      <c r="BS186" s="139"/>
      <c r="BT186" s="139"/>
      <c r="BU186" s="139"/>
      <c r="BV186" s="139"/>
      <c r="BW186" s="139"/>
      <c r="BX186" s="139"/>
      <c r="BY186" s="139"/>
      <c r="BZ186" s="139"/>
      <c r="CA186" s="139"/>
      <c r="CB186" s="139"/>
      <c r="CC186" s="139"/>
      <c r="CD186" s="139"/>
      <c r="CE186" s="139"/>
      <c r="CF186" s="139"/>
      <c r="CG186" s="139"/>
      <c r="CH186" s="139"/>
      <c r="CI186" s="139"/>
      <c r="CJ186" s="139"/>
      <c r="CK186" s="139"/>
      <c r="CL186" s="139"/>
      <c r="CM186" s="139"/>
      <c r="CN186" s="139"/>
      <c r="CO186" s="139"/>
      <c r="CP186" s="139"/>
      <c r="CQ186" s="139"/>
      <c r="CR186" s="139"/>
      <c r="CS186" s="139"/>
      <c r="CT186" s="139"/>
      <c r="CU186" s="139"/>
      <c r="CV186" s="139"/>
      <c r="CW186" s="139"/>
      <c r="CX186" s="139"/>
      <c r="CY186" s="139"/>
      <c r="CZ186" s="139"/>
      <c r="DA186" s="139"/>
      <c r="DB186" s="139"/>
      <c r="DC186" s="139"/>
      <c r="DD186" s="139"/>
      <c r="DE186" s="139"/>
      <c r="DF186" s="139"/>
      <c r="DG186" s="139"/>
      <c r="DH186" s="139"/>
      <c r="DI186" s="139"/>
      <c r="DJ186" s="139"/>
      <c r="DK186" s="139"/>
      <c r="DL186" s="139"/>
      <c r="DM186" s="139"/>
      <c r="DN186" s="139"/>
      <c r="DO186" s="139"/>
      <c r="DP186" s="139"/>
      <c r="DQ186" s="139"/>
      <c r="DR186" s="139"/>
      <c r="DS186" s="139"/>
      <c r="DT186" s="139"/>
      <c r="DU186" s="139"/>
      <c r="DV186" s="139"/>
      <c r="DW186" s="139"/>
      <c r="DX186" s="139"/>
      <c r="DY186" s="139"/>
      <c r="DZ186" s="139"/>
      <c r="EA186" s="139"/>
      <c r="EB186" s="139"/>
      <c r="EC186" s="139"/>
      <c r="ED186" s="139"/>
      <c r="EE186" s="139"/>
      <c r="EF186" s="139"/>
      <c r="EG186" s="139"/>
      <c r="EH186" s="139"/>
      <c r="EI186" s="139"/>
      <c r="EJ186" s="139"/>
      <c r="EK186" s="139"/>
      <c r="EL186" s="139"/>
      <c r="EM186" s="139"/>
      <c r="EN186" s="139"/>
      <c r="EO186" s="139"/>
      <c r="EP186" s="139"/>
      <c r="EQ186" s="139"/>
      <c r="ER186" s="139"/>
      <c r="ES186" s="139"/>
      <c r="ET186" s="139"/>
      <c r="EU186" s="139"/>
      <c r="EV186" s="139"/>
      <c r="EW186" s="139"/>
      <c r="EX186" s="139"/>
      <c r="EY186" s="139"/>
      <c r="EZ186" s="139"/>
      <c r="FA186" s="139"/>
      <c r="FB186" s="139"/>
      <c r="FC186" s="139"/>
      <c r="FD186" s="139"/>
      <c r="FE186" s="139"/>
      <c r="FF186" s="139"/>
      <c r="FG186" s="139"/>
      <c r="FH186" s="139"/>
      <c r="FI186" s="139"/>
      <c r="FJ186" s="139"/>
      <c r="FK186" s="139"/>
      <c r="FL186" s="139"/>
      <c r="FM186" s="139"/>
      <c r="FN186" s="139"/>
      <c r="FO186" s="139"/>
      <c r="FP186" s="139"/>
      <c r="FQ186" s="139"/>
      <c r="FR186" s="139"/>
      <c r="FS186" s="139"/>
      <c r="FT186" s="139"/>
      <c r="FU186" s="139"/>
      <c r="FV186" s="139"/>
      <c r="FW186" s="139"/>
      <c r="FX186" s="139"/>
      <c r="FY186" s="139"/>
      <c r="FZ186" s="139"/>
      <c r="GA186" s="139"/>
      <c r="GB186" s="139"/>
      <c r="GC186" s="139"/>
      <c r="GD186" s="139"/>
      <c r="GE186" s="139"/>
      <c r="GF186" s="139"/>
      <c r="GG186" s="139"/>
      <c r="GH186" s="139"/>
      <c r="GI186" s="139"/>
      <c r="GJ186" s="139"/>
      <c r="GK186" s="139"/>
      <c r="GL186" s="139"/>
      <c r="GM186" s="139"/>
      <c r="GN186" s="139"/>
      <c r="GO186" s="139"/>
      <c r="GP186" s="139"/>
      <c r="GQ186" s="139"/>
      <c r="GR186" s="139"/>
      <c r="GS186" s="139"/>
      <c r="GT186" s="139"/>
      <c r="GU186" s="139"/>
      <c r="GV186" s="139"/>
      <c r="GW186" s="139"/>
      <c r="GX186" s="139"/>
      <c r="GY186" s="139"/>
      <c r="GZ186" s="139"/>
      <c r="HA186" s="139"/>
      <c r="HB186" s="139"/>
      <c r="HC186" s="139"/>
      <c r="HD186" s="139"/>
      <c r="HE186" s="139"/>
      <c r="HF186" s="139"/>
      <c r="HG186" s="139"/>
      <c r="HH186" s="139"/>
      <c r="HI186" s="139"/>
      <c r="HJ186" s="139"/>
      <c r="HK186" s="139"/>
      <c r="HL186" s="139"/>
      <c r="HM186" s="139"/>
    </row>
    <row r="187" spans="1:221" s="207" customFormat="1" ht="30">
      <c r="A187" s="140" t="s">
        <v>6</v>
      </c>
      <c r="B187" s="129">
        <v>185</v>
      </c>
      <c r="C187" s="141" t="s">
        <v>999</v>
      </c>
      <c r="D187" s="129" t="s">
        <v>3121</v>
      </c>
      <c r="E187" s="129" t="s">
        <v>1156</v>
      </c>
      <c r="F187" s="129" t="s">
        <v>1157</v>
      </c>
      <c r="G187" s="141" t="s">
        <v>703</v>
      </c>
      <c r="H187" s="129" t="s">
        <v>1147</v>
      </c>
      <c r="I187" s="129" t="s">
        <v>1158</v>
      </c>
      <c r="J187" s="129" t="s">
        <v>711</v>
      </c>
      <c r="K187" s="129" t="s">
        <v>711</v>
      </c>
      <c r="L187" s="141" t="s">
        <v>712</v>
      </c>
      <c r="M187" s="141" t="s">
        <v>712</v>
      </c>
      <c r="N187" s="129">
        <v>100</v>
      </c>
      <c r="O187" s="129" t="s">
        <v>712</v>
      </c>
      <c r="P187" s="129" t="s">
        <v>712</v>
      </c>
      <c r="Q187" s="129">
        <v>8</v>
      </c>
      <c r="R187" s="129">
        <v>23</v>
      </c>
      <c r="S187" s="129">
        <v>16</v>
      </c>
      <c r="T187" s="129">
        <v>8</v>
      </c>
      <c r="U187" s="141" t="s">
        <v>1006</v>
      </c>
      <c r="V187" s="141" t="s">
        <v>1007</v>
      </c>
      <c r="W187" s="141" t="s">
        <v>712</v>
      </c>
      <c r="X187" s="141" t="s">
        <v>712</v>
      </c>
      <c r="Y187" s="141" t="s">
        <v>1153</v>
      </c>
      <c r="Z187" s="129" t="s">
        <v>194</v>
      </c>
      <c r="AA187" s="129">
        <v>1</v>
      </c>
      <c r="AB187" s="129" t="s">
        <v>1154</v>
      </c>
      <c r="AC187" s="141" t="s">
        <v>712</v>
      </c>
      <c r="AD187" s="129" t="s">
        <v>1154</v>
      </c>
      <c r="AE187" s="141" t="s">
        <v>712</v>
      </c>
      <c r="AF187" s="129">
        <v>-40</v>
      </c>
      <c r="AG187" s="129">
        <v>-40</v>
      </c>
      <c r="AH187" s="129">
        <v>125</v>
      </c>
      <c r="AI187" s="202" t="s">
        <v>1155</v>
      </c>
      <c r="AJ187" s="159" t="s">
        <v>2144</v>
      </c>
      <c r="AK187" s="129" t="s">
        <v>2824</v>
      </c>
      <c r="AL187" s="129" t="s">
        <v>712</v>
      </c>
      <c r="AM187" s="143" t="s">
        <v>2628</v>
      </c>
      <c r="AN187" s="143" t="s">
        <v>705</v>
      </c>
      <c r="AO187" s="143"/>
      <c r="AP187" s="143"/>
      <c r="AQ187" s="143"/>
      <c r="AR187" s="143"/>
      <c r="AS187" s="143"/>
      <c r="AT187" s="143"/>
      <c r="AU187" s="143"/>
      <c r="AV187" s="143"/>
      <c r="AW187" s="144"/>
      <c r="AX187" s="145"/>
      <c r="AY187" s="138"/>
      <c r="AZ187" s="138"/>
      <c r="BA187" s="138"/>
      <c r="BB187" s="138"/>
      <c r="BC187" s="138"/>
      <c r="BD187" s="138"/>
      <c r="BE187" s="138"/>
      <c r="BF187" s="139"/>
      <c r="BG187" s="139"/>
      <c r="BH187" s="139"/>
      <c r="BI187" s="139"/>
      <c r="BJ187" s="139"/>
      <c r="BK187" s="139"/>
      <c r="BL187" s="139"/>
      <c r="BM187" s="139"/>
      <c r="BN187" s="139"/>
      <c r="BO187" s="139"/>
      <c r="BP187" s="139"/>
      <c r="BQ187" s="139"/>
      <c r="BR187" s="139"/>
      <c r="BS187" s="139"/>
      <c r="BT187" s="139"/>
      <c r="BU187" s="139"/>
      <c r="BV187" s="139"/>
      <c r="BW187" s="139"/>
      <c r="BX187" s="139"/>
      <c r="BY187" s="139"/>
      <c r="BZ187" s="139"/>
      <c r="CA187" s="139"/>
      <c r="CB187" s="139"/>
      <c r="CC187" s="139"/>
      <c r="CD187" s="139"/>
      <c r="CE187" s="139"/>
      <c r="CF187" s="139"/>
      <c r="CG187" s="139"/>
      <c r="CH187" s="139"/>
      <c r="CI187" s="139"/>
      <c r="CJ187" s="139"/>
      <c r="CK187" s="139"/>
      <c r="CL187" s="139"/>
      <c r="CM187" s="139"/>
      <c r="CN187" s="139"/>
      <c r="CO187" s="139"/>
      <c r="CP187" s="139"/>
      <c r="CQ187" s="139"/>
      <c r="CR187" s="139"/>
      <c r="CS187" s="139"/>
      <c r="CT187" s="139"/>
      <c r="CU187" s="139"/>
      <c r="CV187" s="139"/>
      <c r="CW187" s="139"/>
      <c r="CX187" s="139"/>
      <c r="CY187" s="139"/>
      <c r="CZ187" s="139"/>
      <c r="DA187" s="139"/>
      <c r="DB187" s="139"/>
      <c r="DC187" s="139"/>
      <c r="DD187" s="139"/>
      <c r="DE187" s="139"/>
      <c r="DF187" s="139"/>
      <c r="DG187" s="139"/>
      <c r="DH187" s="139"/>
      <c r="DI187" s="139"/>
      <c r="DJ187" s="139"/>
      <c r="DK187" s="139"/>
      <c r="DL187" s="139"/>
      <c r="DM187" s="139"/>
      <c r="DN187" s="139"/>
      <c r="DO187" s="139"/>
      <c r="DP187" s="139"/>
      <c r="DQ187" s="139"/>
      <c r="DR187" s="139"/>
      <c r="DS187" s="139"/>
      <c r="DT187" s="139"/>
      <c r="DU187" s="139"/>
      <c r="DV187" s="139"/>
      <c r="DW187" s="139"/>
      <c r="DX187" s="139"/>
      <c r="DY187" s="139"/>
      <c r="DZ187" s="139"/>
      <c r="EA187" s="139"/>
      <c r="EB187" s="139"/>
      <c r="EC187" s="139"/>
      <c r="ED187" s="139"/>
      <c r="EE187" s="139"/>
      <c r="EF187" s="139"/>
      <c r="EG187" s="139"/>
      <c r="EH187" s="139"/>
      <c r="EI187" s="139"/>
      <c r="EJ187" s="139"/>
      <c r="EK187" s="139"/>
      <c r="EL187" s="139"/>
      <c r="EM187" s="139"/>
      <c r="EN187" s="139"/>
      <c r="EO187" s="139"/>
      <c r="EP187" s="139"/>
      <c r="EQ187" s="139"/>
      <c r="ER187" s="139"/>
      <c r="ES187" s="139"/>
      <c r="ET187" s="139"/>
      <c r="EU187" s="139"/>
      <c r="EV187" s="139"/>
      <c r="EW187" s="139"/>
      <c r="EX187" s="139"/>
      <c r="EY187" s="139"/>
      <c r="EZ187" s="139"/>
      <c r="FA187" s="139"/>
      <c r="FB187" s="139"/>
      <c r="FC187" s="139"/>
      <c r="FD187" s="139"/>
      <c r="FE187" s="139"/>
      <c r="FF187" s="139"/>
      <c r="FG187" s="139"/>
      <c r="FH187" s="139"/>
      <c r="FI187" s="139"/>
      <c r="FJ187" s="139"/>
      <c r="FK187" s="139"/>
      <c r="FL187" s="139"/>
      <c r="FM187" s="139"/>
      <c r="FN187" s="139"/>
      <c r="FO187" s="139"/>
      <c r="FP187" s="139"/>
      <c r="FQ187" s="139"/>
      <c r="FR187" s="139"/>
      <c r="FS187" s="139"/>
      <c r="FT187" s="139"/>
      <c r="FU187" s="139"/>
      <c r="FV187" s="139"/>
      <c r="FW187" s="139"/>
      <c r="FX187" s="139"/>
      <c r="FY187" s="139"/>
      <c r="FZ187" s="139"/>
      <c r="GA187" s="139"/>
      <c r="GB187" s="139"/>
      <c r="GC187" s="139"/>
      <c r="GD187" s="139"/>
      <c r="GE187" s="139"/>
      <c r="GF187" s="139"/>
      <c r="GG187" s="139"/>
      <c r="GH187" s="139"/>
      <c r="GI187" s="139"/>
      <c r="GJ187" s="139"/>
      <c r="GK187" s="139"/>
      <c r="GL187" s="139"/>
      <c r="GM187" s="139"/>
      <c r="GN187" s="139"/>
      <c r="GO187" s="139"/>
      <c r="GP187" s="139"/>
      <c r="GQ187" s="139"/>
      <c r="GR187" s="139"/>
      <c r="GS187" s="139"/>
      <c r="GT187" s="139"/>
      <c r="GU187" s="139"/>
      <c r="GV187" s="139"/>
      <c r="GW187" s="139"/>
      <c r="GX187" s="139"/>
      <c r="GY187" s="139"/>
      <c r="GZ187" s="139"/>
      <c r="HA187" s="139"/>
      <c r="HB187" s="139"/>
      <c r="HC187" s="139"/>
      <c r="HD187" s="139"/>
      <c r="HE187" s="139"/>
      <c r="HF187" s="139"/>
      <c r="HG187" s="139"/>
      <c r="HH187" s="139"/>
      <c r="HI187" s="139"/>
      <c r="HJ187" s="139"/>
      <c r="HK187" s="139"/>
      <c r="HL187" s="139"/>
      <c r="HM187" s="139"/>
    </row>
    <row r="188" spans="1:221" s="207" customFormat="1" ht="30">
      <c r="A188" s="140" t="s">
        <v>6</v>
      </c>
      <c r="B188" s="129">
        <v>186</v>
      </c>
      <c r="C188" s="141" t="s">
        <v>999</v>
      </c>
      <c r="D188" s="129" t="s">
        <v>3121</v>
      </c>
      <c r="E188" s="129" t="s">
        <v>1159</v>
      </c>
      <c r="F188" s="129" t="s">
        <v>1160</v>
      </c>
      <c r="G188" s="141" t="s">
        <v>703</v>
      </c>
      <c r="H188" s="129" t="s">
        <v>1147</v>
      </c>
      <c r="I188" s="129" t="s">
        <v>322</v>
      </c>
      <c r="J188" s="129" t="s">
        <v>711</v>
      </c>
      <c r="K188" s="129" t="s">
        <v>711</v>
      </c>
      <c r="L188" s="141" t="s">
        <v>712</v>
      </c>
      <c r="M188" s="141" t="s">
        <v>712</v>
      </c>
      <c r="N188" s="129">
        <v>100</v>
      </c>
      <c r="O188" s="129" t="s">
        <v>712</v>
      </c>
      <c r="P188" s="129" t="s">
        <v>712</v>
      </c>
      <c r="Q188" s="129">
        <v>8</v>
      </c>
      <c r="R188" s="129">
        <v>31</v>
      </c>
      <c r="S188" s="129">
        <v>24</v>
      </c>
      <c r="T188" s="129">
        <v>8</v>
      </c>
      <c r="U188" s="141" t="s">
        <v>1006</v>
      </c>
      <c r="V188" s="141" t="s">
        <v>1007</v>
      </c>
      <c r="W188" s="141" t="s">
        <v>712</v>
      </c>
      <c r="X188" s="141" t="s">
        <v>712</v>
      </c>
      <c r="Y188" s="141" t="s">
        <v>1153</v>
      </c>
      <c r="Z188" s="129" t="s">
        <v>194</v>
      </c>
      <c r="AA188" s="129">
        <v>1</v>
      </c>
      <c r="AB188" s="129" t="s">
        <v>1154</v>
      </c>
      <c r="AC188" s="141" t="s">
        <v>712</v>
      </c>
      <c r="AD188" s="129" t="s">
        <v>1154</v>
      </c>
      <c r="AE188" s="141" t="s">
        <v>712</v>
      </c>
      <c r="AF188" s="129">
        <v>-40</v>
      </c>
      <c r="AG188" s="129">
        <v>-40</v>
      </c>
      <c r="AH188" s="129">
        <v>125</v>
      </c>
      <c r="AI188" s="202" t="s">
        <v>1155</v>
      </c>
      <c r="AJ188" s="159" t="s">
        <v>2144</v>
      </c>
      <c r="AK188" s="129" t="s">
        <v>2824</v>
      </c>
      <c r="AL188" s="129" t="s">
        <v>712</v>
      </c>
      <c r="AM188" s="143" t="s">
        <v>2628</v>
      </c>
      <c r="AN188" s="143" t="s">
        <v>705</v>
      </c>
      <c r="AO188" s="143"/>
      <c r="AP188" s="143"/>
      <c r="AQ188" s="143"/>
      <c r="AR188" s="143"/>
      <c r="AS188" s="143"/>
      <c r="AT188" s="143"/>
      <c r="AU188" s="143"/>
      <c r="AV188" s="143"/>
      <c r="AW188" s="144"/>
      <c r="AX188" s="145"/>
      <c r="AY188" s="138"/>
      <c r="AZ188" s="138"/>
      <c r="BA188" s="138"/>
      <c r="BB188" s="138"/>
      <c r="BC188" s="138"/>
      <c r="BD188" s="138"/>
      <c r="BE188" s="138"/>
      <c r="BF188" s="139"/>
      <c r="BG188" s="139"/>
      <c r="BH188" s="139"/>
      <c r="BI188" s="139"/>
      <c r="BJ188" s="139"/>
      <c r="BK188" s="139"/>
      <c r="BL188" s="139"/>
      <c r="BM188" s="139"/>
      <c r="BN188" s="139"/>
      <c r="BO188" s="139"/>
      <c r="BP188" s="139"/>
      <c r="BQ188" s="139"/>
      <c r="BR188" s="139"/>
      <c r="BS188" s="139"/>
      <c r="BT188" s="139"/>
      <c r="BU188" s="139"/>
      <c r="BV188" s="139"/>
      <c r="BW188" s="139"/>
      <c r="BX188" s="139"/>
      <c r="BY188" s="139"/>
      <c r="BZ188" s="139"/>
      <c r="CA188" s="139"/>
      <c r="CB188" s="139"/>
      <c r="CC188" s="139"/>
      <c r="CD188" s="139"/>
      <c r="CE188" s="139"/>
      <c r="CF188" s="139"/>
      <c r="CG188" s="139"/>
      <c r="CH188" s="139"/>
      <c r="CI188" s="139"/>
      <c r="CJ188" s="139"/>
      <c r="CK188" s="139"/>
      <c r="CL188" s="139"/>
      <c r="CM188" s="139"/>
      <c r="CN188" s="139"/>
      <c r="CO188" s="139"/>
      <c r="CP188" s="139"/>
      <c r="CQ188" s="139"/>
      <c r="CR188" s="139"/>
      <c r="CS188" s="139"/>
      <c r="CT188" s="139"/>
      <c r="CU188" s="139"/>
      <c r="CV188" s="139"/>
      <c r="CW188" s="139"/>
      <c r="CX188" s="139"/>
      <c r="CY188" s="139"/>
      <c r="CZ188" s="139"/>
      <c r="DA188" s="139"/>
      <c r="DB188" s="139"/>
      <c r="DC188" s="139"/>
      <c r="DD188" s="139"/>
      <c r="DE188" s="139"/>
      <c r="DF188" s="139"/>
      <c r="DG188" s="139"/>
      <c r="DH188" s="139"/>
      <c r="DI188" s="139"/>
      <c r="DJ188" s="139"/>
      <c r="DK188" s="139"/>
      <c r="DL188" s="139"/>
      <c r="DM188" s="139"/>
      <c r="DN188" s="139"/>
      <c r="DO188" s="139"/>
      <c r="DP188" s="139"/>
      <c r="DQ188" s="139"/>
      <c r="DR188" s="139"/>
      <c r="DS188" s="139"/>
      <c r="DT188" s="139"/>
      <c r="DU188" s="139"/>
      <c r="DV188" s="139"/>
      <c r="DW188" s="139"/>
      <c r="DX188" s="139"/>
      <c r="DY188" s="139"/>
      <c r="DZ188" s="139"/>
      <c r="EA188" s="139"/>
      <c r="EB188" s="139"/>
      <c r="EC188" s="139"/>
      <c r="ED188" s="139"/>
      <c r="EE188" s="139"/>
      <c r="EF188" s="139"/>
      <c r="EG188" s="139"/>
      <c r="EH188" s="139"/>
      <c r="EI188" s="139"/>
      <c r="EJ188" s="139"/>
      <c r="EK188" s="139"/>
      <c r="EL188" s="139"/>
      <c r="EM188" s="139"/>
      <c r="EN188" s="139"/>
      <c r="EO188" s="139"/>
      <c r="EP188" s="139"/>
      <c r="EQ188" s="139"/>
      <c r="ER188" s="139"/>
      <c r="ES188" s="139"/>
      <c r="ET188" s="139"/>
      <c r="EU188" s="139"/>
      <c r="EV188" s="139"/>
      <c r="EW188" s="139"/>
      <c r="EX188" s="139"/>
      <c r="EY188" s="139"/>
      <c r="EZ188" s="139"/>
      <c r="FA188" s="139"/>
      <c r="FB188" s="139"/>
      <c r="FC188" s="139"/>
      <c r="FD188" s="139"/>
      <c r="FE188" s="139"/>
      <c r="FF188" s="139"/>
      <c r="FG188" s="139"/>
      <c r="FH188" s="139"/>
      <c r="FI188" s="139"/>
      <c r="FJ188" s="139"/>
      <c r="FK188" s="139"/>
      <c r="FL188" s="139"/>
      <c r="FM188" s="139"/>
      <c r="FN188" s="139"/>
      <c r="FO188" s="139"/>
      <c r="FP188" s="139"/>
      <c r="FQ188" s="139"/>
      <c r="FR188" s="139"/>
      <c r="FS188" s="139"/>
      <c r="FT188" s="139"/>
      <c r="FU188" s="139"/>
      <c r="FV188" s="139"/>
      <c r="FW188" s="139"/>
      <c r="FX188" s="139"/>
      <c r="FY188" s="139"/>
      <c r="FZ188" s="139"/>
      <c r="GA188" s="139"/>
      <c r="GB188" s="139"/>
      <c r="GC188" s="139"/>
      <c r="GD188" s="139"/>
      <c r="GE188" s="139"/>
      <c r="GF188" s="139"/>
      <c r="GG188" s="139"/>
      <c r="GH188" s="139"/>
      <c r="GI188" s="139"/>
      <c r="GJ188" s="139"/>
      <c r="GK188" s="139"/>
      <c r="GL188" s="139"/>
      <c r="GM188" s="139"/>
      <c r="GN188" s="139"/>
      <c r="GO188" s="139"/>
      <c r="GP188" s="139"/>
      <c r="GQ188" s="139"/>
      <c r="GR188" s="139"/>
      <c r="GS188" s="139"/>
      <c r="GT188" s="139"/>
      <c r="GU188" s="139"/>
      <c r="GV188" s="139"/>
      <c r="GW188" s="139"/>
      <c r="GX188" s="139"/>
      <c r="GY188" s="139"/>
      <c r="GZ188" s="139"/>
      <c r="HA188" s="139"/>
      <c r="HB188" s="139"/>
      <c r="HC188" s="139"/>
      <c r="HD188" s="139"/>
      <c r="HE188" s="139"/>
      <c r="HF188" s="139"/>
      <c r="HG188" s="139"/>
      <c r="HH188" s="139"/>
      <c r="HI188" s="139"/>
      <c r="HJ188" s="139"/>
      <c r="HK188" s="139"/>
      <c r="HL188" s="139"/>
      <c r="HM188" s="139"/>
    </row>
    <row r="189" spans="1:221" s="213" customFormat="1" ht="44">
      <c r="A189" s="140" t="s">
        <v>2565</v>
      </c>
      <c r="B189" s="129">
        <v>187</v>
      </c>
      <c r="C189" s="141" t="s">
        <v>999</v>
      </c>
      <c r="D189" s="129" t="s">
        <v>3115</v>
      </c>
      <c r="E189" s="214" t="s">
        <v>2816</v>
      </c>
      <c r="F189" s="129" t="s">
        <v>2817</v>
      </c>
      <c r="G189" s="141" t="s">
        <v>665</v>
      </c>
      <c r="H189" s="129" t="s">
        <v>321</v>
      </c>
      <c r="I189" s="129" t="s">
        <v>322</v>
      </c>
      <c r="J189" s="129" t="s">
        <v>668</v>
      </c>
      <c r="K189" s="129" t="s">
        <v>668</v>
      </c>
      <c r="L189" s="129" t="s">
        <v>669</v>
      </c>
      <c r="M189" s="129" t="s">
        <v>669</v>
      </c>
      <c r="N189" s="129">
        <v>100</v>
      </c>
      <c r="O189" s="129" t="s">
        <v>669</v>
      </c>
      <c r="P189" s="129" t="s">
        <v>669</v>
      </c>
      <c r="Q189" s="129">
        <v>8</v>
      </c>
      <c r="R189" s="129">
        <v>47</v>
      </c>
      <c r="S189" s="129">
        <v>46</v>
      </c>
      <c r="T189" s="129">
        <v>2</v>
      </c>
      <c r="U189" s="141" t="s">
        <v>2818</v>
      </c>
      <c r="V189" s="141" t="s">
        <v>2819</v>
      </c>
      <c r="W189" s="129" t="s">
        <v>669</v>
      </c>
      <c r="X189" s="129" t="s">
        <v>669</v>
      </c>
      <c r="Y189" s="129" t="s">
        <v>2820</v>
      </c>
      <c r="Z189" s="129" t="s">
        <v>194</v>
      </c>
      <c r="AA189" s="129">
        <v>1</v>
      </c>
      <c r="AB189" s="129" t="s">
        <v>669</v>
      </c>
      <c r="AC189" s="129" t="s">
        <v>669</v>
      </c>
      <c r="AD189" s="129" t="s">
        <v>669</v>
      </c>
      <c r="AE189" s="129" t="s">
        <v>669</v>
      </c>
      <c r="AF189" s="129">
        <v>0</v>
      </c>
      <c r="AG189" s="129">
        <v>0</v>
      </c>
      <c r="AH189" s="129">
        <v>2</v>
      </c>
      <c r="AI189" s="129" t="s">
        <v>669</v>
      </c>
      <c r="AJ189" s="159" t="s">
        <v>2821</v>
      </c>
      <c r="AK189" s="141" t="s">
        <v>2782</v>
      </c>
      <c r="AL189" s="129" t="s">
        <v>665</v>
      </c>
      <c r="AM189" s="129"/>
      <c r="AN189" s="143" t="s">
        <v>559</v>
      </c>
      <c r="AO189" s="143"/>
      <c r="AP189" s="143"/>
      <c r="AQ189" s="143"/>
      <c r="AR189" s="143"/>
      <c r="AS189" s="143"/>
      <c r="AT189" s="143"/>
      <c r="AU189" s="143"/>
      <c r="AV189" s="143"/>
      <c r="AW189" s="143"/>
      <c r="AX189" s="143"/>
      <c r="AY189" s="143"/>
      <c r="AZ189" s="143"/>
    </row>
    <row r="190" spans="1:221" s="473" customFormat="1" ht="58">
      <c r="A190" s="451" t="s">
        <v>2565</v>
      </c>
      <c r="B190" s="452">
        <v>188</v>
      </c>
      <c r="C190" s="450" t="s">
        <v>292</v>
      </c>
      <c r="D190" s="452" t="s">
        <v>3095</v>
      </c>
      <c r="E190" s="490" t="s">
        <v>2566</v>
      </c>
      <c r="F190" s="452" t="s">
        <v>2567</v>
      </c>
      <c r="G190" s="450" t="s">
        <v>665</v>
      </c>
      <c r="H190" s="452" t="s">
        <v>321</v>
      </c>
      <c r="I190" s="452" t="s">
        <v>322</v>
      </c>
      <c r="J190" s="452" t="s">
        <v>668</v>
      </c>
      <c r="K190" s="452" t="s">
        <v>668</v>
      </c>
      <c r="L190" s="452" t="s">
        <v>193</v>
      </c>
      <c r="M190" s="452" t="s">
        <v>193</v>
      </c>
      <c r="N190" s="452">
        <v>100</v>
      </c>
      <c r="O190" s="452" t="s">
        <v>193</v>
      </c>
      <c r="P190" s="452" t="s">
        <v>193</v>
      </c>
      <c r="Q190" s="452">
        <v>8</v>
      </c>
      <c r="R190" s="452">
        <v>45</v>
      </c>
      <c r="S190" s="452">
        <v>44</v>
      </c>
      <c r="T190" s="452">
        <v>2</v>
      </c>
      <c r="U190" s="450" t="s">
        <v>2540</v>
      </c>
      <c r="V190" s="450" t="s">
        <v>2541</v>
      </c>
      <c r="W190" s="452" t="s">
        <v>193</v>
      </c>
      <c r="X190" s="452" t="s">
        <v>193</v>
      </c>
      <c r="Y190" s="452" t="s">
        <v>2542</v>
      </c>
      <c r="Z190" s="452" t="s">
        <v>194</v>
      </c>
      <c r="AA190" s="452">
        <v>1</v>
      </c>
      <c r="AB190" s="452" t="s">
        <v>193</v>
      </c>
      <c r="AC190" s="452" t="s">
        <v>193</v>
      </c>
      <c r="AD190" s="452" t="s">
        <v>193</v>
      </c>
      <c r="AE190" s="452" t="s">
        <v>193</v>
      </c>
      <c r="AF190" s="452">
        <v>0</v>
      </c>
      <c r="AG190" s="452">
        <v>0</v>
      </c>
      <c r="AH190" s="452">
        <v>3</v>
      </c>
      <c r="AI190" s="452" t="s">
        <v>193</v>
      </c>
      <c r="AJ190" s="455" t="s">
        <v>3156</v>
      </c>
      <c r="AK190" s="452" t="s">
        <v>2511</v>
      </c>
      <c r="AL190" s="452" t="s">
        <v>2579</v>
      </c>
      <c r="AM190" s="452" t="s">
        <v>2575</v>
      </c>
      <c r="AN190" s="285"/>
      <c r="AO190" s="285"/>
      <c r="AP190" s="285"/>
      <c r="AQ190" s="285"/>
      <c r="AR190" s="285"/>
      <c r="AS190" s="285"/>
      <c r="AT190" s="285"/>
      <c r="AU190" s="285"/>
      <c r="AV190" s="285"/>
      <c r="AW190" s="285"/>
      <c r="AX190" s="285"/>
      <c r="AY190" s="285"/>
      <c r="AZ190" s="285"/>
    </row>
    <row r="191" spans="1:221" s="207" customFormat="1" ht="58">
      <c r="A191" s="140" t="s">
        <v>6</v>
      </c>
      <c r="B191" s="129">
        <v>189</v>
      </c>
      <c r="C191" s="141" t="s">
        <v>1003</v>
      </c>
      <c r="D191" s="129" t="s">
        <v>3122</v>
      </c>
      <c r="E191" s="129" t="s">
        <v>1161</v>
      </c>
      <c r="F191" s="129" t="s">
        <v>1162</v>
      </c>
      <c r="G191" s="141" t="s">
        <v>684</v>
      </c>
      <c r="H191" s="129" t="s">
        <v>321</v>
      </c>
      <c r="I191" s="129" t="s">
        <v>322</v>
      </c>
      <c r="J191" s="129" t="s">
        <v>724</v>
      </c>
      <c r="K191" s="129" t="s">
        <v>724</v>
      </c>
      <c r="L191" s="129" t="s">
        <v>725</v>
      </c>
      <c r="M191" s="129" t="s">
        <v>725</v>
      </c>
      <c r="N191" s="129">
        <v>100</v>
      </c>
      <c r="O191" s="129" t="s">
        <v>725</v>
      </c>
      <c r="P191" s="129" t="s">
        <v>725</v>
      </c>
      <c r="Q191" s="129">
        <v>8</v>
      </c>
      <c r="R191" s="129">
        <v>43</v>
      </c>
      <c r="S191" s="129">
        <v>42</v>
      </c>
      <c r="T191" s="129">
        <v>2</v>
      </c>
      <c r="U191" s="141" t="s">
        <v>884</v>
      </c>
      <c r="V191" s="141" t="s">
        <v>885</v>
      </c>
      <c r="W191" s="129" t="s">
        <v>725</v>
      </c>
      <c r="X191" s="129" t="s">
        <v>725</v>
      </c>
      <c r="Y191" s="129" t="s">
        <v>890</v>
      </c>
      <c r="Z191" s="129" t="s">
        <v>194</v>
      </c>
      <c r="AA191" s="129">
        <v>1</v>
      </c>
      <c r="AB191" s="129" t="s">
        <v>725</v>
      </c>
      <c r="AC191" s="129" t="s">
        <v>725</v>
      </c>
      <c r="AD191" s="129" t="s">
        <v>725</v>
      </c>
      <c r="AE191" s="129" t="s">
        <v>725</v>
      </c>
      <c r="AF191" s="129">
        <v>0</v>
      </c>
      <c r="AG191" s="129">
        <v>0</v>
      </c>
      <c r="AH191" s="129">
        <v>3</v>
      </c>
      <c r="AI191" s="129" t="s">
        <v>725</v>
      </c>
      <c r="AJ191" s="159" t="s">
        <v>1163</v>
      </c>
      <c r="AK191" s="129" t="s">
        <v>725</v>
      </c>
      <c r="AL191" s="129" t="s">
        <v>725</v>
      </c>
      <c r="AM191" s="143"/>
      <c r="AN191" s="143" t="s">
        <v>685</v>
      </c>
      <c r="AO191" s="143"/>
      <c r="AP191" s="143"/>
      <c r="AQ191" s="143"/>
      <c r="AR191" s="143"/>
      <c r="AS191" s="143"/>
      <c r="AT191" s="143"/>
      <c r="AU191" s="143"/>
      <c r="AV191" s="143"/>
      <c r="AW191" s="144"/>
      <c r="AX191" s="145"/>
      <c r="AY191" s="138"/>
      <c r="AZ191" s="138"/>
      <c r="BA191" s="138"/>
      <c r="BB191" s="138"/>
      <c r="BC191" s="138"/>
      <c r="BD191" s="138"/>
      <c r="BE191" s="138"/>
      <c r="BF191" s="139"/>
      <c r="BG191" s="139"/>
      <c r="BH191" s="139"/>
      <c r="BI191" s="139"/>
      <c r="BJ191" s="139"/>
      <c r="BK191" s="139"/>
      <c r="BL191" s="139"/>
      <c r="BM191" s="139"/>
      <c r="BN191" s="139"/>
      <c r="BO191" s="139"/>
      <c r="BP191" s="139"/>
      <c r="BQ191" s="139"/>
      <c r="BR191" s="139"/>
      <c r="BS191" s="139"/>
      <c r="BT191" s="139"/>
      <c r="BU191" s="139"/>
      <c r="BV191" s="139"/>
      <c r="BW191" s="139"/>
      <c r="BX191" s="139"/>
      <c r="BY191" s="139"/>
      <c r="BZ191" s="139"/>
      <c r="CA191" s="139"/>
      <c r="CB191" s="139"/>
      <c r="CC191" s="139"/>
      <c r="CD191" s="139"/>
      <c r="CE191" s="139"/>
      <c r="CF191" s="139"/>
      <c r="CG191" s="139"/>
      <c r="CH191" s="139"/>
      <c r="CI191" s="139"/>
      <c r="CJ191" s="139"/>
      <c r="CK191" s="139"/>
      <c r="CL191" s="139"/>
      <c r="CM191" s="139"/>
      <c r="CN191" s="139"/>
      <c r="CO191" s="139"/>
      <c r="CP191" s="139"/>
      <c r="CQ191" s="139"/>
      <c r="CR191" s="139"/>
      <c r="CS191" s="139"/>
      <c r="CT191" s="139"/>
      <c r="CU191" s="139"/>
      <c r="CV191" s="139"/>
      <c r="CW191" s="139"/>
      <c r="CX191" s="139"/>
      <c r="CY191" s="139"/>
      <c r="CZ191" s="139"/>
      <c r="DA191" s="139"/>
      <c r="DB191" s="139"/>
      <c r="DC191" s="139"/>
      <c r="DD191" s="139"/>
      <c r="DE191" s="139"/>
      <c r="DF191" s="139"/>
      <c r="DG191" s="139"/>
      <c r="DH191" s="139"/>
      <c r="DI191" s="139"/>
      <c r="DJ191" s="139"/>
      <c r="DK191" s="139"/>
      <c r="DL191" s="139"/>
      <c r="DM191" s="139"/>
      <c r="DN191" s="139"/>
      <c r="DO191" s="139"/>
      <c r="DP191" s="139"/>
      <c r="DQ191" s="139"/>
      <c r="DR191" s="139"/>
      <c r="DS191" s="139"/>
      <c r="DT191" s="139"/>
      <c r="DU191" s="139"/>
      <c r="DV191" s="139"/>
      <c r="DW191" s="139"/>
      <c r="DX191" s="139"/>
      <c r="DY191" s="139"/>
      <c r="DZ191" s="139"/>
      <c r="EA191" s="139"/>
      <c r="EB191" s="139"/>
      <c r="EC191" s="139"/>
      <c r="ED191" s="139"/>
      <c r="EE191" s="139"/>
      <c r="EF191" s="139"/>
      <c r="EG191" s="139"/>
      <c r="EH191" s="139"/>
      <c r="EI191" s="139"/>
      <c r="EJ191" s="139"/>
      <c r="EK191" s="139"/>
      <c r="EL191" s="139"/>
      <c r="EM191" s="139"/>
      <c r="EN191" s="139"/>
      <c r="EO191" s="139"/>
      <c r="EP191" s="139"/>
      <c r="EQ191" s="139"/>
      <c r="ER191" s="139"/>
      <c r="ES191" s="139"/>
      <c r="ET191" s="139"/>
      <c r="EU191" s="139"/>
      <c r="EV191" s="139"/>
      <c r="EW191" s="139"/>
      <c r="EX191" s="139"/>
      <c r="EY191" s="139"/>
      <c r="EZ191" s="139"/>
      <c r="FA191" s="139"/>
      <c r="FB191" s="139"/>
      <c r="FC191" s="139"/>
      <c r="FD191" s="139"/>
      <c r="FE191" s="139"/>
      <c r="FF191" s="139"/>
      <c r="FG191" s="139"/>
      <c r="FH191" s="139"/>
      <c r="FI191" s="139"/>
      <c r="FJ191" s="139"/>
      <c r="FK191" s="139"/>
      <c r="FL191" s="139"/>
      <c r="FM191" s="139"/>
      <c r="FN191" s="139"/>
      <c r="FO191" s="139"/>
      <c r="FP191" s="139"/>
      <c r="FQ191" s="139"/>
      <c r="FR191" s="139"/>
      <c r="FS191" s="139"/>
      <c r="FT191" s="139"/>
      <c r="FU191" s="139"/>
      <c r="FV191" s="139"/>
      <c r="FW191" s="139"/>
      <c r="FX191" s="139"/>
      <c r="FY191" s="139"/>
      <c r="FZ191" s="139"/>
      <c r="GA191" s="139"/>
      <c r="GB191" s="139"/>
      <c r="GC191" s="139"/>
      <c r="GD191" s="139"/>
      <c r="GE191" s="139"/>
      <c r="GF191" s="139"/>
      <c r="GG191" s="139"/>
      <c r="GH191" s="139"/>
      <c r="GI191" s="139"/>
      <c r="GJ191" s="139"/>
      <c r="GK191" s="139"/>
      <c r="GL191" s="139"/>
      <c r="GM191" s="139"/>
      <c r="GN191" s="139"/>
      <c r="GO191" s="139"/>
      <c r="GP191" s="139"/>
      <c r="GQ191" s="139"/>
      <c r="GR191" s="139"/>
      <c r="GS191" s="139"/>
      <c r="GT191" s="139"/>
      <c r="GU191" s="139"/>
      <c r="GV191" s="139"/>
      <c r="GW191" s="139"/>
      <c r="GX191" s="139"/>
      <c r="GY191" s="139"/>
      <c r="GZ191" s="139"/>
      <c r="HA191" s="139"/>
      <c r="HB191" s="139"/>
      <c r="HC191" s="139"/>
      <c r="HD191" s="139"/>
      <c r="HE191" s="139"/>
      <c r="HF191" s="139"/>
      <c r="HG191" s="139"/>
      <c r="HH191" s="139"/>
      <c r="HI191" s="139"/>
      <c r="HJ191" s="139"/>
      <c r="HK191" s="139"/>
      <c r="HL191" s="139"/>
      <c r="HM191" s="139"/>
    </row>
    <row r="192" spans="1:221" s="207" customFormat="1" ht="58">
      <c r="A192" s="140" t="s">
        <v>6</v>
      </c>
      <c r="B192" s="129">
        <v>190</v>
      </c>
      <c r="C192" s="141" t="s">
        <v>1003</v>
      </c>
      <c r="D192" s="129" t="s">
        <v>3122</v>
      </c>
      <c r="E192" s="129" t="s">
        <v>1164</v>
      </c>
      <c r="F192" s="129" t="s">
        <v>1165</v>
      </c>
      <c r="G192" s="141" t="s">
        <v>684</v>
      </c>
      <c r="H192" s="129" t="s">
        <v>321</v>
      </c>
      <c r="I192" s="129" t="s">
        <v>322</v>
      </c>
      <c r="J192" s="129" t="s">
        <v>724</v>
      </c>
      <c r="K192" s="129" t="s">
        <v>724</v>
      </c>
      <c r="L192" s="129" t="s">
        <v>725</v>
      </c>
      <c r="M192" s="129" t="s">
        <v>725</v>
      </c>
      <c r="N192" s="129">
        <v>100</v>
      </c>
      <c r="O192" s="129" t="s">
        <v>725</v>
      </c>
      <c r="P192" s="129" t="s">
        <v>725</v>
      </c>
      <c r="Q192" s="129">
        <v>8</v>
      </c>
      <c r="R192" s="129">
        <v>41</v>
      </c>
      <c r="S192" s="129">
        <v>40</v>
      </c>
      <c r="T192" s="129">
        <v>2</v>
      </c>
      <c r="U192" s="141" t="s">
        <v>884</v>
      </c>
      <c r="V192" s="141" t="s">
        <v>885</v>
      </c>
      <c r="W192" s="129" t="s">
        <v>725</v>
      </c>
      <c r="X192" s="129" t="s">
        <v>725</v>
      </c>
      <c r="Y192" s="129" t="s">
        <v>890</v>
      </c>
      <c r="Z192" s="129" t="s">
        <v>194</v>
      </c>
      <c r="AA192" s="129">
        <v>1</v>
      </c>
      <c r="AB192" s="129" t="s">
        <v>725</v>
      </c>
      <c r="AC192" s="129" t="s">
        <v>725</v>
      </c>
      <c r="AD192" s="129" t="s">
        <v>725</v>
      </c>
      <c r="AE192" s="129" t="s">
        <v>725</v>
      </c>
      <c r="AF192" s="129">
        <v>0</v>
      </c>
      <c r="AG192" s="129">
        <v>0</v>
      </c>
      <c r="AH192" s="129">
        <v>3</v>
      </c>
      <c r="AI192" s="129" t="s">
        <v>725</v>
      </c>
      <c r="AJ192" s="159" t="s">
        <v>1163</v>
      </c>
      <c r="AK192" s="129" t="s">
        <v>725</v>
      </c>
      <c r="AL192" s="129" t="s">
        <v>725</v>
      </c>
      <c r="AM192" s="143"/>
      <c r="AN192" s="143" t="s">
        <v>685</v>
      </c>
      <c r="AO192" s="143"/>
      <c r="AP192" s="143"/>
      <c r="AQ192" s="143"/>
      <c r="AR192" s="143"/>
      <c r="AS192" s="143"/>
      <c r="AT192" s="143"/>
      <c r="AU192" s="143"/>
      <c r="AV192" s="143"/>
      <c r="AW192" s="144"/>
      <c r="AX192" s="145"/>
      <c r="AY192" s="138"/>
      <c r="AZ192" s="138"/>
      <c r="BA192" s="138"/>
      <c r="BB192" s="138"/>
      <c r="BC192" s="138"/>
      <c r="BD192" s="138"/>
      <c r="BE192" s="138"/>
      <c r="BF192" s="139"/>
      <c r="BG192" s="139"/>
      <c r="BH192" s="139"/>
      <c r="BI192" s="139"/>
      <c r="BJ192" s="139"/>
      <c r="BK192" s="139"/>
      <c r="BL192" s="139"/>
      <c r="BM192" s="139"/>
      <c r="BN192" s="139"/>
      <c r="BO192" s="139"/>
      <c r="BP192" s="139"/>
      <c r="BQ192" s="139"/>
      <c r="BR192" s="139"/>
      <c r="BS192" s="139"/>
      <c r="BT192" s="139"/>
      <c r="BU192" s="139"/>
      <c r="BV192" s="139"/>
      <c r="BW192" s="139"/>
      <c r="BX192" s="139"/>
      <c r="BY192" s="139"/>
      <c r="BZ192" s="139"/>
      <c r="CA192" s="139"/>
      <c r="CB192" s="139"/>
      <c r="CC192" s="139"/>
      <c r="CD192" s="139"/>
      <c r="CE192" s="139"/>
      <c r="CF192" s="139"/>
      <c r="CG192" s="139"/>
      <c r="CH192" s="139"/>
      <c r="CI192" s="139"/>
      <c r="CJ192" s="139"/>
      <c r="CK192" s="139"/>
      <c r="CL192" s="139"/>
      <c r="CM192" s="139"/>
      <c r="CN192" s="139"/>
      <c r="CO192" s="139"/>
      <c r="CP192" s="139"/>
      <c r="CQ192" s="139"/>
      <c r="CR192" s="139"/>
      <c r="CS192" s="139"/>
      <c r="CT192" s="139"/>
      <c r="CU192" s="139"/>
      <c r="CV192" s="139"/>
      <c r="CW192" s="139"/>
      <c r="CX192" s="139"/>
      <c r="CY192" s="139"/>
      <c r="CZ192" s="139"/>
      <c r="DA192" s="139"/>
      <c r="DB192" s="139"/>
      <c r="DC192" s="139"/>
      <c r="DD192" s="139"/>
      <c r="DE192" s="139"/>
      <c r="DF192" s="139"/>
      <c r="DG192" s="139"/>
      <c r="DH192" s="139"/>
      <c r="DI192" s="139"/>
      <c r="DJ192" s="139"/>
      <c r="DK192" s="139"/>
      <c r="DL192" s="139"/>
      <c r="DM192" s="139"/>
      <c r="DN192" s="139"/>
      <c r="DO192" s="139"/>
      <c r="DP192" s="139"/>
      <c r="DQ192" s="139"/>
      <c r="DR192" s="139"/>
      <c r="DS192" s="139"/>
      <c r="DT192" s="139"/>
      <c r="DU192" s="139"/>
      <c r="DV192" s="139"/>
      <c r="DW192" s="139"/>
      <c r="DX192" s="139"/>
      <c r="DY192" s="139"/>
      <c r="DZ192" s="139"/>
      <c r="EA192" s="139"/>
      <c r="EB192" s="139"/>
      <c r="EC192" s="139"/>
      <c r="ED192" s="139"/>
      <c r="EE192" s="139"/>
      <c r="EF192" s="139"/>
      <c r="EG192" s="139"/>
      <c r="EH192" s="139"/>
      <c r="EI192" s="139"/>
      <c r="EJ192" s="139"/>
      <c r="EK192" s="139"/>
      <c r="EL192" s="139"/>
      <c r="EM192" s="139"/>
      <c r="EN192" s="139"/>
      <c r="EO192" s="139"/>
      <c r="EP192" s="139"/>
      <c r="EQ192" s="139"/>
      <c r="ER192" s="139"/>
      <c r="ES192" s="139"/>
      <c r="ET192" s="139"/>
      <c r="EU192" s="139"/>
      <c r="EV192" s="139"/>
      <c r="EW192" s="139"/>
      <c r="EX192" s="139"/>
      <c r="EY192" s="139"/>
      <c r="EZ192" s="139"/>
      <c r="FA192" s="139"/>
      <c r="FB192" s="139"/>
      <c r="FC192" s="139"/>
      <c r="FD192" s="139"/>
      <c r="FE192" s="139"/>
      <c r="FF192" s="139"/>
      <c r="FG192" s="139"/>
      <c r="FH192" s="139"/>
      <c r="FI192" s="139"/>
      <c r="FJ192" s="139"/>
      <c r="FK192" s="139"/>
      <c r="FL192" s="139"/>
      <c r="FM192" s="139"/>
      <c r="FN192" s="139"/>
      <c r="FO192" s="139"/>
      <c r="FP192" s="139"/>
      <c r="FQ192" s="139"/>
      <c r="FR192" s="139"/>
      <c r="FS192" s="139"/>
      <c r="FT192" s="139"/>
      <c r="FU192" s="139"/>
      <c r="FV192" s="139"/>
      <c r="FW192" s="139"/>
      <c r="FX192" s="139"/>
      <c r="FY192" s="139"/>
      <c r="FZ192" s="139"/>
      <c r="GA192" s="139"/>
      <c r="GB192" s="139"/>
      <c r="GC192" s="139"/>
      <c r="GD192" s="139"/>
      <c r="GE192" s="139"/>
      <c r="GF192" s="139"/>
      <c r="GG192" s="139"/>
      <c r="GH192" s="139"/>
      <c r="GI192" s="139"/>
      <c r="GJ192" s="139"/>
      <c r="GK192" s="139"/>
      <c r="GL192" s="139"/>
      <c r="GM192" s="139"/>
      <c r="GN192" s="139"/>
      <c r="GO192" s="139"/>
      <c r="GP192" s="139"/>
      <c r="GQ192" s="139"/>
      <c r="GR192" s="139"/>
      <c r="GS192" s="139"/>
      <c r="GT192" s="139"/>
      <c r="GU192" s="139"/>
      <c r="GV192" s="139"/>
      <c r="GW192" s="139"/>
      <c r="GX192" s="139"/>
      <c r="GY192" s="139"/>
      <c r="GZ192" s="139"/>
      <c r="HA192" s="139"/>
      <c r="HB192" s="139"/>
      <c r="HC192" s="139"/>
      <c r="HD192" s="139"/>
      <c r="HE192" s="139"/>
      <c r="HF192" s="139"/>
      <c r="HG192" s="139"/>
      <c r="HH192" s="139"/>
      <c r="HI192" s="139"/>
      <c r="HJ192" s="139"/>
      <c r="HK192" s="139"/>
      <c r="HL192" s="139"/>
      <c r="HM192" s="139"/>
    </row>
    <row r="193" spans="1:57" s="139" customFormat="1" ht="58">
      <c r="A193" s="140" t="s">
        <v>6</v>
      </c>
      <c r="B193" s="129">
        <v>191</v>
      </c>
      <c r="C193" s="141" t="s">
        <v>1003</v>
      </c>
      <c r="D193" s="129" t="s">
        <v>3122</v>
      </c>
      <c r="E193" s="129" t="s">
        <v>1166</v>
      </c>
      <c r="F193" s="129" t="s">
        <v>1167</v>
      </c>
      <c r="G193" s="141" t="s">
        <v>684</v>
      </c>
      <c r="H193" s="129" t="s">
        <v>321</v>
      </c>
      <c r="I193" s="129" t="s">
        <v>322</v>
      </c>
      <c r="J193" s="129" t="s">
        <v>724</v>
      </c>
      <c r="K193" s="129" t="s">
        <v>724</v>
      </c>
      <c r="L193" s="129" t="s">
        <v>725</v>
      </c>
      <c r="M193" s="129" t="s">
        <v>725</v>
      </c>
      <c r="N193" s="129">
        <v>100</v>
      </c>
      <c r="O193" s="129" t="s">
        <v>725</v>
      </c>
      <c r="P193" s="129" t="s">
        <v>725</v>
      </c>
      <c r="Q193" s="129">
        <v>8</v>
      </c>
      <c r="R193" s="129">
        <v>55</v>
      </c>
      <c r="S193" s="129">
        <v>54</v>
      </c>
      <c r="T193" s="129">
        <v>2</v>
      </c>
      <c r="U193" s="141" t="s">
        <v>884</v>
      </c>
      <c r="V193" s="141" t="s">
        <v>885</v>
      </c>
      <c r="W193" s="129" t="s">
        <v>725</v>
      </c>
      <c r="X193" s="129" t="s">
        <v>725</v>
      </c>
      <c r="Y193" s="129" t="s">
        <v>890</v>
      </c>
      <c r="Z193" s="129" t="s">
        <v>194</v>
      </c>
      <c r="AA193" s="129">
        <v>1</v>
      </c>
      <c r="AB193" s="129" t="s">
        <v>725</v>
      </c>
      <c r="AC193" s="129" t="s">
        <v>725</v>
      </c>
      <c r="AD193" s="129" t="s">
        <v>725</v>
      </c>
      <c r="AE193" s="129" t="s">
        <v>725</v>
      </c>
      <c r="AF193" s="129">
        <v>0</v>
      </c>
      <c r="AG193" s="129">
        <v>0</v>
      </c>
      <c r="AH193" s="129">
        <v>3</v>
      </c>
      <c r="AI193" s="129" t="s">
        <v>725</v>
      </c>
      <c r="AJ193" s="159" t="s">
        <v>1163</v>
      </c>
      <c r="AK193" s="129" t="s">
        <v>725</v>
      </c>
      <c r="AL193" s="129" t="s">
        <v>725</v>
      </c>
      <c r="AM193" s="143"/>
      <c r="AN193" s="143" t="s">
        <v>685</v>
      </c>
      <c r="AO193" s="143"/>
      <c r="AP193" s="143"/>
      <c r="AQ193" s="143"/>
      <c r="AR193" s="143"/>
      <c r="AS193" s="143"/>
      <c r="AT193" s="143"/>
      <c r="AU193" s="143"/>
      <c r="AV193" s="143"/>
      <c r="AW193" s="144"/>
      <c r="AX193" s="145"/>
      <c r="AY193" s="138"/>
      <c r="AZ193" s="138"/>
      <c r="BA193" s="138"/>
      <c r="BB193" s="138"/>
      <c r="BC193" s="138"/>
      <c r="BD193" s="138"/>
      <c r="BE193" s="138"/>
    </row>
    <row r="194" spans="1:57" s="139" customFormat="1" ht="58">
      <c r="A194" s="140" t="s">
        <v>6</v>
      </c>
      <c r="B194" s="129">
        <v>192</v>
      </c>
      <c r="C194" s="141" t="s">
        <v>1003</v>
      </c>
      <c r="D194" s="129" t="s">
        <v>3122</v>
      </c>
      <c r="E194" s="129" t="s">
        <v>1168</v>
      </c>
      <c r="F194" s="129" t="s">
        <v>1169</v>
      </c>
      <c r="G194" s="141" t="s">
        <v>684</v>
      </c>
      <c r="H194" s="129" t="s">
        <v>321</v>
      </c>
      <c r="I194" s="129" t="s">
        <v>322</v>
      </c>
      <c r="J194" s="129" t="s">
        <v>724</v>
      </c>
      <c r="K194" s="129" t="s">
        <v>724</v>
      </c>
      <c r="L194" s="129" t="s">
        <v>725</v>
      </c>
      <c r="M194" s="129" t="s">
        <v>725</v>
      </c>
      <c r="N194" s="129">
        <v>100</v>
      </c>
      <c r="O194" s="129" t="s">
        <v>725</v>
      </c>
      <c r="P194" s="129" t="s">
        <v>725</v>
      </c>
      <c r="Q194" s="129">
        <v>8</v>
      </c>
      <c r="R194" s="129">
        <v>53</v>
      </c>
      <c r="S194" s="129">
        <v>52</v>
      </c>
      <c r="T194" s="129">
        <v>2</v>
      </c>
      <c r="U194" s="141" t="s">
        <v>884</v>
      </c>
      <c r="V194" s="141" t="s">
        <v>885</v>
      </c>
      <c r="W194" s="129" t="s">
        <v>725</v>
      </c>
      <c r="X194" s="129" t="s">
        <v>725</v>
      </c>
      <c r="Y194" s="129" t="s">
        <v>890</v>
      </c>
      <c r="Z194" s="129" t="s">
        <v>194</v>
      </c>
      <c r="AA194" s="129">
        <v>1</v>
      </c>
      <c r="AB194" s="129" t="s">
        <v>725</v>
      </c>
      <c r="AC194" s="129" t="s">
        <v>725</v>
      </c>
      <c r="AD194" s="129" t="s">
        <v>725</v>
      </c>
      <c r="AE194" s="129" t="s">
        <v>725</v>
      </c>
      <c r="AF194" s="129">
        <v>0</v>
      </c>
      <c r="AG194" s="129">
        <v>0</v>
      </c>
      <c r="AH194" s="129">
        <v>3</v>
      </c>
      <c r="AI194" s="129" t="s">
        <v>725</v>
      </c>
      <c r="AJ194" s="159" t="s">
        <v>1163</v>
      </c>
      <c r="AK194" s="129" t="s">
        <v>725</v>
      </c>
      <c r="AL194" s="129" t="s">
        <v>725</v>
      </c>
      <c r="AM194" s="143"/>
      <c r="AN194" s="143" t="s">
        <v>685</v>
      </c>
      <c r="AO194" s="143"/>
      <c r="AP194" s="143"/>
      <c r="AQ194" s="143"/>
      <c r="AR194" s="143"/>
      <c r="AS194" s="143"/>
      <c r="AT194" s="143"/>
      <c r="AU194" s="143"/>
      <c r="AV194" s="143"/>
      <c r="AW194" s="144"/>
      <c r="AX194" s="145"/>
      <c r="AY194" s="138"/>
      <c r="AZ194" s="138"/>
      <c r="BA194" s="138"/>
      <c r="BB194" s="138"/>
      <c r="BC194" s="138"/>
      <c r="BD194" s="138"/>
      <c r="BE194" s="138"/>
    </row>
    <row r="195" spans="1:57" s="139" customFormat="1" ht="30">
      <c r="A195" s="140" t="s">
        <v>6</v>
      </c>
      <c r="B195" s="129">
        <v>193</v>
      </c>
      <c r="C195" s="141" t="s">
        <v>1003</v>
      </c>
      <c r="D195" s="129" t="s">
        <v>3121</v>
      </c>
      <c r="E195" s="129" t="s">
        <v>1170</v>
      </c>
      <c r="F195" s="129" t="s">
        <v>1171</v>
      </c>
      <c r="G195" s="141" t="s">
        <v>703</v>
      </c>
      <c r="H195" s="129" t="s">
        <v>321</v>
      </c>
      <c r="I195" s="129" t="s">
        <v>322</v>
      </c>
      <c r="J195" s="129" t="s">
        <v>711</v>
      </c>
      <c r="K195" s="129" t="s">
        <v>711</v>
      </c>
      <c r="L195" s="129" t="s">
        <v>712</v>
      </c>
      <c r="M195" s="129" t="s">
        <v>712</v>
      </c>
      <c r="N195" s="129">
        <v>100</v>
      </c>
      <c r="O195" s="129" t="s">
        <v>712</v>
      </c>
      <c r="P195" s="129" t="s">
        <v>712</v>
      </c>
      <c r="Q195" s="129">
        <v>8</v>
      </c>
      <c r="R195" s="129">
        <v>51</v>
      </c>
      <c r="S195" s="129">
        <v>51</v>
      </c>
      <c r="T195" s="129">
        <v>1</v>
      </c>
      <c r="U195" s="141" t="s">
        <v>1006</v>
      </c>
      <c r="V195" s="141" t="s">
        <v>1007</v>
      </c>
      <c r="W195" s="129" t="s">
        <v>712</v>
      </c>
      <c r="X195" s="129" t="s">
        <v>712</v>
      </c>
      <c r="Y195" s="129" t="s">
        <v>1008</v>
      </c>
      <c r="Z195" s="129" t="s">
        <v>194</v>
      </c>
      <c r="AA195" s="129">
        <v>1</v>
      </c>
      <c r="AB195" s="129" t="s">
        <v>712</v>
      </c>
      <c r="AC195" s="129" t="s">
        <v>712</v>
      </c>
      <c r="AD195" s="129" t="s">
        <v>712</v>
      </c>
      <c r="AE195" s="129" t="s">
        <v>712</v>
      </c>
      <c r="AF195" s="129">
        <v>0</v>
      </c>
      <c r="AG195" s="129">
        <v>0</v>
      </c>
      <c r="AH195" s="129">
        <v>1</v>
      </c>
      <c r="AI195" s="129" t="s">
        <v>712</v>
      </c>
      <c r="AJ195" s="159" t="s">
        <v>2185</v>
      </c>
      <c r="AK195" s="129" t="s">
        <v>712</v>
      </c>
      <c r="AL195" s="129" t="s">
        <v>1172</v>
      </c>
      <c r="AM195" s="143" t="s">
        <v>705</v>
      </c>
      <c r="AN195" s="143" t="s">
        <v>705</v>
      </c>
      <c r="AO195" s="143"/>
      <c r="AP195" s="143"/>
      <c r="AQ195" s="143"/>
      <c r="AR195" s="143"/>
      <c r="AS195" s="143"/>
      <c r="AT195" s="143"/>
      <c r="AU195" s="143"/>
      <c r="AV195" s="143"/>
      <c r="AW195" s="144"/>
      <c r="AX195" s="145"/>
      <c r="AY195" s="138"/>
      <c r="AZ195" s="138"/>
      <c r="BA195" s="138"/>
      <c r="BB195" s="138"/>
      <c r="BC195" s="138"/>
      <c r="BD195" s="138"/>
      <c r="BE195" s="138"/>
    </row>
    <row r="196" spans="1:57" s="139" customFormat="1" ht="30">
      <c r="A196" s="140" t="s">
        <v>6</v>
      </c>
      <c r="B196" s="129">
        <v>194</v>
      </c>
      <c r="C196" s="141" t="s">
        <v>999</v>
      </c>
      <c r="D196" s="129" t="s">
        <v>3122</v>
      </c>
      <c r="E196" s="129" t="s">
        <v>2647</v>
      </c>
      <c r="F196" s="129" t="s">
        <v>1173</v>
      </c>
      <c r="G196" s="141" t="s">
        <v>684</v>
      </c>
      <c r="H196" s="129" t="s">
        <v>321</v>
      </c>
      <c r="I196" s="129" t="s">
        <v>322</v>
      </c>
      <c r="J196" s="129" t="s">
        <v>724</v>
      </c>
      <c r="K196" s="129" t="s">
        <v>724</v>
      </c>
      <c r="L196" s="129" t="s">
        <v>725</v>
      </c>
      <c r="M196" s="129" t="s">
        <v>725</v>
      </c>
      <c r="N196" s="129">
        <v>100</v>
      </c>
      <c r="O196" s="129" t="s">
        <v>725</v>
      </c>
      <c r="P196" s="129" t="s">
        <v>725</v>
      </c>
      <c r="Q196" s="129">
        <v>8</v>
      </c>
      <c r="R196" s="129">
        <v>50</v>
      </c>
      <c r="S196" s="129">
        <v>50</v>
      </c>
      <c r="T196" s="129">
        <v>1</v>
      </c>
      <c r="U196" s="141" t="s">
        <v>884</v>
      </c>
      <c r="V196" s="141" t="s">
        <v>885</v>
      </c>
      <c r="W196" s="129" t="s">
        <v>725</v>
      </c>
      <c r="X196" s="129" t="s">
        <v>725</v>
      </c>
      <c r="Y196" s="129" t="s">
        <v>890</v>
      </c>
      <c r="Z196" s="129" t="s">
        <v>194</v>
      </c>
      <c r="AA196" s="129">
        <v>1</v>
      </c>
      <c r="AB196" s="129" t="s">
        <v>725</v>
      </c>
      <c r="AC196" s="129" t="s">
        <v>725</v>
      </c>
      <c r="AD196" s="129" t="s">
        <v>725</v>
      </c>
      <c r="AE196" s="129" t="s">
        <v>725</v>
      </c>
      <c r="AF196" s="129">
        <v>0</v>
      </c>
      <c r="AG196" s="129">
        <v>0</v>
      </c>
      <c r="AH196" s="129">
        <v>1</v>
      </c>
      <c r="AI196" s="129" t="s">
        <v>725</v>
      </c>
      <c r="AJ196" s="159" t="s">
        <v>2186</v>
      </c>
      <c r="AK196" s="129" t="s">
        <v>2824</v>
      </c>
      <c r="AL196" s="129" t="s">
        <v>725</v>
      </c>
      <c r="AM196" s="143"/>
      <c r="AN196" s="143" t="s">
        <v>685</v>
      </c>
      <c r="AO196" s="143"/>
      <c r="AP196" s="143"/>
      <c r="AQ196" s="143"/>
      <c r="AR196" s="143"/>
      <c r="AS196" s="143"/>
      <c r="AT196" s="143"/>
      <c r="AU196" s="143"/>
      <c r="AV196" s="143"/>
      <c r="AW196" s="144"/>
      <c r="AX196" s="145"/>
      <c r="AY196" s="138"/>
      <c r="AZ196" s="138"/>
      <c r="BA196" s="138"/>
      <c r="BB196" s="138"/>
      <c r="BC196" s="138"/>
      <c r="BD196" s="138"/>
      <c r="BE196" s="138"/>
    </row>
    <row r="197" spans="1:57" s="139" customFormat="1" ht="30">
      <c r="A197" s="140" t="s">
        <v>6</v>
      </c>
      <c r="B197" s="129">
        <v>195</v>
      </c>
      <c r="C197" s="141" t="s">
        <v>1003</v>
      </c>
      <c r="D197" s="129" t="s">
        <v>3122</v>
      </c>
      <c r="E197" s="129" t="s">
        <v>1174</v>
      </c>
      <c r="F197" s="129" t="s">
        <v>1175</v>
      </c>
      <c r="G197" s="141" t="s">
        <v>684</v>
      </c>
      <c r="H197" s="129" t="s">
        <v>321</v>
      </c>
      <c r="I197" s="129" t="s">
        <v>322</v>
      </c>
      <c r="J197" s="129" t="s">
        <v>724</v>
      </c>
      <c r="K197" s="129" t="s">
        <v>724</v>
      </c>
      <c r="L197" s="129" t="s">
        <v>725</v>
      </c>
      <c r="M197" s="129" t="s">
        <v>725</v>
      </c>
      <c r="N197" s="129">
        <v>100</v>
      </c>
      <c r="O197" s="129" t="s">
        <v>725</v>
      </c>
      <c r="P197" s="129" t="s">
        <v>725</v>
      </c>
      <c r="Q197" s="129">
        <v>8</v>
      </c>
      <c r="R197" s="129">
        <v>49</v>
      </c>
      <c r="S197" s="129">
        <v>49</v>
      </c>
      <c r="T197" s="129">
        <v>1</v>
      </c>
      <c r="U197" s="141" t="s">
        <v>884</v>
      </c>
      <c r="V197" s="141" t="s">
        <v>885</v>
      </c>
      <c r="W197" s="129" t="s">
        <v>725</v>
      </c>
      <c r="X197" s="129" t="s">
        <v>725</v>
      </c>
      <c r="Y197" s="129" t="s">
        <v>890</v>
      </c>
      <c r="Z197" s="129" t="s">
        <v>194</v>
      </c>
      <c r="AA197" s="129">
        <v>1</v>
      </c>
      <c r="AB197" s="129" t="s">
        <v>725</v>
      </c>
      <c r="AC197" s="129" t="s">
        <v>725</v>
      </c>
      <c r="AD197" s="129" t="s">
        <v>725</v>
      </c>
      <c r="AE197" s="129" t="s">
        <v>725</v>
      </c>
      <c r="AF197" s="129">
        <v>0</v>
      </c>
      <c r="AG197" s="129">
        <v>0</v>
      </c>
      <c r="AH197" s="129">
        <v>1</v>
      </c>
      <c r="AI197" s="129" t="s">
        <v>725</v>
      </c>
      <c r="AJ197" s="159" t="s">
        <v>2185</v>
      </c>
      <c r="AK197" s="129" t="s">
        <v>725</v>
      </c>
      <c r="AL197" s="129" t="s">
        <v>725</v>
      </c>
      <c r="AM197" s="143"/>
      <c r="AN197" s="143" t="s">
        <v>685</v>
      </c>
      <c r="AO197" s="143"/>
      <c r="AP197" s="143"/>
      <c r="AQ197" s="143"/>
      <c r="AR197" s="143"/>
      <c r="AS197" s="143"/>
      <c r="AT197" s="143"/>
      <c r="AU197" s="143"/>
      <c r="AV197" s="143"/>
      <c r="AW197" s="144"/>
      <c r="AX197" s="145"/>
      <c r="AY197" s="138"/>
      <c r="AZ197" s="138"/>
      <c r="BA197" s="138"/>
      <c r="BB197" s="138"/>
      <c r="BC197" s="138"/>
      <c r="BD197" s="138"/>
      <c r="BE197" s="138"/>
    </row>
    <row r="198" spans="1:57" s="139" customFormat="1" ht="30">
      <c r="A198" s="215" t="s">
        <v>2741</v>
      </c>
      <c r="B198" s="129">
        <v>196</v>
      </c>
      <c r="C198" s="216" t="s">
        <v>2831</v>
      </c>
      <c r="D198" s="217"/>
      <c r="E198" s="218" t="s">
        <v>2871</v>
      </c>
      <c r="F198" s="219" t="s">
        <v>2872</v>
      </c>
      <c r="G198" s="216" t="s">
        <v>198</v>
      </c>
      <c r="H198" s="220" t="s">
        <v>321</v>
      </c>
      <c r="I198" s="220" t="s">
        <v>322</v>
      </c>
      <c r="J198" s="220" t="s">
        <v>192</v>
      </c>
      <c r="K198" s="220" t="s">
        <v>192</v>
      </c>
      <c r="L198" s="220" t="s">
        <v>198</v>
      </c>
      <c r="M198" s="220" t="s">
        <v>198</v>
      </c>
      <c r="N198" s="220">
        <v>100</v>
      </c>
      <c r="O198" s="220">
        <v>100</v>
      </c>
      <c r="P198" s="220" t="s">
        <v>198</v>
      </c>
      <c r="Q198" s="220">
        <v>8</v>
      </c>
      <c r="R198" s="221">
        <v>48</v>
      </c>
      <c r="S198" s="221">
        <v>48</v>
      </c>
      <c r="T198" s="221">
        <v>1</v>
      </c>
      <c r="U198" s="216" t="s">
        <v>240</v>
      </c>
      <c r="V198" s="216" t="s">
        <v>535</v>
      </c>
      <c r="W198" s="216" t="s">
        <v>198</v>
      </c>
      <c r="X198" s="216" t="s">
        <v>198</v>
      </c>
      <c r="Y198" s="220" t="s">
        <v>339</v>
      </c>
      <c r="Z198" s="220" t="s">
        <v>194</v>
      </c>
      <c r="AA198" s="220">
        <v>1</v>
      </c>
      <c r="AB198" s="220" t="s">
        <v>198</v>
      </c>
      <c r="AC198" s="216" t="s">
        <v>198</v>
      </c>
      <c r="AD198" s="220" t="s">
        <v>198</v>
      </c>
      <c r="AE198" s="216" t="s">
        <v>198</v>
      </c>
      <c r="AF198" s="220">
        <v>0</v>
      </c>
      <c r="AG198" s="220">
        <v>0</v>
      </c>
      <c r="AH198" s="220">
        <v>1</v>
      </c>
      <c r="AI198" s="217"/>
      <c r="AJ198" s="222" t="s">
        <v>208</v>
      </c>
      <c r="AK198" s="220" t="s">
        <v>198</v>
      </c>
      <c r="AL198" s="223"/>
      <c r="AM198" s="220"/>
      <c r="AN198" s="143"/>
      <c r="AO198" s="143"/>
      <c r="AP198" s="143"/>
      <c r="AQ198" s="143"/>
      <c r="AR198" s="143"/>
      <c r="AS198" s="143"/>
      <c r="AT198" s="143"/>
      <c r="AU198" s="143"/>
      <c r="AV198" s="143"/>
      <c r="AW198" s="144"/>
      <c r="AX198" s="145"/>
      <c r="AY198" s="138"/>
      <c r="AZ198" s="138"/>
      <c r="BA198" s="138"/>
      <c r="BB198" s="138"/>
      <c r="BC198" s="138"/>
      <c r="BD198" s="138"/>
      <c r="BE198" s="138"/>
    </row>
    <row r="199" spans="1:57" s="139" customFormat="1" ht="30">
      <c r="A199" s="215" t="s">
        <v>2741</v>
      </c>
      <c r="B199" s="129">
        <v>197</v>
      </c>
      <c r="C199" s="216" t="s">
        <v>2831</v>
      </c>
      <c r="D199" s="217"/>
      <c r="E199" s="218" t="s">
        <v>2873</v>
      </c>
      <c r="F199" s="219" t="s">
        <v>2874</v>
      </c>
      <c r="G199" s="216" t="s">
        <v>198</v>
      </c>
      <c r="H199" s="220" t="s">
        <v>321</v>
      </c>
      <c r="I199" s="220" t="s">
        <v>322</v>
      </c>
      <c r="J199" s="220" t="s">
        <v>192</v>
      </c>
      <c r="K199" s="220" t="s">
        <v>192</v>
      </c>
      <c r="L199" s="220" t="s">
        <v>198</v>
      </c>
      <c r="M199" s="220" t="s">
        <v>198</v>
      </c>
      <c r="N199" s="220">
        <v>100</v>
      </c>
      <c r="O199" s="220">
        <v>100</v>
      </c>
      <c r="P199" s="220" t="s">
        <v>198</v>
      </c>
      <c r="Q199" s="220">
        <v>8</v>
      </c>
      <c r="R199" s="221">
        <v>63</v>
      </c>
      <c r="S199" s="221">
        <v>63</v>
      </c>
      <c r="T199" s="221">
        <v>1</v>
      </c>
      <c r="U199" s="216" t="s">
        <v>240</v>
      </c>
      <c r="V199" s="216" t="s">
        <v>535</v>
      </c>
      <c r="W199" s="216" t="s">
        <v>198</v>
      </c>
      <c r="X199" s="216" t="s">
        <v>198</v>
      </c>
      <c r="Y199" s="220" t="s">
        <v>339</v>
      </c>
      <c r="Z199" s="220" t="s">
        <v>194</v>
      </c>
      <c r="AA199" s="220">
        <v>1</v>
      </c>
      <c r="AB199" s="220" t="s">
        <v>198</v>
      </c>
      <c r="AC199" s="216" t="s">
        <v>198</v>
      </c>
      <c r="AD199" s="220" t="s">
        <v>198</v>
      </c>
      <c r="AE199" s="216" t="s">
        <v>198</v>
      </c>
      <c r="AF199" s="220">
        <v>0</v>
      </c>
      <c r="AG199" s="220">
        <v>0</v>
      </c>
      <c r="AH199" s="220">
        <v>1</v>
      </c>
      <c r="AI199" s="217"/>
      <c r="AJ199" s="222" t="s">
        <v>208</v>
      </c>
      <c r="AK199" s="220" t="s">
        <v>198</v>
      </c>
      <c r="AL199" s="223"/>
      <c r="AM199" s="220"/>
      <c r="AN199" s="143"/>
      <c r="AO199" s="143"/>
      <c r="AP199" s="143"/>
      <c r="AQ199" s="143"/>
      <c r="AR199" s="143"/>
      <c r="AS199" s="143"/>
      <c r="AT199" s="143"/>
      <c r="AU199" s="143"/>
      <c r="AV199" s="143"/>
      <c r="AW199" s="144"/>
      <c r="AX199" s="145"/>
      <c r="AY199" s="138"/>
      <c r="AZ199" s="138"/>
      <c r="BA199" s="138"/>
      <c r="BB199" s="138"/>
      <c r="BC199" s="138"/>
      <c r="BD199" s="138"/>
      <c r="BE199" s="138"/>
    </row>
    <row r="200" spans="1:57" s="139" customFormat="1" ht="30">
      <c r="A200" s="215" t="s">
        <v>2741</v>
      </c>
      <c r="B200" s="129">
        <v>198</v>
      </c>
      <c r="C200" s="216" t="s">
        <v>2831</v>
      </c>
      <c r="D200" s="217"/>
      <c r="E200" s="218" t="s">
        <v>2875</v>
      </c>
      <c r="F200" s="219" t="s">
        <v>2876</v>
      </c>
      <c r="G200" s="216" t="s">
        <v>198</v>
      </c>
      <c r="H200" s="220" t="s">
        <v>321</v>
      </c>
      <c r="I200" s="220" t="s">
        <v>322</v>
      </c>
      <c r="J200" s="220" t="s">
        <v>192</v>
      </c>
      <c r="K200" s="220" t="s">
        <v>192</v>
      </c>
      <c r="L200" s="220" t="s">
        <v>198</v>
      </c>
      <c r="M200" s="220" t="s">
        <v>198</v>
      </c>
      <c r="N200" s="220">
        <v>100</v>
      </c>
      <c r="O200" s="220">
        <v>100</v>
      </c>
      <c r="P200" s="220" t="s">
        <v>198</v>
      </c>
      <c r="Q200" s="220">
        <v>8</v>
      </c>
      <c r="R200" s="221">
        <v>62</v>
      </c>
      <c r="S200" s="221">
        <v>62</v>
      </c>
      <c r="T200" s="221">
        <v>1</v>
      </c>
      <c r="U200" s="216" t="s">
        <v>240</v>
      </c>
      <c r="V200" s="216" t="s">
        <v>535</v>
      </c>
      <c r="W200" s="216" t="s">
        <v>198</v>
      </c>
      <c r="X200" s="216" t="s">
        <v>198</v>
      </c>
      <c r="Y200" s="220" t="s">
        <v>339</v>
      </c>
      <c r="Z200" s="220" t="s">
        <v>194</v>
      </c>
      <c r="AA200" s="220">
        <v>1</v>
      </c>
      <c r="AB200" s="220" t="s">
        <v>198</v>
      </c>
      <c r="AC200" s="216" t="s">
        <v>198</v>
      </c>
      <c r="AD200" s="220" t="s">
        <v>198</v>
      </c>
      <c r="AE200" s="216" t="s">
        <v>198</v>
      </c>
      <c r="AF200" s="220">
        <v>0</v>
      </c>
      <c r="AG200" s="220">
        <v>0</v>
      </c>
      <c r="AH200" s="220">
        <v>1</v>
      </c>
      <c r="AI200" s="217"/>
      <c r="AJ200" s="222" t="s">
        <v>208</v>
      </c>
      <c r="AK200" s="220" t="s">
        <v>198</v>
      </c>
      <c r="AL200" s="223"/>
      <c r="AM200" s="220"/>
      <c r="AN200" s="143"/>
      <c r="AO200" s="143"/>
      <c r="AP200" s="143"/>
      <c r="AQ200" s="143"/>
      <c r="AR200" s="143"/>
      <c r="AS200" s="143"/>
      <c r="AT200" s="143"/>
      <c r="AU200" s="143"/>
      <c r="AV200" s="143"/>
      <c r="AW200" s="144"/>
      <c r="AX200" s="145"/>
      <c r="AY200" s="138"/>
      <c r="AZ200" s="138"/>
      <c r="BA200" s="138"/>
      <c r="BB200" s="138"/>
      <c r="BC200" s="138"/>
      <c r="BD200" s="138"/>
      <c r="BE200" s="138"/>
    </row>
    <row r="201" spans="1:57" s="139" customFormat="1" ht="30">
      <c r="A201" s="215" t="s">
        <v>2741</v>
      </c>
      <c r="B201" s="129">
        <v>199</v>
      </c>
      <c r="C201" s="216" t="s">
        <v>2831</v>
      </c>
      <c r="D201" s="217"/>
      <c r="E201" s="218" t="s">
        <v>2877</v>
      </c>
      <c r="F201" s="219" t="s">
        <v>2878</v>
      </c>
      <c r="G201" s="216" t="s">
        <v>198</v>
      </c>
      <c r="H201" s="220" t="s">
        <v>321</v>
      </c>
      <c r="I201" s="220" t="s">
        <v>322</v>
      </c>
      <c r="J201" s="220" t="s">
        <v>192</v>
      </c>
      <c r="K201" s="220" t="s">
        <v>192</v>
      </c>
      <c r="L201" s="220" t="s">
        <v>198</v>
      </c>
      <c r="M201" s="220" t="s">
        <v>198</v>
      </c>
      <c r="N201" s="220">
        <v>100</v>
      </c>
      <c r="O201" s="220">
        <v>100</v>
      </c>
      <c r="P201" s="220" t="s">
        <v>198</v>
      </c>
      <c r="Q201" s="220">
        <v>8</v>
      </c>
      <c r="R201" s="221">
        <v>61</v>
      </c>
      <c r="S201" s="221">
        <v>61</v>
      </c>
      <c r="T201" s="221">
        <v>1</v>
      </c>
      <c r="U201" s="216" t="s">
        <v>240</v>
      </c>
      <c r="V201" s="216" t="s">
        <v>535</v>
      </c>
      <c r="W201" s="216" t="s">
        <v>198</v>
      </c>
      <c r="X201" s="216" t="s">
        <v>198</v>
      </c>
      <c r="Y201" s="220" t="s">
        <v>339</v>
      </c>
      <c r="Z201" s="220" t="s">
        <v>194</v>
      </c>
      <c r="AA201" s="220">
        <v>1</v>
      </c>
      <c r="AB201" s="220" t="s">
        <v>198</v>
      </c>
      <c r="AC201" s="216" t="s">
        <v>198</v>
      </c>
      <c r="AD201" s="220" t="s">
        <v>198</v>
      </c>
      <c r="AE201" s="216" t="s">
        <v>198</v>
      </c>
      <c r="AF201" s="220">
        <v>0</v>
      </c>
      <c r="AG201" s="220">
        <v>0</v>
      </c>
      <c r="AH201" s="220">
        <v>1</v>
      </c>
      <c r="AI201" s="217"/>
      <c r="AJ201" s="222" t="s">
        <v>208</v>
      </c>
      <c r="AK201" s="220" t="s">
        <v>198</v>
      </c>
      <c r="AL201" s="223"/>
      <c r="AM201" s="220"/>
      <c r="AN201" s="143"/>
      <c r="AO201" s="143"/>
      <c r="AP201" s="143"/>
      <c r="AQ201" s="143"/>
      <c r="AR201" s="143"/>
      <c r="AS201" s="143"/>
      <c r="AT201" s="143"/>
      <c r="AU201" s="143"/>
      <c r="AV201" s="143"/>
      <c r="AW201" s="144"/>
      <c r="AX201" s="145"/>
      <c r="AY201" s="138"/>
      <c r="AZ201" s="138"/>
      <c r="BA201" s="138"/>
      <c r="BB201" s="138"/>
      <c r="BC201" s="138"/>
      <c r="BD201" s="138"/>
      <c r="BE201" s="138"/>
    </row>
    <row r="202" spans="1:57" s="139" customFormat="1" ht="30">
      <c r="A202" s="215" t="s">
        <v>2741</v>
      </c>
      <c r="B202" s="129">
        <v>200</v>
      </c>
      <c r="C202" s="216" t="s">
        <v>2831</v>
      </c>
      <c r="D202" s="217"/>
      <c r="E202" s="218" t="s">
        <v>2879</v>
      </c>
      <c r="F202" s="219" t="s">
        <v>2880</v>
      </c>
      <c r="G202" s="216" t="s">
        <v>198</v>
      </c>
      <c r="H202" s="220" t="s">
        <v>321</v>
      </c>
      <c r="I202" s="220" t="s">
        <v>322</v>
      </c>
      <c r="J202" s="220" t="s">
        <v>192</v>
      </c>
      <c r="K202" s="220" t="s">
        <v>192</v>
      </c>
      <c r="L202" s="220" t="s">
        <v>198</v>
      </c>
      <c r="M202" s="220" t="s">
        <v>198</v>
      </c>
      <c r="N202" s="220">
        <v>100</v>
      </c>
      <c r="O202" s="220">
        <v>100</v>
      </c>
      <c r="P202" s="220" t="s">
        <v>198</v>
      </c>
      <c r="Q202" s="220">
        <v>8</v>
      </c>
      <c r="R202" s="221">
        <v>60</v>
      </c>
      <c r="S202" s="221">
        <v>60</v>
      </c>
      <c r="T202" s="221">
        <v>1</v>
      </c>
      <c r="U202" s="216" t="s">
        <v>240</v>
      </c>
      <c r="V202" s="216" t="s">
        <v>535</v>
      </c>
      <c r="W202" s="216" t="s">
        <v>198</v>
      </c>
      <c r="X202" s="216" t="s">
        <v>198</v>
      </c>
      <c r="Y202" s="220" t="s">
        <v>339</v>
      </c>
      <c r="Z202" s="220" t="s">
        <v>194</v>
      </c>
      <c r="AA202" s="220">
        <v>1</v>
      </c>
      <c r="AB202" s="220" t="s">
        <v>198</v>
      </c>
      <c r="AC202" s="216" t="s">
        <v>198</v>
      </c>
      <c r="AD202" s="220" t="s">
        <v>198</v>
      </c>
      <c r="AE202" s="216" t="s">
        <v>198</v>
      </c>
      <c r="AF202" s="220">
        <v>0</v>
      </c>
      <c r="AG202" s="220">
        <v>0</v>
      </c>
      <c r="AH202" s="220">
        <v>1</v>
      </c>
      <c r="AI202" s="217"/>
      <c r="AJ202" s="222" t="s">
        <v>208</v>
      </c>
      <c r="AK202" s="220" t="s">
        <v>198</v>
      </c>
      <c r="AL202" s="223"/>
      <c r="AM202" s="220"/>
      <c r="AN202" s="143"/>
      <c r="AO202" s="143"/>
      <c r="AP202" s="143"/>
      <c r="AQ202" s="143"/>
      <c r="AR202" s="143"/>
      <c r="AS202" s="143"/>
      <c r="AT202" s="143"/>
      <c r="AU202" s="143"/>
      <c r="AV202" s="143"/>
      <c r="AW202" s="144"/>
      <c r="AX202" s="145"/>
      <c r="AY202" s="138"/>
      <c r="AZ202" s="138"/>
      <c r="BA202" s="138"/>
      <c r="BB202" s="138"/>
      <c r="BC202" s="138"/>
      <c r="BD202" s="138"/>
      <c r="BE202" s="138"/>
    </row>
    <row r="203" spans="1:57" s="139" customFormat="1" ht="58">
      <c r="A203" s="140" t="s">
        <v>6</v>
      </c>
      <c r="B203" s="129">
        <v>201</v>
      </c>
      <c r="C203" s="141" t="s">
        <v>999</v>
      </c>
      <c r="D203" s="129" t="s">
        <v>3115</v>
      </c>
      <c r="E203" s="129" t="s">
        <v>2951</v>
      </c>
      <c r="F203" s="129" t="s">
        <v>2822</v>
      </c>
      <c r="G203" s="141" t="s">
        <v>665</v>
      </c>
      <c r="H203" s="129" t="s">
        <v>321</v>
      </c>
      <c r="I203" s="129" t="s">
        <v>322</v>
      </c>
      <c r="J203" s="129" t="s">
        <v>668</v>
      </c>
      <c r="K203" s="129" t="s">
        <v>668</v>
      </c>
      <c r="L203" s="129" t="s">
        <v>669</v>
      </c>
      <c r="M203" s="129" t="s">
        <v>669</v>
      </c>
      <c r="N203" s="129">
        <v>100</v>
      </c>
      <c r="O203" s="129" t="s">
        <v>669</v>
      </c>
      <c r="P203" s="129" t="s">
        <v>669</v>
      </c>
      <c r="Q203" s="129">
        <v>8</v>
      </c>
      <c r="R203" s="129">
        <v>33</v>
      </c>
      <c r="S203" s="129">
        <v>32</v>
      </c>
      <c r="T203" s="129">
        <v>2</v>
      </c>
      <c r="U203" s="141" t="s">
        <v>2818</v>
      </c>
      <c r="V203" s="141" t="s">
        <v>2819</v>
      </c>
      <c r="W203" s="129" t="s">
        <v>669</v>
      </c>
      <c r="X203" s="129" t="s">
        <v>669</v>
      </c>
      <c r="Y203" s="129" t="s">
        <v>2820</v>
      </c>
      <c r="Z203" s="129" t="s">
        <v>194</v>
      </c>
      <c r="AA203" s="129">
        <v>1</v>
      </c>
      <c r="AB203" s="129" t="s">
        <v>669</v>
      </c>
      <c r="AC203" s="129" t="s">
        <v>669</v>
      </c>
      <c r="AD203" s="129" t="s">
        <v>669</v>
      </c>
      <c r="AE203" s="129" t="s">
        <v>669</v>
      </c>
      <c r="AF203" s="129">
        <v>0</v>
      </c>
      <c r="AG203" s="129">
        <v>0</v>
      </c>
      <c r="AH203" s="129">
        <v>2</v>
      </c>
      <c r="AI203" s="129" t="s">
        <v>669</v>
      </c>
      <c r="AJ203" s="159" t="s">
        <v>2823</v>
      </c>
      <c r="AK203" s="141" t="s">
        <v>2782</v>
      </c>
      <c r="AL203" s="129" t="s">
        <v>669</v>
      </c>
      <c r="AM203" s="143"/>
      <c r="AN203" s="143" t="s">
        <v>677</v>
      </c>
      <c r="AO203" s="143"/>
      <c r="AP203" s="143"/>
      <c r="AQ203" s="143"/>
      <c r="AR203" s="143"/>
      <c r="AS203" s="143"/>
      <c r="AT203" s="143"/>
      <c r="AU203" s="143"/>
      <c r="AV203" s="143"/>
      <c r="AW203" s="144"/>
      <c r="AX203" s="145"/>
      <c r="AY203" s="138"/>
      <c r="AZ203" s="138"/>
      <c r="BA203" s="138"/>
      <c r="BB203" s="138"/>
      <c r="BC203" s="138"/>
      <c r="BD203" s="138"/>
      <c r="BE203" s="138"/>
    </row>
    <row r="204" spans="1:57" s="459" customFormat="1" ht="30">
      <c r="A204" s="451" t="s">
        <v>6</v>
      </c>
      <c r="B204" s="452">
        <v>202</v>
      </c>
      <c r="C204" s="450" t="s">
        <v>937</v>
      </c>
      <c r="D204" s="452" t="s">
        <v>3119</v>
      </c>
      <c r="E204" s="452" t="s">
        <v>1176</v>
      </c>
      <c r="F204" s="452" t="s">
        <v>1177</v>
      </c>
      <c r="G204" s="450" t="s">
        <v>684</v>
      </c>
      <c r="H204" s="452" t="s">
        <v>1178</v>
      </c>
      <c r="I204" s="452" t="s">
        <v>1179</v>
      </c>
      <c r="J204" s="452" t="s">
        <v>935</v>
      </c>
      <c r="K204" s="452" t="s">
        <v>935</v>
      </c>
      <c r="L204" s="452" t="s">
        <v>725</v>
      </c>
      <c r="M204" s="452" t="s">
        <v>725</v>
      </c>
      <c r="N204" s="452">
        <v>100</v>
      </c>
      <c r="O204" s="452">
        <v>100</v>
      </c>
      <c r="P204" s="452" t="s">
        <v>725</v>
      </c>
      <c r="Q204" s="452">
        <v>8</v>
      </c>
      <c r="R204" s="452">
        <v>15</v>
      </c>
      <c r="S204" s="452">
        <v>8</v>
      </c>
      <c r="T204" s="452">
        <v>8</v>
      </c>
      <c r="U204" s="450" t="s">
        <v>726</v>
      </c>
      <c r="V204" s="450" t="s">
        <v>727</v>
      </c>
      <c r="W204" s="452">
        <v>500</v>
      </c>
      <c r="X204" s="450" t="s">
        <v>684</v>
      </c>
      <c r="Y204" s="450" t="s">
        <v>874</v>
      </c>
      <c r="Z204" s="452" t="s">
        <v>194</v>
      </c>
      <c r="AA204" s="452">
        <v>1</v>
      </c>
      <c r="AB204" s="452" t="s">
        <v>1180</v>
      </c>
      <c r="AC204" s="450" t="s">
        <v>684</v>
      </c>
      <c r="AD204" s="452" t="s">
        <v>1180</v>
      </c>
      <c r="AE204" s="450" t="s">
        <v>684</v>
      </c>
      <c r="AF204" s="452">
        <v>-40</v>
      </c>
      <c r="AG204" s="452">
        <v>-40</v>
      </c>
      <c r="AH204" s="452">
        <v>125</v>
      </c>
      <c r="AI204" s="452" t="s">
        <v>1181</v>
      </c>
      <c r="AJ204" s="455" t="s">
        <v>2144</v>
      </c>
      <c r="AK204" s="450" t="s">
        <v>684</v>
      </c>
      <c r="AL204" s="450" t="s">
        <v>957</v>
      </c>
      <c r="AM204" s="285" t="s">
        <v>685</v>
      </c>
      <c r="AN204" s="285" t="s">
        <v>936</v>
      </c>
      <c r="AO204" s="285"/>
      <c r="AP204" s="285"/>
      <c r="AQ204" s="285"/>
      <c r="AR204" s="285"/>
      <c r="AS204" s="285"/>
      <c r="AT204" s="285"/>
      <c r="AU204" s="285"/>
      <c r="AV204" s="285"/>
      <c r="AW204" s="456"/>
      <c r="AX204" s="457"/>
      <c r="AY204" s="458"/>
      <c r="AZ204" s="458"/>
      <c r="BA204" s="458"/>
      <c r="BB204" s="458"/>
      <c r="BC204" s="458"/>
      <c r="BD204" s="458"/>
      <c r="BE204" s="458"/>
    </row>
    <row r="205" spans="1:57" s="459" customFormat="1" ht="30">
      <c r="A205" s="451" t="s">
        <v>6</v>
      </c>
      <c r="B205" s="452">
        <v>203</v>
      </c>
      <c r="C205" s="450" t="s">
        <v>937</v>
      </c>
      <c r="D205" s="452" t="s">
        <v>3119</v>
      </c>
      <c r="E205" s="452" t="s">
        <v>1182</v>
      </c>
      <c r="F205" s="452" t="s">
        <v>1183</v>
      </c>
      <c r="G205" s="450" t="s">
        <v>684</v>
      </c>
      <c r="H205" s="452" t="s">
        <v>1178</v>
      </c>
      <c r="I205" s="452" t="s">
        <v>1179</v>
      </c>
      <c r="J205" s="452" t="s">
        <v>935</v>
      </c>
      <c r="K205" s="452" t="s">
        <v>935</v>
      </c>
      <c r="L205" s="452" t="s">
        <v>725</v>
      </c>
      <c r="M205" s="452" t="s">
        <v>725</v>
      </c>
      <c r="N205" s="452">
        <v>100</v>
      </c>
      <c r="O205" s="452">
        <v>100</v>
      </c>
      <c r="P205" s="452" t="s">
        <v>725</v>
      </c>
      <c r="Q205" s="452">
        <v>8</v>
      </c>
      <c r="R205" s="452">
        <v>23</v>
      </c>
      <c r="S205" s="452">
        <v>16</v>
      </c>
      <c r="T205" s="452">
        <v>8</v>
      </c>
      <c r="U205" s="450" t="s">
        <v>726</v>
      </c>
      <c r="V205" s="450" t="s">
        <v>727</v>
      </c>
      <c r="W205" s="452">
        <v>500</v>
      </c>
      <c r="X205" s="450" t="s">
        <v>684</v>
      </c>
      <c r="Y205" s="450" t="s">
        <v>874</v>
      </c>
      <c r="Z205" s="452" t="s">
        <v>194</v>
      </c>
      <c r="AA205" s="452">
        <v>1</v>
      </c>
      <c r="AB205" s="452" t="s">
        <v>1180</v>
      </c>
      <c r="AC205" s="450" t="s">
        <v>684</v>
      </c>
      <c r="AD205" s="452" t="s">
        <v>1180</v>
      </c>
      <c r="AE205" s="450" t="s">
        <v>684</v>
      </c>
      <c r="AF205" s="452">
        <v>-40</v>
      </c>
      <c r="AG205" s="452">
        <v>-40</v>
      </c>
      <c r="AH205" s="452">
        <v>125</v>
      </c>
      <c r="AI205" s="474" t="s">
        <v>1181</v>
      </c>
      <c r="AJ205" s="455" t="s">
        <v>2144</v>
      </c>
      <c r="AK205" s="450" t="s">
        <v>684</v>
      </c>
      <c r="AL205" s="450" t="s">
        <v>957</v>
      </c>
      <c r="AM205" s="285" t="s">
        <v>685</v>
      </c>
      <c r="AN205" s="285" t="s">
        <v>936</v>
      </c>
      <c r="AO205" s="285"/>
      <c r="AP205" s="285"/>
      <c r="AQ205" s="285"/>
      <c r="AR205" s="285"/>
      <c r="AS205" s="285"/>
      <c r="AT205" s="285"/>
      <c r="AU205" s="285"/>
      <c r="AV205" s="285"/>
      <c r="AW205" s="456"/>
      <c r="AX205" s="457"/>
      <c r="AY205" s="458"/>
      <c r="AZ205" s="458"/>
      <c r="BA205" s="458"/>
      <c r="BB205" s="458"/>
      <c r="BC205" s="458"/>
      <c r="BD205" s="458"/>
      <c r="BE205" s="458"/>
    </row>
    <row r="206" spans="1:57" s="486" customFormat="1" ht="30">
      <c r="A206" s="478" t="s">
        <v>6</v>
      </c>
      <c r="B206" s="479">
        <v>204</v>
      </c>
      <c r="C206" s="480" t="s">
        <v>937</v>
      </c>
      <c r="D206" s="479" t="s">
        <v>3119</v>
      </c>
      <c r="E206" s="479" t="s">
        <v>1844</v>
      </c>
      <c r="F206" s="479" t="s">
        <v>1847</v>
      </c>
      <c r="G206" s="480" t="s">
        <v>684</v>
      </c>
      <c r="H206" s="479" t="s">
        <v>1178</v>
      </c>
      <c r="I206" s="479" t="s">
        <v>1179</v>
      </c>
      <c r="J206" s="479" t="s">
        <v>935</v>
      </c>
      <c r="K206" s="479" t="s">
        <v>935</v>
      </c>
      <c r="L206" s="479" t="s">
        <v>725</v>
      </c>
      <c r="M206" s="479" t="s">
        <v>725</v>
      </c>
      <c r="N206" s="479">
        <v>100</v>
      </c>
      <c r="O206" s="479">
        <v>100</v>
      </c>
      <c r="P206" s="479" t="s">
        <v>725</v>
      </c>
      <c r="Q206" s="479">
        <v>8</v>
      </c>
      <c r="R206" s="479">
        <v>31</v>
      </c>
      <c r="S206" s="479">
        <v>26</v>
      </c>
      <c r="T206" s="479">
        <v>6</v>
      </c>
      <c r="U206" s="480" t="s">
        <v>726</v>
      </c>
      <c r="V206" s="480" t="s">
        <v>727</v>
      </c>
      <c r="W206" s="479" t="s">
        <v>990</v>
      </c>
      <c r="X206" s="480" t="s">
        <v>684</v>
      </c>
      <c r="Y206" s="480" t="s">
        <v>728</v>
      </c>
      <c r="Z206" s="479" t="s">
        <v>728</v>
      </c>
      <c r="AA206" s="479">
        <v>1</v>
      </c>
      <c r="AB206" s="479" t="s">
        <v>684</v>
      </c>
      <c r="AC206" s="480" t="s">
        <v>684</v>
      </c>
      <c r="AD206" s="479" t="s">
        <v>684</v>
      </c>
      <c r="AE206" s="480" t="s">
        <v>684</v>
      </c>
      <c r="AF206" s="479">
        <v>1</v>
      </c>
      <c r="AG206" s="479">
        <v>1</v>
      </c>
      <c r="AH206" s="479">
        <v>40</v>
      </c>
      <c r="AI206" s="479" t="s">
        <v>684</v>
      </c>
      <c r="AJ206" s="481" t="s">
        <v>2339</v>
      </c>
      <c r="AK206" s="480" t="s">
        <v>684</v>
      </c>
      <c r="AL206" s="480" t="s">
        <v>957</v>
      </c>
      <c r="AM206" s="482" t="s">
        <v>685</v>
      </c>
      <c r="AN206" s="482" t="s">
        <v>936</v>
      </c>
      <c r="AO206" s="482"/>
      <c r="AP206" s="482"/>
      <c r="AQ206" s="482"/>
      <c r="AR206" s="482"/>
      <c r="AS206" s="482"/>
      <c r="AT206" s="482"/>
      <c r="AU206" s="482"/>
      <c r="AV206" s="482"/>
      <c r="AW206" s="483"/>
      <c r="AX206" s="484"/>
      <c r="AY206" s="485"/>
      <c r="AZ206" s="485"/>
      <c r="BA206" s="485"/>
      <c r="BB206" s="485"/>
      <c r="BC206" s="485"/>
      <c r="BD206" s="485"/>
      <c r="BE206" s="485"/>
    </row>
    <row r="207" spans="1:57" s="486" customFormat="1" ht="30">
      <c r="A207" s="478" t="s">
        <v>6</v>
      </c>
      <c r="B207" s="479">
        <v>205</v>
      </c>
      <c r="C207" s="480" t="s">
        <v>937</v>
      </c>
      <c r="D207" s="479" t="s">
        <v>3119</v>
      </c>
      <c r="E207" s="479" t="s">
        <v>1845</v>
      </c>
      <c r="F207" s="479" t="s">
        <v>1846</v>
      </c>
      <c r="G207" s="480" t="s">
        <v>684</v>
      </c>
      <c r="H207" s="479" t="s">
        <v>1178</v>
      </c>
      <c r="I207" s="479" t="s">
        <v>1179</v>
      </c>
      <c r="J207" s="479" t="s">
        <v>935</v>
      </c>
      <c r="K207" s="479" t="s">
        <v>935</v>
      </c>
      <c r="L207" s="479" t="s">
        <v>725</v>
      </c>
      <c r="M207" s="479" t="s">
        <v>725</v>
      </c>
      <c r="N207" s="479">
        <v>100</v>
      </c>
      <c r="O207" s="479">
        <v>100</v>
      </c>
      <c r="P207" s="479" t="s">
        <v>725</v>
      </c>
      <c r="Q207" s="479">
        <v>8</v>
      </c>
      <c r="R207" s="479">
        <v>39</v>
      </c>
      <c r="S207" s="479">
        <v>34</v>
      </c>
      <c r="T207" s="479">
        <v>6</v>
      </c>
      <c r="U207" s="480" t="s">
        <v>726</v>
      </c>
      <c r="V207" s="480" t="s">
        <v>727</v>
      </c>
      <c r="W207" s="479" t="s">
        <v>990</v>
      </c>
      <c r="X207" s="480" t="s">
        <v>684</v>
      </c>
      <c r="Y207" s="480" t="s">
        <v>728</v>
      </c>
      <c r="Z207" s="479" t="s">
        <v>728</v>
      </c>
      <c r="AA207" s="479">
        <v>1</v>
      </c>
      <c r="AB207" s="479" t="s">
        <v>684</v>
      </c>
      <c r="AC207" s="480" t="s">
        <v>684</v>
      </c>
      <c r="AD207" s="479" t="s">
        <v>684</v>
      </c>
      <c r="AE207" s="480" t="s">
        <v>684</v>
      </c>
      <c r="AF207" s="479">
        <v>1</v>
      </c>
      <c r="AG207" s="479">
        <v>1</v>
      </c>
      <c r="AH207" s="479">
        <v>40</v>
      </c>
      <c r="AI207" s="479" t="s">
        <v>684</v>
      </c>
      <c r="AJ207" s="481" t="s">
        <v>2339</v>
      </c>
      <c r="AK207" s="480" t="s">
        <v>684</v>
      </c>
      <c r="AL207" s="480" t="s">
        <v>957</v>
      </c>
      <c r="AM207" s="482" t="s">
        <v>685</v>
      </c>
      <c r="AN207" s="482" t="s">
        <v>936</v>
      </c>
      <c r="AO207" s="482"/>
      <c r="AP207" s="482"/>
      <c r="AQ207" s="482"/>
      <c r="AR207" s="482"/>
      <c r="AS207" s="482"/>
      <c r="AT207" s="482"/>
      <c r="AU207" s="482"/>
      <c r="AV207" s="482"/>
      <c r="AW207" s="483"/>
      <c r="AX207" s="484"/>
      <c r="AY207" s="485"/>
      <c r="AZ207" s="485"/>
      <c r="BA207" s="485"/>
      <c r="BB207" s="485"/>
      <c r="BC207" s="485"/>
      <c r="BD207" s="485"/>
      <c r="BE207" s="485"/>
    </row>
    <row r="208" spans="1:57" s="139" customFormat="1" ht="30">
      <c r="A208" s="140" t="s">
        <v>6</v>
      </c>
      <c r="B208" s="129">
        <v>206</v>
      </c>
      <c r="C208" s="141" t="s">
        <v>937</v>
      </c>
      <c r="D208" s="129" t="s">
        <v>3115</v>
      </c>
      <c r="E208" s="129" t="s">
        <v>1184</v>
      </c>
      <c r="F208" s="129" t="s">
        <v>1185</v>
      </c>
      <c r="G208" s="141" t="s">
        <v>684</v>
      </c>
      <c r="H208" s="129" t="s">
        <v>1178</v>
      </c>
      <c r="I208" s="129" t="s">
        <v>1186</v>
      </c>
      <c r="J208" s="129" t="s">
        <v>935</v>
      </c>
      <c r="K208" s="129" t="s">
        <v>935</v>
      </c>
      <c r="L208" s="141" t="s">
        <v>684</v>
      </c>
      <c r="M208" s="141" t="s">
        <v>684</v>
      </c>
      <c r="N208" s="129">
        <v>100</v>
      </c>
      <c r="O208" s="129">
        <v>100</v>
      </c>
      <c r="P208" s="129" t="s">
        <v>725</v>
      </c>
      <c r="Q208" s="129">
        <v>8</v>
      </c>
      <c r="R208" s="129">
        <v>47</v>
      </c>
      <c r="S208" s="129">
        <v>40</v>
      </c>
      <c r="T208" s="129">
        <v>8</v>
      </c>
      <c r="U208" s="141" t="s">
        <v>726</v>
      </c>
      <c r="V208" s="141" t="s">
        <v>727</v>
      </c>
      <c r="W208" s="129">
        <v>500</v>
      </c>
      <c r="X208" s="141" t="s">
        <v>684</v>
      </c>
      <c r="Y208" s="141" t="s">
        <v>874</v>
      </c>
      <c r="Z208" s="129" t="s">
        <v>194</v>
      </c>
      <c r="AA208" s="129">
        <v>1</v>
      </c>
      <c r="AB208" s="129" t="s">
        <v>1180</v>
      </c>
      <c r="AC208" s="141" t="s">
        <v>684</v>
      </c>
      <c r="AD208" s="129" t="s">
        <v>1180</v>
      </c>
      <c r="AE208" s="141" t="s">
        <v>684</v>
      </c>
      <c r="AF208" s="129">
        <v>-40</v>
      </c>
      <c r="AG208" s="129">
        <v>-40</v>
      </c>
      <c r="AH208" s="129">
        <v>125</v>
      </c>
      <c r="AI208" s="202" t="s">
        <v>1181</v>
      </c>
      <c r="AJ208" s="159" t="s">
        <v>2144</v>
      </c>
      <c r="AK208" s="129" t="s">
        <v>684</v>
      </c>
      <c r="AL208" s="129" t="s">
        <v>684</v>
      </c>
      <c r="AM208" s="143"/>
      <c r="AN208" s="143" t="s">
        <v>936</v>
      </c>
      <c r="AO208" s="143"/>
      <c r="AP208" s="143"/>
      <c r="AQ208" s="143"/>
      <c r="AR208" s="143"/>
      <c r="AS208" s="143"/>
      <c r="AT208" s="143"/>
      <c r="AU208" s="143"/>
      <c r="AV208" s="143"/>
      <c r="AW208" s="144"/>
      <c r="AX208" s="145"/>
      <c r="AY208" s="138"/>
      <c r="AZ208" s="138"/>
      <c r="BA208" s="138"/>
      <c r="BB208" s="138"/>
      <c r="BC208" s="138"/>
      <c r="BD208" s="138"/>
      <c r="BE208" s="138"/>
    </row>
    <row r="209" spans="1:57" s="139" customFormat="1" ht="25">
      <c r="A209" s="224" t="s">
        <v>2741</v>
      </c>
      <c r="B209" s="129">
        <v>207</v>
      </c>
      <c r="C209" s="225" t="s">
        <v>2831</v>
      </c>
      <c r="D209" s="226"/>
      <c r="E209" s="227" t="s">
        <v>2882</v>
      </c>
      <c r="F209" s="228" t="s">
        <v>2883</v>
      </c>
      <c r="G209" s="225" t="s">
        <v>198</v>
      </c>
      <c r="H209" s="229" t="s">
        <v>2884</v>
      </c>
      <c r="I209" s="229" t="s">
        <v>2885</v>
      </c>
      <c r="J209" s="229" t="s">
        <v>192</v>
      </c>
      <c r="K209" s="229" t="s">
        <v>192</v>
      </c>
      <c r="L209" s="229" t="s">
        <v>198</v>
      </c>
      <c r="M209" s="229" t="s">
        <v>198</v>
      </c>
      <c r="N209" s="229">
        <v>100</v>
      </c>
      <c r="O209" s="229">
        <v>100</v>
      </c>
      <c r="P209" s="229" t="s">
        <v>198</v>
      </c>
      <c r="Q209" s="229">
        <v>8</v>
      </c>
      <c r="R209" s="230">
        <v>55</v>
      </c>
      <c r="S209" s="230">
        <v>48</v>
      </c>
      <c r="T209" s="230">
        <v>8</v>
      </c>
      <c r="U209" s="225" t="s">
        <v>240</v>
      </c>
      <c r="V209" s="225" t="s">
        <v>535</v>
      </c>
      <c r="W209" s="225" t="s">
        <v>198</v>
      </c>
      <c r="X209" s="225" t="s">
        <v>198</v>
      </c>
      <c r="Y209" s="229" t="s">
        <v>339</v>
      </c>
      <c r="Z209" s="229" t="s">
        <v>194</v>
      </c>
      <c r="AA209" s="229">
        <v>1</v>
      </c>
      <c r="AB209" s="229" t="s">
        <v>198</v>
      </c>
      <c r="AC209" s="225" t="s">
        <v>198</v>
      </c>
      <c r="AD209" s="229" t="s">
        <v>198</v>
      </c>
      <c r="AE209" s="225" t="s">
        <v>198</v>
      </c>
      <c r="AF209" s="231">
        <v>0</v>
      </c>
      <c r="AG209" s="231">
        <v>0</v>
      </c>
      <c r="AH209" s="231">
        <v>255</v>
      </c>
      <c r="AI209" s="229" t="s">
        <v>198</v>
      </c>
      <c r="AJ209" s="232" t="s">
        <v>2121</v>
      </c>
      <c r="AK209" s="229" t="s">
        <v>198</v>
      </c>
      <c r="AL209" s="229" t="s">
        <v>198</v>
      </c>
      <c r="AM209" s="233"/>
      <c r="AN209" s="233"/>
      <c r="AO209" s="233"/>
      <c r="AP209" s="233"/>
      <c r="AQ209" s="233"/>
      <c r="AR209" s="233"/>
      <c r="AS209" s="233"/>
      <c r="AT209" s="234"/>
      <c r="AU209" s="234"/>
      <c r="AV209" s="235"/>
      <c r="AW209" s="235"/>
      <c r="AX209" s="235"/>
      <c r="AY209" s="235"/>
      <c r="AZ209" s="235"/>
      <c r="BA209" s="235"/>
      <c r="BB209" s="138"/>
      <c r="BC209" s="138"/>
      <c r="BD209" s="138"/>
      <c r="BE209" s="138"/>
    </row>
    <row r="210" spans="1:57" s="207" customFormat="1" ht="30">
      <c r="A210" s="140" t="s">
        <v>6</v>
      </c>
      <c r="B210" s="129">
        <v>208</v>
      </c>
      <c r="C210" s="236" t="s">
        <v>979</v>
      </c>
      <c r="D210" s="236" t="s">
        <v>3095</v>
      </c>
      <c r="E210" s="141" t="s">
        <v>1187</v>
      </c>
      <c r="F210" s="236" t="s">
        <v>1188</v>
      </c>
      <c r="G210" s="141" t="s">
        <v>684</v>
      </c>
      <c r="H210" s="141" t="s">
        <v>1189</v>
      </c>
      <c r="I210" s="141" t="s">
        <v>1190</v>
      </c>
      <c r="J210" s="141" t="s">
        <v>935</v>
      </c>
      <c r="K210" s="141" t="s">
        <v>935</v>
      </c>
      <c r="L210" s="141" t="s">
        <v>684</v>
      </c>
      <c r="M210" s="141" t="s">
        <v>684</v>
      </c>
      <c r="N210" s="141">
        <v>1000</v>
      </c>
      <c r="O210" s="141" t="s">
        <v>1191</v>
      </c>
      <c r="P210" s="141" t="s">
        <v>684</v>
      </c>
      <c r="Q210" s="141">
        <v>8</v>
      </c>
      <c r="R210" s="141">
        <v>7</v>
      </c>
      <c r="S210" s="141">
        <v>0</v>
      </c>
      <c r="T210" s="236" t="s">
        <v>1192</v>
      </c>
      <c r="U210" s="141" t="s">
        <v>877</v>
      </c>
      <c r="V210" s="141" t="s">
        <v>1193</v>
      </c>
      <c r="W210" s="141" t="s">
        <v>684</v>
      </c>
      <c r="X210" s="141" t="s">
        <v>684</v>
      </c>
      <c r="Y210" s="141" t="s">
        <v>728</v>
      </c>
      <c r="Z210" s="141" t="s">
        <v>684</v>
      </c>
      <c r="AA210" s="141">
        <v>1</v>
      </c>
      <c r="AB210" s="141" t="s">
        <v>1194</v>
      </c>
      <c r="AC210" s="141" t="s">
        <v>1194</v>
      </c>
      <c r="AD210" s="141" t="s">
        <v>1194</v>
      </c>
      <c r="AE210" s="141" t="s">
        <v>1194</v>
      </c>
      <c r="AF210" s="141">
        <v>-40</v>
      </c>
      <c r="AG210" s="141">
        <v>-40</v>
      </c>
      <c r="AH210" s="141">
        <v>125</v>
      </c>
      <c r="AI210" s="141" t="s">
        <v>236</v>
      </c>
      <c r="AJ210" s="164" t="s">
        <v>2145</v>
      </c>
      <c r="AK210" s="141" t="s">
        <v>684</v>
      </c>
      <c r="AL210" s="141" t="s">
        <v>684</v>
      </c>
      <c r="AM210" s="141" t="s">
        <v>2644</v>
      </c>
      <c r="AN210" s="141"/>
      <c r="AO210" s="141"/>
      <c r="AP210" s="141"/>
      <c r="AQ210" s="141"/>
      <c r="AR210" s="141"/>
      <c r="AS210" s="141"/>
      <c r="AT210" s="141"/>
      <c r="AU210" s="141"/>
      <c r="AV210" s="141"/>
      <c r="AW210" s="205"/>
      <c r="AX210" s="206"/>
    </row>
    <row r="211" spans="1:57" s="207" customFormat="1" ht="30">
      <c r="A211" s="140" t="s">
        <v>6</v>
      </c>
      <c r="B211" s="129">
        <v>209</v>
      </c>
      <c r="C211" s="236" t="s">
        <v>979</v>
      </c>
      <c r="D211" s="236" t="s">
        <v>3095</v>
      </c>
      <c r="E211" s="141" t="s">
        <v>323</v>
      </c>
      <c r="F211" s="236" t="s">
        <v>1195</v>
      </c>
      <c r="G211" s="141" t="s">
        <v>684</v>
      </c>
      <c r="H211" s="141" t="s">
        <v>1189</v>
      </c>
      <c r="I211" s="141" t="s">
        <v>1196</v>
      </c>
      <c r="J211" s="141" t="s">
        <v>935</v>
      </c>
      <c r="K211" s="141" t="s">
        <v>935</v>
      </c>
      <c r="L211" s="141" t="s">
        <v>684</v>
      </c>
      <c r="M211" s="141" t="s">
        <v>684</v>
      </c>
      <c r="N211" s="141">
        <v>1000</v>
      </c>
      <c r="O211" s="141" t="s">
        <v>1191</v>
      </c>
      <c r="P211" s="141" t="s">
        <v>684</v>
      </c>
      <c r="Q211" s="141">
        <v>8</v>
      </c>
      <c r="R211" s="141">
        <v>15</v>
      </c>
      <c r="S211" s="141">
        <v>8</v>
      </c>
      <c r="T211" s="236" t="s">
        <v>1192</v>
      </c>
      <c r="U211" s="141" t="s">
        <v>877</v>
      </c>
      <c r="V211" s="141" t="s">
        <v>1193</v>
      </c>
      <c r="W211" s="141" t="s">
        <v>684</v>
      </c>
      <c r="X211" s="141" t="s">
        <v>684</v>
      </c>
      <c r="Y211" s="141" t="s">
        <v>728</v>
      </c>
      <c r="Z211" s="141" t="s">
        <v>684</v>
      </c>
      <c r="AA211" s="141">
        <v>1</v>
      </c>
      <c r="AB211" s="141" t="s">
        <v>1194</v>
      </c>
      <c r="AC211" s="141" t="s">
        <v>1194</v>
      </c>
      <c r="AD211" s="141" t="s">
        <v>1194</v>
      </c>
      <c r="AE211" s="141" t="s">
        <v>1194</v>
      </c>
      <c r="AF211" s="141">
        <v>-40</v>
      </c>
      <c r="AG211" s="141">
        <v>-40</v>
      </c>
      <c r="AH211" s="141">
        <v>125</v>
      </c>
      <c r="AI211" s="141" t="s">
        <v>236</v>
      </c>
      <c r="AJ211" s="164" t="s">
        <v>2145</v>
      </c>
      <c r="AK211" s="141" t="s">
        <v>684</v>
      </c>
      <c r="AL211" s="141" t="s">
        <v>684</v>
      </c>
      <c r="AM211" s="141" t="s">
        <v>2645</v>
      </c>
      <c r="AN211" s="141"/>
      <c r="AO211" s="141"/>
      <c r="AP211" s="141"/>
      <c r="AQ211" s="141"/>
      <c r="AR211" s="141"/>
      <c r="AS211" s="141"/>
      <c r="AT211" s="141"/>
      <c r="AU211" s="141"/>
      <c r="AV211" s="141"/>
      <c r="AW211" s="205"/>
      <c r="AX211" s="206"/>
    </row>
    <row r="212" spans="1:57" s="207" customFormat="1" ht="30">
      <c r="A212" s="140" t="s">
        <v>6</v>
      </c>
      <c r="B212" s="129">
        <v>210</v>
      </c>
      <c r="C212" s="236" t="s">
        <v>979</v>
      </c>
      <c r="D212" s="236" t="s">
        <v>3095</v>
      </c>
      <c r="E212" s="141" t="s">
        <v>324</v>
      </c>
      <c r="F212" s="236" t="s">
        <v>325</v>
      </c>
      <c r="G212" s="141" t="s">
        <v>684</v>
      </c>
      <c r="H212" s="141" t="s">
        <v>1189</v>
      </c>
      <c r="I212" s="141" t="s">
        <v>326</v>
      </c>
      <c r="J212" s="141" t="s">
        <v>935</v>
      </c>
      <c r="K212" s="141" t="s">
        <v>935</v>
      </c>
      <c r="L212" s="141" t="s">
        <v>684</v>
      </c>
      <c r="M212" s="141" t="s">
        <v>684</v>
      </c>
      <c r="N212" s="141">
        <v>1000</v>
      </c>
      <c r="O212" s="141" t="s">
        <v>1191</v>
      </c>
      <c r="P212" s="141" t="s">
        <v>684</v>
      </c>
      <c r="Q212" s="141">
        <v>8</v>
      </c>
      <c r="R212" s="141">
        <v>23</v>
      </c>
      <c r="S212" s="141">
        <v>16</v>
      </c>
      <c r="T212" s="236" t="s">
        <v>1192</v>
      </c>
      <c r="U212" s="141" t="s">
        <v>877</v>
      </c>
      <c r="V212" s="141" t="s">
        <v>1193</v>
      </c>
      <c r="W212" s="141" t="s">
        <v>684</v>
      </c>
      <c r="X212" s="141" t="s">
        <v>684</v>
      </c>
      <c r="Y212" s="141" t="s">
        <v>728</v>
      </c>
      <c r="Z212" s="141" t="s">
        <v>684</v>
      </c>
      <c r="AA212" s="141">
        <v>1</v>
      </c>
      <c r="AB212" s="141" t="s">
        <v>1194</v>
      </c>
      <c r="AC212" s="141" t="s">
        <v>1194</v>
      </c>
      <c r="AD212" s="141" t="s">
        <v>1194</v>
      </c>
      <c r="AE212" s="141" t="s">
        <v>1194</v>
      </c>
      <c r="AF212" s="141">
        <v>-40</v>
      </c>
      <c r="AG212" s="141">
        <v>-40</v>
      </c>
      <c r="AH212" s="141">
        <v>125</v>
      </c>
      <c r="AI212" s="141" t="s">
        <v>236</v>
      </c>
      <c r="AJ212" s="164" t="s">
        <v>2145</v>
      </c>
      <c r="AK212" s="141" t="s">
        <v>684</v>
      </c>
      <c r="AL212" s="141" t="s">
        <v>684</v>
      </c>
      <c r="AM212" s="141" t="s">
        <v>2645</v>
      </c>
      <c r="AN212" s="141" t="s">
        <v>1197</v>
      </c>
      <c r="AO212" s="141"/>
      <c r="AP212" s="141"/>
      <c r="AQ212" s="141"/>
      <c r="AR212" s="141"/>
      <c r="AS212" s="141"/>
      <c r="AT212" s="141"/>
      <c r="AU212" s="141"/>
      <c r="AV212" s="141"/>
      <c r="AW212" s="205"/>
      <c r="AX212" s="206"/>
    </row>
    <row r="213" spans="1:57" s="207" customFormat="1" ht="30">
      <c r="A213" s="140" t="s">
        <v>6</v>
      </c>
      <c r="B213" s="129">
        <v>211</v>
      </c>
      <c r="C213" s="236" t="s">
        <v>979</v>
      </c>
      <c r="D213" s="236" t="s">
        <v>3095</v>
      </c>
      <c r="E213" s="141" t="s">
        <v>327</v>
      </c>
      <c r="F213" s="236" t="s">
        <v>328</v>
      </c>
      <c r="G213" s="141" t="s">
        <v>684</v>
      </c>
      <c r="H213" s="141" t="s">
        <v>1189</v>
      </c>
      <c r="I213" s="141" t="s">
        <v>1198</v>
      </c>
      <c r="J213" s="141" t="s">
        <v>935</v>
      </c>
      <c r="K213" s="141" t="s">
        <v>935</v>
      </c>
      <c r="L213" s="141" t="s">
        <v>684</v>
      </c>
      <c r="M213" s="141" t="s">
        <v>684</v>
      </c>
      <c r="N213" s="141">
        <v>1000</v>
      </c>
      <c r="O213" s="141" t="s">
        <v>1191</v>
      </c>
      <c r="P213" s="141" t="s">
        <v>684</v>
      </c>
      <c r="Q213" s="141">
        <v>8</v>
      </c>
      <c r="R213" s="141">
        <v>31</v>
      </c>
      <c r="S213" s="141">
        <v>24</v>
      </c>
      <c r="T213" s="236" t="s">
        <v>1192</v>
      </c>
      <c r="U213" s="141" t="s">
        <v>877</v>
      </c>
      <c r="V213" s="141" t="s">
        <v>1193</v>
      </c>
      <c r="W213" s="141" t="s">
        <v>684</v>
      </c>
      <c r="X213" s="141" t="s">
        <v>684</v>
      </c>
      <c r="Y213" s="141" t="s">
        <v>728</v>
      </c>
      <c r="Z213" s="141" t="s">
        <v>684</v>
      </c>
      <c r="AA213" s="141">
        <v>1</v>
      </c>
      <c r="AB213" s="141" t="s">
        <v>1194</v>
      </c>
      <c r="AC213" s="141" t="s">
        <v>1194</v>
      </c>
      <c r="AD213" s="141" t="s">
        <v>1194</v>
      </c>
      <c r="AE213" s="141" t="s">
        <v>1194</v>
      </c>
      <c r="AF213" s="141">
        <v>-40</v>
      </c>
      <c r="AG213" s="141">
        <v>-40</v>
      </c>
      <c r="AH213" s="141">
        <v>125</v>
      </c>
      <c r="AI213" s="141" t="s">
        <v>236</v>
      </c>
      <c r="AJ213" s="164" t="s">
        <v>2145</v>
      </c>
      <c r="AK213" s="141" t="s">
        <v>684</v>
      </c>
      <c r="AL213" s="141" t="s">
        <v>684</v>
      </c>
      <c r="AM213" s="141" t="s">
        <v>2645</v>
      </c>
      <c r="AN213" s="141" t="s">
        <v>1197</v>
      </c>
      <c r="AO213" s="141"/>
      <c r="AP213" s="141"/>
      <c r="AQ213" s="141"/>
      <c r="AR213" s="141"/>
      <c r="AS213" s="141"/>
      <c r="AT213" s="141"/>
      <c r="AU213" s="141"/>
      <c r="AV213" s="141"/>
      <c r="AW213" s="205"/>
      <c r="AX213" s="206"/>
    </row>
    <row r="214" spans="1:57" s="207" customFormat="1" ht="30">
      <c r="A214" s="140" t="s">
        <v>6</v>
      </c>
      <c r="B214" s="129">
        <v>212</v>
      </c>
      <c r="C214" s="236" t="s">
        <v>979</v>
      </c>
      <c r="D214" s="236" t="s">
        <v>3095</v>
      </c>
      <c r="E214" s="141" t="s">
        <v>329</v>
      </c>
      <c r="F214" s="236" t="s">
        <v>330</v>
      </c>
      <c r="G214" s="141" t="s">
        <v>684</v>
      </c>
      <c r="H214" s="141" t="s">
        <v>1189</v>
      </c>
      <c r="I214" s="141" t="s">
        <v>326</v>
      </c>
      <c r="J214" s="141" t="s">
        <v>935</v>
      </c>
      <c r="K214" s="141" t="s">
        <v>935</v>
      </c>
      <c r="L214" s="141" t="s">
        <v>684</v>
      </c>
      <c r="M214" s="141" t="s">
        <v>684</v>
      </c>
      <c r="N214" s="141">
        <v>1000</v>
      </c>
      <c r="O214" s="141" t="s">
        <v>1191</v>
      </c>
      <c r="P214" s="141" t="s">
        <v>684</v>
      </c>
      <c r="Q214" s="141">
        <v>8</v>
      </c>
      <c r="R214" s="141">
        <v>39</v>
      </c>
      <c r="S214" s="141">
        <v>32</v>
      </c>
      <c r="T214" s="236" t="s">
        <v>1192</v>
      </c>
      <c r="U214" s="141" t="s">
        <v>877</v>
      </c>
      <c r="V214" s="141" t="s">
        <v>1193</v>
      </c>
      <c r="W214" s="141" t="s">
        <v>684</v>
      </c>
      <c r="X214" s="141" t="s">
        <v>684</v>
      </c>
      <c r="Y214" s="141" t="s">
        <v>728</v>
      </c>
      <c r="Z214" s="141" t="s">
        <v>684</v>
      </c>
      <c r="AA214" s="141">
        <v>1</v>
      </c>
      <c r="AB214" s="141" t="s">
        <v>1194</v>
      </c>
      <c r="AC214" s="141" t="s">
        <v>1194</v>
      </c>
      <c r="AD214" s="141" t="s">
        <v>1194</v>
      </c>
      <c r="AE214" s="141" t="s">
        <v>1194</v>
      </c>
      <c r="AF214" s="141">
        <v>-40</v>
      </c>
      <c r="AG214" s="141">
        <v>-40</v>
      </c>
      <c r="AH214" s="141">
        <v>125</v>
      </c>
      <c r="AI214" s="141" t="s">
        <v>236</v>
      </c>
      <c r="AJ214" s="164" t="s">
        <v>2145</v>
      </c>
      <c r="AK214" s="141" t="s">
        <v>684</v>
      </c>
      <c r="AL214" s="141" t="s">
        <v>684</v>
      </c>
      <c r="AM214" s="141" t="s">
        <v>2645</v>
      </c>
      <c r="AN214" s="141" t="s">
        <v>1197</v>
      </c>
      <c r="AO214" s="141"/>
      <c r="AP214" s="141"/>
      <c r="AQ214" s="141"/>
      <c r="AR214" s="141"/>
      <c r="AS214" s="141"/>
      <c r="AT214" s="141"/>
      <c r="AU214" s="141"/>
      <c r="AV214" s="141"/>
      <c r="AW214" s="205"/>
      <c r="AX214" s="206"/>
    </row>
    <row r="215" spans="1:57" s="207" customFormat="1" ht="30">
      <c r="A215" s="140" t="s">
        <v>6</v>
      </c>
      <c r="B215" s="129">
        <v>213</v>
      </c>
      <c r="C215" s="236" t="s">
        <v>979</v>
      </c>
      <c r="D215" s="236" t="s">
        <v>3095</v>
      </c>
      <c r="E215" s="141" t="s">
        <v>331</v>
      </c>
      <c r="F215" s="236" t="s">
        <v>332</v>
      </c>
      <c r="G215" s="141" t="s">
        <v>684</v>
      </c>
      <c r="H215" s="141" t="s">
        <v>1189</v>
      </c>
      <c r="I215" s="141" t="s">
        <v>326</v>
      </c>
      <c r="J215" s="141" t="s">
        <v>935</v>
      </c>
      <c r="K215" s="141" t="s">
        <v>935</v>
      </c>
      <c r="L215" s="141" t="s">
        <v>684</v>
      </c>
      <c r="M215" s="141" t="s">
        <v>684</v>
      </c>
      <c r="N215" s="141">
        <v>1000</v>
      </c>
      <c r="O215" s="141" t="s">
        <v>1191</v>
      </c>
      <c r="P215" s="141" t="s">
        <v>684</v>
      </c>
      <c r="Q215" s="141">
        <v>8</v>
      </c>
      <c r="R215" s="141">
        <v>47</v>
      </c>
      <c r="S215" s="141">
        <v>40</v>
      </c>
      <c r="T215" s="236" t="s">
        <v>1192</v>
      </c>
      <c r="U215" s="141" t="s">
        <v>877</v>
      </c>
      <c r="V215" s="141" t="s">
        <v>1193</v>
      </c>
      <c r="W215" s="141" t="s">
        <v>684</v>
      </c>
      <c r="X215" s="141" t="s">
        <v>684</v>
      </c>
      <c r="Y215" s="141" t="s">
        <v>728</v>
      </c>
      <c r="Z215" s="141" t="s">
        <v>684</v>
      </c>
      <c r="AA215" s="141">
        <v>1</v>
      </c>
      <c r="AB215" s="141" t="s">
        <v>1194</v>
      </c>
      <c r="AC215" s="141" t="s">
        <v>1194</v>
      </c>
      <c r="AD215" s="141" t="s">
        <v>1194</v>
      </c>
      <c r="AE215" s="141" t="s">
        <v>1194</v>
      </c>
      <c r="AF215" s="141">
        <v>-40</v>
      </c>
      <c r="AG215" s="141">
        <v>-40</v>
      </c>
      <c r="AH215" s="141">
        <v>125</v>
      </c>
      <c r="AI215" s="141" t="s">
        <v>236</v>
      </c>
      <c r="AJ215" s="164" t="s">
        <v>2145</v>
      </c>
      <c r="AK215" s="141" t="s">
        <v>684</v>
      </c>
      <c r="AL215" s="141" t="s">
        <v>684</v>
      </c>
      <c r="AM215" s="141" t="s">
        <v>2631</v>
      </c>
      <c r="AN215" s="141" t="s">
        <v>1197</v>
      </c>
      <c r="AO215" s="141"/>
      <c r="AP215" s="141"/>
      <c r="AQ215" s="141"/>
      <c r="AR215" s="141"/>
      <c r="AS215" s="141"/>
      <c r="AT215" s="141"/>
      <c r="AU215" s="141"/>
      <c r="AV215" s="141"/>
      <c r="AW215" s="205"/>
      <c r="AX215" s="206"/>
    </row>
    <row r="216" spans="1:57" s="207" customFormat="1" ht="30">
      <c r="A216" s="140" t="s">
        <v>6</v>
      </c>
      <c r="B216" s="129">
        <v>214</v>
      </c>
      <c r="C216" s="236" t="s">
        <v>979</v>
      </c>
      <c r="D216" s="236" t="s">
        <v>3095</v>
      </c>
      <c r="E216" s="141" t="s">
        <v>333</v>
      </c>
      <c r="F216" s="236" t="s">
        <v>334</v>
      </c>
      <c r="G216" s="141" t="s">
        <v>684</v>
      </c>
      <c r="H216" s="141" t="s">
        <v>1189</v>
      </c>
      <c r="I216" s="141" t="s">
        <v>1198</v>
      </c>
      <c r="J216" s="141" t="s">
        <v>935</v>
      </c>
      <c r="K216" s="141" t="s">
        <v>935</v>
      </c>
      <c r="L216" s="141" t="s">
        <v>684</v>
      </c>
      <c r="M216" s="141" t="s">
        <v>684</v>
      </c>
      <c r="N216" s="141">
        <v>1000</v>
      </c>
      <c r="O216" s="141" t="s">
        <v>1191</v>
      </c>
      <c r="P216" s="141" t="s">
        <v>684</v>
      </c>
      <c r="Q216" s="141">
        <v>8</v>
      </c>
      <c r="R216" s="141">
        <v>55</v>
      </c>
      <c r="S216" s="141">
        <v>48</v>
      </c>
      <c r="T216" s="236" t="s">
        <v>1192</v>
      </c>
      <c r="U216" s="141" t="s">
        <v>877</v>
      </c>
      <c r="V216" s="141" t="s">
        <v>1193</v>
      </c>
      <c r="W216" s="141" t="s">
        <v>684</v>
      </c>
      <c r="X216" s="141" t="s">
        <v>684</v>
      </c>
      <c r="Y216" s="141" t="s">
        <v>728</v>
      </c>
      <c r="Z216" s="141" t="s">
        <v>684</v>
      </c>
      <c r="AA216" s="141">
        <v>1</v>
      </c>
      <c r="AB216" s="141" t="s">
        <v>1194</v>
      </c>
      <c r="AC216" s="141" t="s">
        <v>1194</v>
      </c>
      <c r="AD216" s="141" t="s">
        <v>1194</v>
      </c>
      <c r="AE216" s="141" t="s">
        <v>1194</v>
      </c>
      <c r="AF216" s="141">
        <v>-40</v>
      </c>
      <c r="AG216" s="141">
        <v>-40</v>
      </c>
      <c r="AH216" s="141">
        <v>125</v>
      </c>
      <c r="AI216" s="141" t="s">
        <v>236</v>
      </c>
      <c r="AJ216" s="164" t="s">
        <v>2145</v>
      </c>
      <c r="AK216" s="141" t="s">
        <v>684</v>
      </c>
      <c r="AL216" s="141" t="s">
        <v>684</v>
      </c>
      <c r="AM216" s="141" t="s">
        <v>2645</v>
      </c>
      <c r="AN216" s="141" t="s">
        <v>1197</v>
      </c>
      <c r="AO216" s="141"/>
      <c r="AP216" s="141"/>
      <c r="AQ216" s="141"/>
      <c r="AR216" s="141"/>
      <c r="AS216" s="141"/>
      <c r="AT216" s="141"/>
      <c r="AU216" s="141"/>
      <c r="AV216" s="141"/>
      <c r="AW216" s="205"/>
      <c r="AX216" s="206"/>
    </row>
    <row r="217" spans="1:57" s="207" customFormat="1" ht="30">
      <c r="A217" s="140" t="s">
        <v>6</v>
      </c>
      <c r="B217" s="129">
        <v>215</v>
      </c>
      <c r="C217" s="236" t="s">
        <v>979</v>
      </c>
      <c r="D217" s="236" t="s">
        <v>3095</v>
      </c>
      <c r="E217" s="141" t="s">
        <v>335</v>
      </c>
      <c r="F217" s="236" t="s">
        <v>336</v>
      </c>
      <c r="G217" s="141" t="s">
        <v>684</v>
      </c>
      <c r="H217" s="141" t="s">
        <v>1189</v>
      </c>
      <c r="I217" s="141" t="s">
        <v>326</v>
      </c>
      <c r="J217" s="141" t="s">
        <v>935</v>
      </c>
      <c r="K217" s="141" t="s">
        <v>935</v>
      </c>
      <c r="L217" s="141" t="s">
        <v>684</v>
      </c>
      <c r="M217" s="141" t="s">
        <v>684</v>
      </c>
      <c r="N217" s="141">
        <v>1000</v>
      </c>
      <c r="O217" s="141" t="s">
        <v>1191</v>
      </c>
      <c r="P217" s="141" t="s">
        <v>684</v>
      </c>
      <c r="Q217" s="141">
        <v>8</v>
      </c>
      <c r="R217" s="141">
        <v>63</v>
      </c>
      <c r="S217" s="141">
        <v>56</v>
      </c>
      <c r="T217" s="236" t="s">
        <v>1192</v>
      </c>
      <c r="U217" s="141" t="s">
        <v>877</v>
      </c>
      <c r="V217" s="141" t="s">
        <v>1193</v>
      </c>
      <c r="W217" s="141" t="s">
        <v>684</v>
      </c>
      <c r="X217" s="141" t="s">
        <v>684</v>
      </c>
      <c r="Y217" s="141" t="s">
        <v>728</v>
      </c>
      <c r="Z217" s="141" t="s">
        <v>684</v>
      </c>
      <c r="AA217" s="141">
        <v>1</v>
      </c>
      <c r="AB217" s="141" t="s">
        <v>1194</v>
      </c>
      <c r="AC217" s="141" t="s">
        <v>1194</v>
      </c>
      <c r="AD217" s="141" t="s">
        <v>1194</v>
      </c>
      <c r="AE217" s="141" t="s">
        <v>1194</v>
      </c>
      <c r="AF217" s="141">
        <v>-40</v>
      </c>
      <c r="AG217" s="141">
        <v>-40</v>
      </c>
      <c r="AH217" s="141">
        <v>125</v>
      </c>
      <c r="AI217" s="141" t="s">
        <v>236</v>
      </c>
      <c r="AJ217" s="164" t="s">
        <v>2145</v>
      </c>
      <c r="AK217" s="141" t="s">
        <v>684</v>
      </c>
      <c r="AL217" s="141" t="s">
        <v>684</v>
      </c>
      <c r="AM217" s="141" t="s">
        <v>2631</v>
      </c>
      <c r="AN217" s="141" t="s">
        <v>1197</v>
      </c>
      <c r="AO217" s="141"/>
      <c r="AP217" s="141"/>
      <c r="AQ217" s="141"/>
      <c r="AR217" s="141"/>
      <c r="AS217" s="141"/>
      <c r="AT217" s="141"/>
      <c r="AU217" s="141"/>
      <c r="AV217" s="141"/>
      <c r="AW217" s="205"/>
      <c r="AX217" s="206"/>
    </row>
    <row r="218" spans="1:57" s="207" customFormat="1" ht="30">
      <c r="A218" s="140" t="s">
        <v>6</v>
      </c>
      <c r="B218" s="129">
        <v>216</v>
      </c>
      <c r="C218" s="236" t="s">
        <v>979</v>
      </c>
      <c r="D218" s="236" t="s">
        <v>3095</v>
      </c>
      <c r="E218" s="141" t="s">
        <v>337</v>
      </c>
      <c r="F218" s="236" t="s">
        <v>338</v>
      </c>
      <c r="G218" s="141" t="s">
        <v>684</v>
      </c>
      <c r="H218" s="141" t="s">
        <v>1199</v>
      </c>
      <c r="I218" s="141" t="s">
        <v>1200</v>
      </c>
      <c r="J218" s="141" t="s">
        <v>935</v>
      </c>
      <c r="K218" s="141" t="s">
        <v>935</v>
      </c>
      <c r="L218" s="141" t="s">
        <v>684</v>
      </c>
      <c r="M218" s="141" t="s">
        <v>684</v>
      </c>
      <c r="N218" s="141">
        <v>1000</v>
      </c>
      <c r="O218" s="141" t="s">
        <v>1191</v>
      </c>
      <c r="P218" s="141" t="s">
        <v>684</v>
      </c>
      <c r="Q218" s="141">
        <v>8</v>
      </c>
      <c r="R218" s="141">
        <v>7</v>
      </c>
      <c r="S218" s="141">
        <v>0</v>
      </c>
      <c r="T218" s="236" t="s">
        <v>1192</v>
      </c>
      <c r="U218" s="141" t="s">
        <v>877</v>
      </c>
      <c r="V218" s="141" t="s">
        <v>1193</v>
      </c>
      <c r="W218" s="141" t="s">
        <v>684</v>
      </c>
      <c r="X218" s="141" t="s">
        <v>684</v>
      </c>
      <c r="Y218" s="141" t="s">
        <v>339</v>
      </c>
      <c r="Z218" s="141" t="s">
        <v>804</v>
      </c>
      <c r="AA218" s="141">
        <v>1</v>
      </c>
      <c r="AB218" s="141" t="s">
        <v>1201</v>
      </c>
      <c r="AC218" s="141" t="s">
        <v>1201</v>
      </c>
      <c r="AD218" s="141" t="s">
        <v>1201</v>
      </c>
      <c r="AE218" s="141" t="s">
        <v>1201</v>
      </c>
      <c r="AF218" s="141">
        <v>-40</v>
      </c>
      <c r="AG218" s="141">
        <v>-40</v>
      </c>
      <c r="AH218" s="141">
        <v>125</v>
      </c>
      <c r="AI218" s="141" t="s">
        <v>236</v>
      </c>
      <c r="AJ218" s="164" t="s">
        <v>2145</v>
      </c>
      <c r="AK218" s="141" t="s">
        <v>804</v>
      </c>
      <c r="AL218" s="141" t="s">
        <v>804</v>
      </c>
      <c r="AM218" s="141" t="s">
        <v>2645</v>
      </c>
      <c r="AN218" s="141" t="s">
        <v>1202</v>
      </c>
      <c r="AO218" s="141"/>
      <c r="AP218" s="141"/>
      <c r="AQ218" s="141"/>
      <c r="AR218" s="141"/>
      <c r="AS218" s="141"/>
      <c r="AT218" s="141"/>
      <c r="AU218" s="141"/>
      <c r="AV218" s="141"/>
      <c r="AW218" s="205"/>
      <c r="AX218" s="206"/>
    </row>
    <row r="219" spans="1:57" s="207" customFormat="1" ht="30">
      <c r="A219" s="140" t="s">
        <v>6</v>
      </c>
      <c r="B219" s="129">
        <v>217</v>
      </c>
      <c r="C219" s="236" t="s">
        <v>1203</v>
      </c>
      <c r="D219" s="236" t="s">
        <v>3095</v>
      </c>
      <c r="E219" s="141" t="s">
        <v>340</v>
      </c>
      <c r="F219" s="236" t="s">
        <v>341</v>
      </c>
      <c r="G219" s="141" t="s">
        <v>804</v>
      </c>
      <c r="H219" s="141" t="s">
        <v>1204</v>
      </c>
      <c r="I219" s="141" t="s">
        <v>1205</v>
      </c>
      <c r="J219" s="141" t="s">
        <v>843</v>
      </c>
      <c r="K219" s="141" t="s">
        <v>843</v>
      </c>
      <c r="L219" s="141" t="s">
        <v>804</v>
      </c>
      <c r="M219" s="141" t="s">
        <v>804</v>
      </c>
      <c r="N219" s="141">
        <v>1000</v>
      </c>
      <c r="O219" s="141" t="s">
        <v>1124</v>
      </c>
      <c r="P219" s="141" t="s">
        <v>804</v>
      </c>
      <c r="Q219" s="141">
        <v>8</v>
      </c>
      <c r="R219" s="141">
        <v>15</v>
      </c>
      <c r="S219" s="141">
        <v>8</v>
      </c>
      <c r="T219" s="236" t="s">
        <v>1206</v>
      </c>
      <c r="U219" s="141" t="s">
        <v>816</v>
      </c>
      <c r="V219" s="141" t="s">
        <v>1207</v>
      </c>
      <c r="W219" s="141" t="s">
        <v>804</v>
      </c>
      <c r="X219" s="141" t="s">
        <v>804</v>
      </c>
      <c r="Y219" s="141" t="s">
        <v>339</v>
      </c>
      <c r="Z219" s="141" t="s">
        <v>804</v>
      </c>
      <c r="AA219" s="141">
        <v>1</v>
      </c>
      <c r="AB219" s="141" t="s">
        <v>1201</v>
      </c>
      <c r="AC219" s="141" t="s">
        <v>1201</v>
      </c>
      <c r="AD219" s="141" t="s">
        <v>1201</v>
      </c>
      <c r="AE219" s="141" t="s">
        <v>1201</v>
      </c>
      <c r="AF219" s="141">
        <v>-40</v>
      </c>
      <c r="AG219" s="141">
        <v>-40</v>
      </c>
      <c r="AH219" s="141">
        <v>125</v>
      </c>
      <c r="AI219" s="141" t="s">
        <v>236</v>
      </c>
      <c r="AJ219" s="164" t="s">
        <v>2145</v>
      </c>
      <c r="AK219" s="141" t="s">
        <v>804</v>
      </c>
      <c r="AL219" s="141" t="s">
        <v>804</v>
      </c>
      <c r="AM219" s="141" t="s">
        <v>2645</v>
      </c>
      <c r="AN219" s="141" t="s">
        <v>1202</v>
      </c>
      <c r="AO219" s="141"/>
      <c r="AP219" s="141"/>
      <c r="AQ219" s="141"/>
      <c r="AR219" s="141"/>
      <c r="AS219" s="141"/>
      <c r="AT219" s="141"/>
      <c r="AU219" s="141"/>
      <c r="AV219" s="141"/>
      <c r="AW219" s="205"/>
      <c r="AX219" s="206"/>
    </row>
    <row r="220" spans="1:57" s="207" customFormat="1" ht="30">
      <c r="A220" s="140" t="s">
        <v>6</v>
      </c>
      <c r="B220" s="129">
        <v>218</v>
      </c>
      <c r="C220" s="236" t="s">
        <v>1203</v>
      </c>
      <c r="D220" s="236" t="s">
        <v>3095</v>
      </c>
      <c r="E220" s="141" t="s">
        <v>342</v>
      </c>
      <c r="F220" s="236" t="s">
        <v>343</v>
      </c>
      <c r="G220" s="141" t="s">
        <v>804</v>
      </c>
      <c r="H220" s="141" t="s">
        <v>1204</v>
      </c>
      <c r="I220" s="141" t="s">
        <v>1205</v>
      </c>
      <c r="J220" s="141" t="s">
        <v>843</v>
      </c>
      <c r="K220" s="141" t="s">
        <v>843</v>
      </c>
      <c r="L220" s="141" t="s">
        <v>804</v>
      </c>
      <c r="M220" s="141" t="s">
        <v>804</v>
      </c>
      <c r="N220" s="141">
        <v>1000</v>
      </c>
      <c r="O220" s="141" t="s">
        <v>1124</v>
      </c>
      <c r="P220" s="141" t="s">
        <v>804</v>
      </c>
      <c r="Q220" s="141">
        <v>8</v>
      </c>
      <c r="R220" s="141">
        <v>23</v>
      </c>
      <c r="S220" s="141">
        <v>16</v>
      </c>
      <c r="T220" s="236" t="s">
        <v>1206</v>
      </c>
      <c r="U220" s="141" t="s">
        <v>816</v>
      </c>
      <c r="V220" s="141" t="s">
        <v>1207</v>
      </c>
      <c r="W220" s="141" t="s">
        <v>804</v>
      </c>
      <c r="X220" s="141" t="s">
        <v>804</v>
      </c>
      <c r="Y220" s="141" t="s">
        <v>339</v>
      </c>
      <c r="Z220" s="141" t="s">
        <v>804</v>
      </c>
      <c r="AA220" s="141">
        <v>1</v>
      </c>
      <c r="AB220" s="141" t="s">
        <v>1201</v>
      </c>
      <c r="AC220" s="141" t="s">
        <v>1201</v>
      </c>
      <c r="AD220" s="141" t="s">
        <v>1201</v>
      </c>
      <c r="AE220" s="141" t="s">
        <v>1201</v>
      </c>
      <c r="AF220" s="141">
        <v>-40</v>
      </c>
      <c r="AG220" s="141">
        <v>-40</v>
      </c>
      <c r="AH220" s="141">
        <v>125</v>
      </c>
      <c r="AI220" s="141" t="s">
        <v>236</v>
      </c>
      <c r="AJ220" s="164" t="s">
        <v>2145</v>
      </c>
      <c r="AK220" s="141" t="s">
        <v>804</v>
      </c>
      <c r="AL220" s="141" t="s">
        <v>804</v>
      </c>
      <c r="AM220" s="141" t="s">
        <v>2645</v>
      </c>
      <c r="AN220" s="141" t="s">
        <v>1202</v>
      </c>
      <c r="AO220" s="141"/>
      <c r="AP220" s="141"/>
      <c r="AQ220" s="141"/>
      <c r="AR220" s="141"/>
      <c r="AS220" s="141"/>
      <c r="AT220" s="141"/>
      <c r="AU220" s="141"/>
      <c r="AV220" s="141"/>
      <c r="AW220" s="205"/>
      <c r="AX220" s="206"/>
    </row>
    <row r="221" spans="1:57" s="207" customFormat="1" ht="30">
      <c r="A221" s="140" t="s">
        <v>6</v>
      </c>
      <c r="B221" s="129">
        <v>219</v>
      </c>
      <c r="C221" s="236" t="s">
        <v>1203</v>
      </c>
      <c r="D221" s="236" t="s">
        <v>3095</v>
      </c>
      <c r="E221" s="141" t="s">
        <v>344</v>
      </c>
      <c r="F221" s="236" t="s">
        <v>345</v>
      </c>
      <c r="G221" s="141" t="s">
        <v>804</v>
      </c>
      <c r="H221" s="141" t="s">
        <v>1204</v>
      </c>
      <c r="I221" s="141" t="s">
        <v>1205</v>
      </c>
      <c r="J221" s="141" t="s">
        <v>843</v>
      </c>
      <c r="K221" s="141" t="s">
        <v>843</v>
      </c>
      <c r="L221" s="141" t="s">
        <v>804</v>
      </c>
      <c r="M221" s="141" t="s">
        <v>804</v>
      </c>
      <c r="N221" s="141">
        <v>1000</v>
      </c>
      <c r="O221" s="141" t="s">
        <v>1124</v>
      </c>
      <c r="P221" s="141" t="s">
        <v>804</v>
      </c>
      <c r="Q221" s="141">
        <v>8</v>
      </c>
      <c r="R221" s="141">
        <v>31</v>
      </c>
      <c r="S221" s="141">
        <v>24</v>
      </c>
      <c r="T221" s="236" t="s">
        <v>1206</v>
      </c>
      <c r="U221" s="141" t="s">
        <v>816</v>
      </c>
      <c r="V221" s="141" t="s">
        <v>1207</v>
      </c>
      <c r="W221" s="141" t="s">
        <v>804</v>
      </c>
      <c r="X221" s="141" t="s">
        <v>804</v>
      </c>
      <c r="Y221" s="141" t="s">
        <v>339</v>
      </c>
      <c r="Z221" s="141" t="s">
        <v>804</v>
      </c>
      <c r="AA221" s="141">
        <v>1</v>
      </c>
      <c r="AB221" s="141" t="s">
        <v>1201</v>
      </c>
      <c r="AC221" s="141" t="s">
        <v>1201</v>
      </c>
      <c r="AD221" s="141" t="s">
        <v>1201</v>
      </c>
      <c r="AE221" s="141" t="s">
        <v>1201</v>
      </c>
      <c r="AF221" s="141">
        <v>-40</v>
      </c>
      <c r="AG221" s="141">
        <v>-40</v>
      </c>
      <c r="AH221" s="141">
        <v>125</v>
      </c>
      <c r="AI221" s="141" t="s">
        <v>236</v>
      </c>
      <c r="AJ221" s="164" t="s">
        <v>2145</v>
      </c>
      <c r="AK221" s="141" t="s">
        <v>804</v>
      </c>
      <c r="AL221" s="141" t="s">
        <v>804</v>
      </c>
      <c r="AM221" s="141" t="s">
        <v>2645</v>
      </c>
      <c r="AN221" s="141" t="s">
        <v>1202</v>
      </c>
      <c r="AO221" s="141"/>
      <c r="AP221" s="141"/>
      <c r="AQ221" s="141"/>
      <c r="AR221" s="141"/>
      <c r="AS221" s="141"/>
      <c r="AT221" s="141"/>
      <c r="AU221" s="141"/>
      <c r="AV221" s="141"/>
      <c r="AW221" s="205"/>
      <c r="AX221" s="206"/>
    </row>
    <row r="222" spans="1:57" s="207" customFormat="1" ht="30">
      <c r="A222" s="140" t="s">
        <v>6</v>
      </c>
      <c r="B222" s="129">
        <v>220</v>
      </c>
      <c r="C222" s="236" t="s">
        <v>1203</v>
      </c>
      <c r="D222" s="236" t="s">
        <v>3095</v>
      </c>
      <c r="E222" s="141" t="s">
        <v>346</v>
      </c>
      <c r="F222" s="236" t="s">
        <v>347</v>
      </c>
      <c r="G222" s="141" t="s">
        <v>804</v>
      </c>
      <c r="H222" s="141" t="s">
        <v>1204</v>
      </c>
      <c r="I222" s="141" t="s">
        <v>1205</v>
      </c>
      <c r="J222" s="141" t="s">
        <v>843</v>
      </c>
      <c r="K222" s="141" t="s">
        <v>843</v>
      </c>
      <c r="L222" s="141" t="s">
        <v>804</v>
      </c>
      <c r="M222" s="141" t="s">
        <v>804</v>
      </c>
      <c r="N222" s="141">
        <v>1000</v>
      </c>
      <c r="O222" s="141" t="s">
        <v>1124</v>
      </c>
      <c r="P222" s="141" t="s">
        <v>804</v>
      </c>
      <c r="Q222" s="141">
        <v>8</v>
      </c>
      <c r="R222" s="141">
        <v>39</v>
      </c>
      <c r="S222" s="141">
        <v>32</v>
      </c>
      <c r="T222" s="236" t="s">
        <v>1206</v>
      </c>
      <c r="U222" s="141" t="s">
        <v>816</v>
      </c>
      <c r="V222" s="141" t="s">
        <v>1207</v>
      </c>
      <c r="W222" s="141" t="s">
        <v>804</v>
      </c>
      <c r="X222" s="141" t="s">
        <v>804</v>
      </c>
      <c r="Y222" s="141" t="s">
        <v>339</v>
      </c>
      <c r="Z222" s="141" t="s">
        <v>804</v>
      </c>
      <c r="AA222" s="141">
        <v>1</v>
      </c>
      <c r="AB222" s="141" t="s">
        <v>1201</v>
      </c>
      <c r="AC222" s="141" t="s">
        <v>1201</v>
      </c>
      <c r="AD222" s="141" t="s">
        <v>1201</v>
      </c>
      <c r="AE222" s="141" t="s">
        <v>1201</v>
      </c>
      <c r="AF222" s="141">
        <v>-40</v>
      </c>
      <c r="AG222" s="141">
        <v>-40</v>
      </c>
      <c r="AH222" s="141">
        <v>125</v>
      </c>
      <c r="AI222" s="141" t="s">
        <v>236</v>
      </c>
      <c r="AJ222" s="164" t="s">
        <v>2146</v>
      </c>
      <c r="AK222" s="141" t="s">
        <v>804</v>
      </c>
      <c r="AL222" s="141" t="s">
        <v>804</v>
      </c>
      <c r="AM222" s="141" t="s">
        <v>2645</v>
      </c>
      <c r="AN222" s="141" t="s">
        <v>1202</v>
      </c>
      <c r="AO222" s="141"/>
      <c r="AP222" s="141"/>
      <c r="AQ222" s="141"/>
      <c r="AR222" s="141"/>
      <c r="AS222" s="141"/>
      <c r="AT222" s="141"/>
      <c r="AU222" s="141"/>
      <c r="AV222" s="141"/>
      <c r="AW222" s="205"/>
      <c r="AX222" s="206"/>
    </row>
    <row r="223" spans="1:57" s="207" customFormat="1" ht="30">
      <c r="A223" s="140" t="s">
        <v>6</v>
      </c>
      <c r="B223" s="129">
        <v>221</v>
      </c>
      <c r="C223" s="236" t="s">
        <v>1203</v>
      </c>
      <c r="D223" s="236" t="s">
        <v>3095</v>
      </c>
      <c r="E223" s="141" t="s">
        <v>348</v>
      </c>
      <c r="F223" s="236" t="s">
        <v>349</v>
      </c>
      <c r="G223" s="141" t="s">
        <v>804</v>
      </c>
      <c r="H223" s="141" t="s">
        <v>1204</v>
      </c>
      <c r="I223" s="141" t="s">
        <v>1205</v>
      </c>
      <c r="J223" s="141" t="s">
        <v>843</v>
      </c>
      <c r="K223" s="141" t="s">
        <v>843</v>
      </c>
      <c r="L223" s="141" t="s">
        <v>804</v>
      </c>
      <c r="M223" s="141" t="s">
        <v>804</v>
      </c>
      <c r="N223" s="141">
        <v>1000</v>
      </c>
      <c r="O223" s="141" t="s">
        <v>1124</v>
      </c>
      <c r="P223" s="141" t="s">
        <v>804</v>
      </c>
      <c r="Q223" s="141">
        <v>8</v>
      </c>
      <c r="R223" s="141">
        <v>47</v>
      </c>
      <c r="S223" s="141">
        <v>40</v>
      </c>
      <c r="T223" s="236" t="s">
        <v>1206</v>
      </c>
      <c r="U223" s="141" t="s">
        <v>816</v>
      </c>
      <c r="V223" s="141" t="s">
        <v>1207</v>
      </c>
      <c r="W223" s="141" t="s">
        <v>804</v>
      </c>
      <c r="X223" s="141" t="s">
        <v>804</v>
      </c>
      <c r="Y223" s="141" t="s">
        <v>339</v>
      </c>
      <c r="Z223" s="141" t="s">
        <v>804</v>
      </c>
      <c r="AA223" s="141">
        <v>1</v>
      </c>
      <c r="AB223" s="141" t="s">
        <v>1201</v>
      </c>
      <c r="AC223" s="141" t="s">
        <v>1201</v>
      </c>
      <c r="AD223" s="141" t="s">
        <v>1201</v>
      </c>
      <c r="AE223" s="141" t="s">
        <v>1201</v>
      </c>
      <c r="AF223" s="141">
        <v>-40</v>
      </c>
      <c r="AG223" s="141">
        <v>-40</v>
      </c>
      <c r="AH223" s="141">
        <v>125</v>
      </c>
      <c r="AI223" s="141" t="s">
        <v>236</v>
      </c>
      <c r="AJ223" s="164" t="s">
        <v>2146</v>
      </c>
      <c r="AK223" s="141" t="s">
        <v>804</v>
      </c>
      <c r="AL223" s="141" t="s">
        <v>804</v>
      </c>
      <c r="AM223" s="141" t="s">
        <v>2645</v>
      </c>
      <c r="AN223" s="141" t="s">
        <v>1202</v>
      </c>
      <c r="AO223" s="141"/>
      <c r="AP223" s="141"/>
      <c r="AQ223" s="141"/>
      <c r="AR223" s="141"/>
      <c r="AS223" s="141"/>
      <c r="AT223" s="141"/>
      <c r="AU223" s="141"/>
      <c r="AV223" s="141"/>
      <c r="AW223" s="205"/>
      <c r="AX223" s="206"/>
    </row>
    <row r="224" spans="1:57" s="207" customFormat="1" ht="30">
      <c r="A224" s="140" t="s">
        <v>6</v>
      </c>
      <c r="B224" s="129">
        <v>222</v>
      </c>
      <c r="C224" s="236" t="s">
        <v>1203</v>
      </c>
      <c r="D224" s="236" t="s">
        <v>3095</v>
      </c>
      <c r="E224" s="141" t="s">
        <v>350</v>
      </c>
      <c r="F224" s="236" t="s">
        <v>351</v>
      </c>
      <c r="G224" s="141" t="s">
        <v>804</v>
      </c>
      <c r="H224" s="141" t="s">
        <v>1204</v>
      </c>
      <c r="I224" s="141" t="s">
        <v>1205</v>
      </c>
      <c r="J224" s="141" t="s">
        <v>843</v>
      </c>
      <c r="K224" s="141" t="s">
        <v>843</v>
      </c>
      <c r="L224" s="141" t="s">
        <v>804</v>
      </c>
      <c r="M224" s="141" t="s">
        <v>804</v>
      </c>
      <c r="N224" s="141">
        <v>1000</v>
      </c>
      <c r="O224" s="141" t="s">
        <v>1124</v>
      </c>
      <c r="P224" s="141" t="s">
        <v>804</v>
      </c>
      <c r="Q224" s="141">
        <v>8</v>
      </c>
      <c r="R224" s="141">
        <v>55</v>
      </c>
      <c r="S224" s="141">
        <v>48</v>
      </c>
      <c r="T224" s="236" t="s">
        <v>1206</v>
      </c>
      <c r="U224" s="141" t="s">
        <v>816</v>
      </c>
      <c r="V224" s="141" t="s">
        <v>1207</v>
      </c>
      <c r="W224" s="141" t="s">
        <v>804</v>
      </c>
      <c r="X224" s="141" t="s">
        <v>804</v>
      </c>
      <c r="Y224" s="141" t="s">
        <v>339</v>
      </c>
      <c r="Z224" s="141" t="s">
        <v>804</v>
      </c>
      <c r="AA224" s="141">
        <v>1</v>
      </c>
      <c r="AB224" s="141" t="s">
        <v>1201</v>
      </c>
      <c r="AC224" s="141" t="s">
        <v>1201</v>
      </c>
      <c r="AD224" s="141" t="s">
        <v>1201</v>
      </c>
      <c r="AE224" s="141" t="s">
        <v>1201</v>
      </c>
      <c r="AF224" s="141">
        <v>-40</v>
      </c>
      <c r="AG224" s="141">
        <v>-40</v>
      </c>
      <c r="AH224" s="141">
        <v>125</v>
      </c>
      <c r="AI224" s="141" t="s">
        <v>236</v>
      </c>
      <c r="AJ224" s="164" t="s">
        <v>2146</v>
      </c>
      <c r="AK224" s="141" t="s">
        <v>804</v>
      </c>
      <c r="AL224" s="141" t="s">
        <v>804</v>
      </c>
      <c r="AM224" s="141" t="s">
        <v>693</v>
      </c>
      <c r="AN224" s="141" t="s">
        <v>1202</v>
      </c>
      <c r="AO224" s="141"/>
      <c r="AP224" s="141"/>
      <c r="AQ224" s="141"/>
      <c r="AR224" s="141"/>
      <c r="AS224" s="141"/>
      <c r="AT224" s="141"/>
      <c r="AU224" s="141"/>
      <c r="AV224" s="141"/>
      <c r="AW224" s="205"/>
      <c r="AX224" s="206"/>
    </row>
    <row r="225" spans="1:54" s="207" customFormat="1" ht="30">
      <c r="A225" s="140" t="s">
        <v>6</v>
      </c>
      <c r="B225" s="129">
        <v>223</v>
      </c>
      <c r="C225" s="236" t="s">
        <v>1203</v>
      </c>
      <c r="D225" s="236" t="s">
        <v>3095</v>
      </c>
      <c r="E225" s="141" t="s">
        <v>352</v>
      </c>
      <c r="F225" s="236" t="s">
        <v>353</v>
      </c>
      <c r="G225" s="141" t="s">
        <v>804</v>
      </c>
      <c r="H225" s="141" t="s">
        <v>1204</v>
      </c>
      <c r="I225" s="141" t="s">
        <v>1205</v>
      </c>
      <c r="J225" s="141" t="s">
        <v>843</v>
      </c>
      <c r="K225" s="141" t="s">
        <v>843</v>
      </c>
      <c r="L225" s="141" t="s">
        <v>804</v>
      </c>
      <c r="M225" s="141" t="s">
        <v>804</v>
      </c>
      <c r="N225" s="141">
        <v>1000</v>
      </c>
      <c r="O225" s="141" t="s">
        <v>1124</v>
      </c>
      <c r="P225" s="141" t="s">
        <v>804</v>
      </c>
      <c r="Q225" s="141">
        <v>8</v>
      </c>
      <c r="R225" s="141">
        <v>63</v>
      </c>
      <c r="S225" s="141">
        <v>56</v>
      </c>
      <c r="T225" s="236" t="s">
        <v>1206</v>
      </c>
      <c r="U225" s="141" t="s">
        <v>816</v>
      </c>
      <c r="V225" s="141" t="s">
        <v>1207</v>
      </c>
      <c r="W225" s="141" t="s">
        <v>804</v>
      </c>
      <c r="X225" s="141" t="s">
        <v>804</v>
      </c>
      <c r="Y225" s="141" t="s">
        <v>339</v>
      </c>
      <c r="Z225" s="141" t="s">
        <v>804</v>
      </c>
      <c r="AA225" s="141">
        <v>1</v>
      </c>
      <c r="AB225" s="141" t="s">
        <v>1201</v>
      </c>
      <c r="AC225" s="141" t="s">
        <v>1201</v>
      </c>
      <c r="AD225" s="141" t="s">
        <v>1201</v>
      </c>
      <c r="AE225" s="141" t="s">
        <v>1201</v>
      </c>
      <c r="AF225" s="141">
        <v>-40</v>
      </c>
      <c r="AG225" s="141">
        <v>-40</v>
      </c>
      <c r="AH225" s="141">
        <v>125</v>
      </c>
      <c r="AI225" s="141" t="s">
        <v>236</v>
      </c>
      <c r="AJ225" s="164" t="s">
        <v>2146</v>
      </c>
      <c r="AK225" s="141" t="s">
        <v>804</v>
      </c>
      <c r="AL225" s="141" t="s">
        <v>804</v>
      </c>
      <c r="AM225" s="141" t="s">
        <v>2645</v>
      </c>
      <c r="AN225" s="141" t="s">
        <v>1202</v>
      </c>
      <c r="AO225" s="141"/>
      <c r="AP225" s="141"/>
      <c r="AQ225" s="141"/>
      <c r="AR225" s="141"/>
      <c r="AS225" s="141"/>
      <c r="AT225" s="141"/>
      <c r="AU225" s="141"/>
      <c r="AV225" s="141"/>
      <c r="AW225" s="205"/>
      <c r="AX225" s="206"/>
    </row>
    <row r="226" spans="1:54" s="207" customFormat="1" ht="30">
      <c r="A226" s="140" t="s">
        <v>6</v>
      </c>
      <c r="B226" s="129">
        <v>224</v>
      </c>
      <c r="C226" s="236" t="s">
        <v>1203</v>
      </c>
      <c r="D226" s="236" t="s">
        <v>3095</v>
      </c>
      <c r="E226" s="141" t="s">
        <v>354</v>
      </c>
      <c r="F226" s="236" t="s">
        <v>355</v>
      </c>
      <c r="G226" s="141" t="s">
        <v>804</v>
      </c>
      <c r="H226" s="141" t="s">
        <v>1208</v>
      </c>
      <c r="I226" s="141" t="s">
        <v>1209</v>
      </c>
      <c r="J226" s="141" t="s">
        <v>843</v>
      </c>
      <c r="K226" s="141" t="s">
        <v>843</v>
      </c>
      <c r="L226" s="141" t="s">
        <v>804</v>
      </c>
      <c r="M226" s="141" t="s">
        <v>804</v>
      </c>
      <c r="N226" s="141">
        <v>1000</v>
      </c>
      <c r="O226" s="141" t="s">
        <v>1124</v>
      </c>
      <c r="P226" s="141" t="s">
        <v>804</v>
      </c>
      <c r="Q226" s="141">
        <v>8</v>
      </c>
      <c r="R226" s="141">
        <v>7</v>
      </c>
      <c r="S226" s="141">
        <v>0</v>
      </c>
      <c r="T226" s="236" t="s">
        <v>1206</v>
      </c>
      <c r="U226" s="141" t="s">
        <v>816</v>
      </c>
      <c r="V226" s="141" t="s">
        <v>1207</v>
      </c>
      <c r="W226" s="141" t="s">
        <v>804</v>
      </c>
      <c r="X226" s="141" t="s">
        <v>804</v>
      </c>
      <c r="Y226" s="141" t="s">
        <v>339</v>
      </c>
      <c r="Z226" s="141" t="s">
        <v>804</v>
      </c>
      <c r="AA226" s="141">
        <v>1</v>
      </c>
      <c r="AB226" s="141" t="s">
        <v>1201</v>
      </c>
      <c r="AC226" s="141" t="s">
        <v>1201</v>
      </c>
      <c r="AD226" s="141" t="s">
        <v>1201</v>
      </c>
      <c r="AE226" s="141" t="s">
        <v>1201</v>
      </c>
      <c r="AF226" s="141">
        <v>-40</v>
      </c>
      <c r="AG226" s="141">
        <v>-40</v>
      </c>
      <c r="AH226" s="141">
        <v>125</v>
      </c>
      <c r="AI226" s="141" t="s">
        <v>236</v>
      </c>
      <c r="AJ226" s="164" t="s">
        <v>2146</v>
      </c>
      <c r="AK226" s="141" t="s">
        <v>804</v>
      </c>
      <c r="AL226" s="141" t="s">
        <v>804</v>
      </c>
      <c r="AM226" s="141" t="s">
        <v>693</v>
      </c>
      <c r="AN226" s="141" t="s">
        <v>1202</v>
      </c>
      <c r="AO226" s="141"/>
      <c r="AP226" s="141"/>
      <c r="AQ226" s="141"/>
      <c r="AR226" s="141"/>
      <c r="AS226" s="141"/>
      <c r="AT226" s="141"/>
      <c r="AU226" s="141"/>
      <c r="AV226" s="141"/>
      <c r="AW226" s="205"/>
      <c r="AX226" s="206"/>
    </row>
    <row r="227" spans="1:54" s="207" customFormat="1" ht="30">
      <c r="A227" s="140" t="s">
        <v>6</v>
      </c>
      <c r="B227" s="129">
        <v>225</v>
      </c>
      <c r="C227" s="236" t="s">
        <v>1203</v>
      </c>
      <c r="D227" s="236" t="s">
        <v>3095</v>
      </c>
      <c r="E227" s="141" t="s">
        <v>1210</v>
      </c>
      <c r="F227" s="236" t="s">
        <v>1211</v>
      </c>
      <c r="G227" s="141" t="s">
        <v>804</v>
      </c>
      <c r="H227" s="141" t="s">
        <v>1208</v>
      </c>
      <c r="I227" s="141" t="s">
        <v>1209</v>
      </c>
      <c r="J227" s="141" t="s">
        <v>843</v>
      </c>
      <c r="K227" s="141" t="s">
        <v>843</v>
      </c>
      <c r="L227" s="141" t="s">
        <v>1124</v>
      </c>
      <c r="M227" s="141" t="s">
        <v>1124</v>
      </c>
      <c r="N227" s="141">
        <v>1000</v>
      </c>
      <c r="O227" s="141" t="s">
        <v>1124</v>
      </c>
      <c r="P227" s="141" t="s">
        <v>1124</v>
      </c>
      <c r="Q227" s="141">
        <v>8</v>
      </c>
      <c r="R227" s="141">
        <v>15</v>
      </c>
      <c r="S227" s="141">
        <v>28</v>
      </c>
      <c r="T227" s="236">
        <v>20</v>
      </c>
      <c r="U227" s="141" t="s">
        <v>816</v>
      </c>
      <c r="V227" s="141" t="s">
        <v>1207</v>
      </c>
      <c r="W227" s="141" t="s">
        <v>804</v>
      </c>
      <c r="X227" s="141" t="s">
        <v>1124</v>
      </c>
      <c r="Y227" s="141" t="s">
        <v>339</v>
      </c>
      <c r="Z227" s="141" t="s">
        <v>804</v>
      </c>
      <c r="AA227" s="141">
        <v>1</v>
      </c>
      <c r="AB227" s="141" t="s">
        <v>1201</v>
      </c>
      <c r="AC227" s="141" t="s">
        <v>1201</v>
      </c>
      <c r="AD227" s="141" t="s">
        <v>1201</v>
      </c>
      <c r="AE227" s="141" t="s">
        <v>1201</v>
      </c>
      <c r="AF227" s="141">
        <v>0</v>
      </c>
      <c r="AG227" s="141">
        <v>0</v>
      </c>
      <c r="AH227" s="141">
        <v>999999</v>
      </c>
      <c r="AI227" s="141" t="s">
        <v>804</v>
      </c>
      <c r="AJ227" s="164" t="s">
        <v>2147</v>
      </c>
      <c r="AK227" s="141" t="s">
        <v>1124</v>
      </c>
      <c r="AL227" s="141" t="s">
        <v>1124</v>
      </c>
      <c r="AM227" s="141" t="s">
        <v>2631</v>
      </c>
      <c r="AN227" s="141" t="s">
        <v>1202</v>
      </c>
      <c r="AO227" s="141"/>
      <c r="AP227" s="141"/>
      <c r="AQ227" s="141"/>
      <c r="AR227" s="141"/>
      <c r="AS227" s="141"/>
      <c r="AT227" s="141"/>
      <c r="AU227" s="141"/>
      <c r="AV227" s="141"/>
      <c r="AW227" s="205"/>
      <c r="AX227" s="206"/>
    </row>
    <row r="228" spans="1:54" s="207" customFormat="1" ht="30">
      <c r="A228" s="140" t="s">
        <v>6</v>
      </c>
      <c r="B228" s="129">
        <v>226</v>
      </c>
      <c r="C228" s="236" t="s">
        <v>1203</v>
      </c>
      <c r="D228" s="236" t="s">
        <v>3095</v>
      </c>
      <c r="E228" s="141" t="s">
        <v>1212</v>
      </c>
      <c r="F228" s="236" t="s">
        <v>1213</v>
      </c>
      <c r="G228" s="141" t="s">
        <v>804</v>
      </c>
      <c r="H228" s="141" t="s">
        <v>1208</v>
      </c>
      <c r="I228" s="141" t="s">
        <v>1209</v>
      </c>
      <c r="J228" s="141" t="s">
        <v>843</v>
      </c>
      <c r="K228" s="141" t="s">
        <v>843</v>
      </c>
      <c r="L228" s="141" t="s">
        <v>1124</v>
      </c>
      <c r="M228" s="141" t="s">
        <v>1124</v>
      </c>
      <c r="N228" s="141">
        <v>1000</v>
      </c>
      <c r="O228" s="141" t="s">
        <v>1124</v>
      </c>
      <c r="P228" s="141" t="s">
        <v>1124</v>
      </c>
      <c r="Q228" s="141">
        <v>8</v>
      </c>
      <c r="R228" s="141">
        <v>39</v>
      </c>
      <c r="S228" s="141">
        <v>42</v>
      </c>
      <c r="T228" s="236">
        <v>14</v>
      </c>
      <c r="U228" s="141" t="s">
        <v>816</v>
      </c>
      <c r="V228" s="141" t="s">
        <v>1207</v>
      </c>
      <c r="W228" s="141" t="s">
        <v>804</v>
      </c>
      <c r="X228" s="141" t="s">
        <v>1124</v>
      </c>
      <c r="Y228" s="141" t="s">
        <v>339</v>
      </c>
      <c r="Z228" s="141" t="s">
        <v>804</v>
      </c>
      <c r="AA228" s="141">
        <v>1</v>
      </c>
      <c r="AB228" s="141" t="s">
        <v>1201</v>
      </c>
      <c r="AC228" s="141" t="s">
        <v>1201</v>
      </c>
      <c r="AD228" s="141" t="s">
        <v>1201</v>
      </c>
      <c r="AE228" s="141" t="s">
        <v>1201</v>
      </c>
      <c r="AF228" s="141">
        <v>0</v>
      </c>
      <c r="AG228" s="141">
        <v>0</v>
      </c>
      <c r="AH228" s="141">
        <v>9999</v>
      </c>
      <c r="AI228" s="141" t="s">
        <v>804</v>
      </c>
      <c r="AJ228" s="164" t="s">
        <v>2148</v>
      </c>
      <c r="AK228" s="141" t="s">
        <v>1124</v>
      </c>
      <c r="AL228" s="141" t="s">
        <v>1124</v>
      </c>
      <c r="AM228" s="141" t="s">
        <v>693</v>
      </c>
      <c r="AN228" s="141" t="s">
        <v>1202</v>
      </c>
      <c r="AO228" s="141"/>
      <c r="AP228" s="141"/>
      <c r="AQ228" s="141"/>
      <c r="AR228" s="141"/>
      <c r="AS228" s="141"/>
      <c r="AT228" s="141"/>
      <c r="AU228" s="141"/>
      <c r="AV228" s="141"/>
      <c r="AW228" s="205"/>
      <c r="AX228" s="206"/>
    </row>
    <row r="229" spans="1:54" s="207" customFormat="1" ht="30">
      <c r="A229" s="140" t="s">
        <v>6</v>
      </c>
      <c r="B229" s="129">
        <v>227</v>
      </c>
      <c r="C229" s="236" t="s">
        <v>1203</v>
      </c>
      <c r="D229" s="236" t="s">
        <v>3095</v>
      </c>
      <c r="E229" s="169" t="s">
        <v>1214</v>
      </c>
      <c r="F229" s="236" t="s">
        <v>1215</v>
      </c>
      <c r="G229" s="141" t="s">
        <v>804</v>
      </c>
      <c r="H229" s="141" t="s">
        <v>1208</v>
      </c>
      <c r="I229" s="141" t="s">
        <v>1209</v>
      </c>
      <c r="J229" s="141" t="s">
        <v>843</v>
      </c>
      <c r="K229" s="141" t="s">
        <v>843</v>
      </c>
      <c r="L229" s="141" t="s">
        <v>804</v>
      </c>
      <c r="M229" s="141" t="s">
        <v>804</v>
      </c>
      <c r="N229" s="141">
        <v>1000</v>
      </c>
      <c r="O229" s="141" t="s">
        <v>1124</v>
      </c>
      <c r="P229" s="141" t="s">
        <v>804</v>
      </c>
      <c r="Q229" s="141">
        <v>8</v>
      </c>
      <c r="R229" s="141">
        <v>55</v>
      </c>
      <c r="S229" s="141">
        <v>48</v>
      </c>
      <c r="T229" s="236" t="s">
        <v>1206</v>
      </c>
      <c r="U229" s="141" t="s">
        <v>816</v>
      </c>
      <c r="V229" s="141" t="s">
        <v>1207</v>
      </c>
      <c r="W229" s="141" t="s">
        <v>804</v>
      </c>
      <c r="X229" s="141" t="s">
        <v>804</v>
      </c>
      <c r="Y229" s="141" t="s">
        <v>339</v>
      </c>
      <c r="Z229" s="141" t="s">
        <v>804</v>
      </c>
      <c r="AA229" s="141">
        <v>1</v>
      </c>
      <c r="AB229" s="141" t="s">
        <v>1201</v>
      </c>
      <c r="AC229" s="141" t="s">
        <v>1201</v>
      </c>
      <c r="AD229" s="141" t="s">
        <v>1201</v>
      </c>
      <c r="AE229" s="141" t="s">
        <v>1201</v>
      </c>
      <c r="AF229" s="141">
        <v>-40</v>
      </c>
      <c r="AG229" s="141">
        <v>-40</v>
      </c>
      <c r="AH229" s="141">
        <v>125</v>
      </c>
      <c r="AI229" s="141" t="s">
        <v>236</v>
      </c>
      <c r="AJ229" s="164" t="s">
        <v>2146</v>
      </c>
      <c r="AK229" s="141" t="s">
        <v>804</v>
      </c>
      <c r="AL229" s="141" t="s">
        <v>804</v>
      </c>
      <c r="AM229" s="141" t="s">
        <v>693</v>
      </c>
      <c r="AN229" s="141"/>
      <c r="AO229" s="141"/>
      <c r="AP229" s="141"/>
      <c r="AQ229" s="141"/>
      <c r="AR229" s="141"/>
      <c r="AS229" s="141"/>
      <c r="AT229" s="141"/>
      <c r="AU229" s="141"/>
      <c r="AV229" s="141"/>
      <c r="AW229" s="205"/>
      <c r="AX229" s="206"/>
    </row>
    <row r="230" spans="1:54" s="207" customFormat="1" ht="30">
      <c r="A230" s="140" t="s">
        <v>6</v>
      </c>
      <c r="B230" s="129">
        <v>228</v>
      </c>
      <c r="C230" s="236" t="s">
        <v>1203</v>
      </c>
      <c r="D230" s="236" t="s">
        <v>3095</v>
      </c>
      <c r="E230" s="141" t="s">
        <v>1216</v>
      </c>
      <c r="F230" s="236" t="s">
        <v>598</v>
      </c>
      <c r="G230" s="141" t="s">
        <v>804</v>
      </c>
      <c r="H230" s="141" t="s">
        <v>1208</v>
      </c>
      <c r="I230" s="141" t="s">
        <v>1209</v>
      </c>
      <c r="J230" s="141" t="s">
        <v>843</v>
      </c>
      <c r="K230" s="141" t="s">
        <v>843</v>
      </c>
      <c r="L230" s="141" t="s">
        <v>804</v>
      </c>
      <c r="M230" s="141" t="s">
        <v>804</v>
      </c>
      <c r="N230" s="141">
        <v>1000</v>
      </c>
      <c r="O230" s="141" t="s">
        <v>1124</v>
      </c>
      <c r="P230" s="141" t="s">
        <v>804</v>
      </c>
      <c r="Q230" s="141">
        <v>8</v>
      </c>
      <c r="R230" s="141">
        <v>63</v>
      </c>
      <c r="S230" s="141">
        <v>56</v>
      </c>
      <c r="T230" s="236" t="s">
        <v>1206</v>
      </c>
      <c r="U230" s="141" t="s">
        <v>816</v>
      </c>
      <c r="V230" s="141" t="s">
        <v>1207</v>
      </c>
      <c r="W230" s="141" t="s">
        <v>804</v>
      </c>
      <c r="X230" s="141" t="s">
        <v>804</v>
      </c>
      <c r="Y230" s="141" t="s">
        <v>339</v>
      </c>
      <c r="Z230" s="141" t="s">
        <v>804</v>
      </c>
      <c r="AA230" s="141">
        <v>1</v>
      </c>
      <c r="AB230" s="141" t="s">
        <v>1201</v>
      </c>
      <c r="AC230" s="141" t="s">
        <v>1201</v>
      </c>
      <c r="AD230" s="141" t="s">
        <v>1201</v>
      </c>
      <c r="AE230" s="141" t="s">
        <v>1201</v>
      </c>
      <c r="AF230" s="141">
        <v>-40</v>
      </c>
      <c r="AG230" s="141">
        <v>-40</v>
      </c>
      <c r="AH230" s="141">
        <v>125</v>
      </c>
      <c r="AI230" s="141" t="s">
        <v>236</v>
      </c>
      <c r="AJ230" s="164" t="s">
        <v>2146</v>
      </c>
      <c r="AK230" s="141" t="s">
        <v>804</v>
      </c>
      <c r="AL230" s="141" t="s">
        <v>804</v>
      </c>
      <c r="AM230" s="141" t="s">
        <v>693</v>
      </c>
      <c r="AN230" s="141"/>
      <c r="AO230" s="141"/>
      <c r="AP230" s="141"/>
      <c r="AQ230" s="141"/>
      <c r="AR230" s="141"/>
      <c r="AS230" s="141"/>
      <c r="AT230" s="141"/>
      <c r="AU230" s="141"/>
      <c r="AV230" s="141"/>
      <c r="AW230" s="205"/>
      <c r="AX230" s="206"/>
    </row>
    <row r="231" spans="1:54" s="473" customFormat="1" ht="30">
      <c r="A231" s="470" t="s">
        <v>6</v>
      </c>
      <c r="B231" s="452">
        <v>229</v>
      </c>
      <c r="C231" s="450" t="s">
        <v>2533</v>
      </c>
      <c r="D231" s="452" t="s">
        <v>3095</v>
      </c>
      <c r="E231" s="455" t="s">
        <v>2534</v>
      </c>
      <c r="F231" s="455" t="s">
        <v>2535</v>
      </c>
      <c r="G231" s="488"/>
      <c r="H231" s="450" t="s">
        <v>2536</v>
      </c>
      <c r="I231" s="450" t="s">
        <v>2537</v>
      </c>
      <c r="J231" s="452" t="s">
        <v>2538</v>
      </c>
      <c r="K231" s="452" t="s">
        <v>2538</v>
      </c>
      <c r="L231" s="452" t="s">
        <v>2539</v>
      </c>
      <c r="M231" s="452" t="s">
        <v>2539</v>
      </c>
      <c r="N231" s="452">
        <v>1000</v>
      </c>
      <c r="O231" s="452" t="s">
        <v>2539</v>
      </c>
      <c r="P231" s="452" t="s">
        <v>2539</v>
      </c>
      <c r="Q231" s="452">
        <v>8</v>
      </c>
      <c r="R231" s="452">
        <v>27</v>
      </c>
      <c r="S231" s="452">
        <v>27</v>
      </c>
      <c r="T231" s="452">
        <v>1</v>
      </c>
      <c r="U231" s="450" t="s">
        <v>2540</v>
      </c>
      <c r="V231" s="450" t="s">
        <v>2541</v>
      </c>
      <c r="W231" s="452" t="s">
        <v>2539</v>
      </c>
      <c r="X231" s="452" t="s">
        <v>2539</v>
      </c>
      <c r="Y231" s="452" t="s">
        <v>2542</v>
      </c>
      <c r="Z231" s="452" t="s">
        <v>194</v>
      </c>
      <c r="AA231" s="452">
        <v>1</v>
      </c>
      <c r="AB231" s="452" t="s">
        <v>2539</v>
      </c>
      <c r="AC231" s="452" t="s">
        <v>2539</v>
      </c>
      <c r="AD231" s="452" t="s">
        <v>2539</v>
      </c>
      <c r="AE231" s="452" t="s">
        <v>2539</v>
      </c>
      <c r="AF231" s="452">
        <v>0</v>
      </c>
      <c r="AG231" s="452">
        <v>0</v>
      </c>
      <c r="AH231" s="452">
        <v>1</v>
      </c>
      <c r="AI231" s="452" t="s">
        <v>2539</v>
      </c>
      <c r="AJ231" s="489" t="s">
        <v>2043</v>
      </c>
      <c r="AK231" s="452" t="s">
        <v>2493</v>
      </c>
      <c r="AL231" s="471" t="s">
        <v>2580</v>
      </c>
      <c r="AM231" s="452" t="s">
        <v>677</v>
      </c>
      <c r="AN231" s="285"/>
      <c r="AO231" s="285"/>
      <c r="AP231" s="285"/>
      <c r="AQ231" s="285"/>
      <c r="AR231" s="285"/>
      <c r="AS231" s="285"/>
      <c r="AT231" s="467"/>
      <c r="AU231" s="285"/>
      <c r="AV231" s="285"/>
      <c r="AW231" s="285"/>
      <c r="AX231" s="285"/>
      <c r="AY231" s="285"/>
      <c r="AZ231" s="285"/>
    </row>
    <row r="232" spans="1:54" s="473" customFormat="1" ht="30">
      <c r="A232" s="470" t="s">
        <v>2544</v>
      </c>
      <c r="B232" s="452">
        <v>230</v>
      </c>
      <c r="C232" s="450" t="s">
        <v>2545</v>
      </c>
      <c r="D232" s="452" t="s">
        <v>3095</v>
      </c>
      <c r="E232" s="487" t="s">
        <v>2546</v>
      </c>
      <c r="F232" s="455" t="s">
        <v>2547</v>
      </c>
      <c r="G232" s="488"/>
      <c r="H232" s="450" t="s">
        <v>2548</v>
      </c>
      <c r="I232" s="450" t="s">
        <v>2549</v>
      </c>
      <c r="J232" s="452" t="s">
        <v>2550</v>
      </c>
      <c r="K232" s="452" t="s">
        <v>2550</v>
      </c>
      <c r="L232" s="452" t="s">
        <v>2551</v>
      </c>
      <c r="M232" s="452" t="s">
        <v>2551</v>
      </c>
      <c r="N232" s="452">
        <v>1000</v>
      </c>
      <c r="O232" s="452" t="s">
        <v>2551</v>
      </c>
      <c r="P232" s="452" t="s">
        <v>2551</v>
      </c>
      <c r="Q232" s="452">
        <v>8</v>
      </c>
      <c r="R232" s="452">
        <v>26</v>
      </c>
      <c r="S232" s="452">
        <v>26</v>
      </c>
      <c r="T232" s="452">
        <v>1</v>
      </c>
      <c r="U232" s="450" t="s">
        <v>2540</v>
      </c>
      <c r="V232" s="450" t="s">
        <v>2541</v>
      </c>
      <c r="W232" s="452" t="s">
        <v>2551</v>
      </c>
      <c r="X232" s="452" t="s">
        <v>2551</v>
      </c>
      <c r="Y232" s="452" t="s">
        <v>2542</v>
      </c>
      <c r="Z232" s="452" t="s">
        <v>194</v>
      </c>
      <c r="AA232" s="452">
        <v>1</v>
      </c>
      <c r="AB232" s="452" t="s">
        <v>2551</v>
      </c>
      <c r="AC232" s="452" t="s">
        <v>2551</v>
      </c>
      <c r="AD232" s="452" t="s">
        <v>2551</v>
      </c>
      <c r="AE232" s="452" t="s">
        <v>2551</v>
      </c>
      <c r="AF232" s="452">
        <v>0</v>
      </c>
      <c r="AG232" s="452">
        <v>0</v>
      </c>
      <c r="AH232" s="452">
        <v>1</v>
      </c>
      <c r="AI232" s="452" t="s">
        <v>2551</v>
      </c>
      <c r="AJ232" s="489" t="s">
        <v>2043</v>
      </c>
      <c r="AK232" s="452" t="s">
        <v>2551</v>
      </c>
      <c r="AL232" s="471" t="s">
        <v>2577</v>
      </c>
      <c r="AM232" s="452" t="s">
        <v>677</v>
      </c>
      <c r="AN232" s="285"/>
      <c r="AO232" s="285"/>
      <c r="AP232" s="285"/>
      <c r="AQ232" s="285"/>
      <c r="AR232" s="285"/>
      <c r="AS232" s="285"/>
      <c r="AT232" s="467"/>
      <c r="AU232" s="285"/>
      <c r="AV232" s="285"/>
      <c r="AW232" s="285"/>
      <c r="AX232" s="285"/>
      <c r="AY232" s="285"/>
      <c r="AZ232" s="285"/>
    </row>
    <row r="233" spans="1:54" s="213" customFormat="1" ht="30">
      <c r="A233" s="237" t="s">
        <v>2487</v>
      </c>
      <c r="B233" s="129">
        <v>231</v>
      </c>
      <c r="C233" s="141" t="s">
        <v>2552</v>
      </c>
      <c r="D233" s="129" t="s">
        <v>3095</v>
      </c>
      <c r="E233" s="159" t="s">
        <v>2553</v>
      </c>
      <c r="F233" s="159" t="s">
        <v>2553</v>
      </c>
      <c r="G233" s="203"/>
      <c r="H233" s="141" t="s">
        <v>2554</v>
      </c>
      <c r="I233" s="141" t="s">
        <v>2555</v>
      </c>
      <c r="J233" s="129" t="s">
        <v>2556</v>
      </c>
      <c r="K233" s="129" t="s">
        <v>2556</v>
      </c>
      <c r="L233" s="129" t="s">
        <v>2493</v>
      </c>
      <c r="M233" s="129" t="s">
        <v>2493</v>
      </c>
      <c r="N233" s="129">
        <v>1000</v>
      </c>
      <c r="O233" s="129" t="s">
        <v>2493</v>
      </c>
      <c r="P233" s="129" t="s">
        <v>2493</v>
      </c>
      <c r="Q233" s="129">
        <v>8</v>
      </c>
      <c r="R233" s="129">
        <v>25</v>
      </c>
      <c r="S233" s="129">
        <v>25</v>
      </c>
      <c r="T233" s="129">
        <v>1</v>
      </c>
      <c r="U233" s="141" t="s">
        <v>2540</v>
      </c>
      <c r="V233" s="141" t="s">
        <v>2541</v>
      </c>
      <c r="W233" s="129" t="s">
        <v>2493</v>
      </c>
      <c r="X233" s="129" t="s">
        <v>2493</v>
      </c>
      <c r="Y233" s="129" t="s">
        <v>2542</v>
      </c>
      <c r="Z233" s="129" t="s">
        <v>194</v>
      </c>
      <c r="AA233" s="129">
        <v>1</v>
      </c>
      <c r="AB233" s="129" t="s">
        <v>2493</v>
      </c>
      <c r="AC233" s="129" t="s">
        <v>2493</v>
      </c>
      <c r="AD233" s="129" t="s">
        <v>2493</v>
      </c>
      <c r="AE233" s="129" t="s">
        <v>2493</v>
      </c>
      <c r="AF233" s="129">
        <v>0</v>
      </c>
      <c r="AG233" s="129">
        <v>0</v>
      </c>
      <c r="AH233" s="129">
        <v>1</v>
      </c>
      <c r="AI233" s="129" t="s">
        <v>2493</v>
      </c>
      <c r="AJ233" s="238" t="s">
        <v>2543</v>
      </c>
      <c r="AK233" s="129" t="s">
        <v>2493</v>
      </c>
      <c r="AL233" s="239" t="s">
        <v>2577</v>
      </c>
      <c r="AM233" s="129" t="s">
        <v>2575</v>
      </c>
      <c r="AN233" s="143"/>
      <c r="AO233" s="143"/>
      <c r="AP233" s="143"/>
      <c r="AQ233" s="143"/>
      <c r="AR233" s="143"/>
      <c r="AS233" s="143"/>
      <c r="AT233" s="160"/>
      <c r="AU233" s="143"/>
      <c r="AV233" s="143"/>
      <c r="AW233" s="143"/>
      <c r="AX233" s="143"/>
      <c r="AY233" s="143"/>
      <c r="AZ233" s="143"/>
    </row>
    <row r="234" spans="1:54" s="213" customFormat="1" ht="30">
      <c r="A234" s="237" t="s">
        <v>2557</v>
      </c>
      <c r="B234" s="129">
        <v>232</v>
      </c>
      <c r="C234" s="141" t="s">
        <v>2558</v>
      </c>
      <c r="D234" s="129" t="s">
        <v>3095</v>
      </c>
      <c r="E234" s="159" t="s">
        <v>2559</v>
      </c>
      <c r="F234" s="240" t="s">
        <v>2560</v>
      </c>
      <c r="G234" s="203"/>
      <c r="H234" s="141" t="s">
        <v>2561</v>
      </c>
      <c r="I234" s="141" t="s">
        <v>2562</v>
      </c>
      <c r="J234" s="129" t="s">
        <v>2563</v>
      </c>
      <c r="K234" s="129" t="s">
        <v>2563</v>
      </c>
      <c r="L234" s="129" t="s">
        <v>2564</v>
      </c>
      <c r="M234" s="129" t="s">
        <v>2564</v>
      </c>
      <c r="N234" s="129">
        <v>1000</v>
      </c>
      <c r="O234" s="129" t="s">
        <v>2564</v>
      </c>
      <c r="P234" s="129" t="s">
        <v>2564</v>
      </c>
      <c r="Q234" s="129">
        <v>8</v>
      </c>
      <c r="R234" s="129">
        <v>24</v>
      </c>
      <c r="S234" s="129">
        <v>24</v>
      </c>
      <c r="T234" s="129">
        <v>1</v>
      </c>
      <c r="U234" s="141" t="s">
        <v>2540</v>
      </c>
      <c r="V234" s="141" t="s">
        <v>2541</v>
      </c>
      <c r="W234" s="129" t="s">
        <v>2564</v>
      </c>
      <c r="X234" s="129" t="s">
        <v>2564</v>
      </c>
      <c r="Y234" s="129" t="s">
        <v>2542</v>
      </c>
      <c r="Z234" s="129" t="s">
        <v>194</v>
      </c>
      <c r="AA234" s="129">
        <v>1</v>
      </c>
      <c r="AB234" s="129" t="s">
        <v>2564</v>
      </c>
      <c r="AC234" s="129" t="s">
        <v>2564</v>
      </c>
      <c r="AD234" s="129" t="s">
        <v>2564</v>
      </c>
      <c r="AE234" s="129" t="s">
        <v>2564</v>
      </c>
      <c r="AF234" s="129">
        <v>0</v>
      </c>
      <c r="AG234" s="129">
        <v>0</v>
      </c>
      <c r="AH234" s="129">
        <v>1</v>
      </c>
      <c r="AI234" s="129" t="s">
        <v>2564</v>
      </c>
      <c r="AJ234" s="238" t="s">
        <v>2543</v>
      </c>
      <c r="AK234" s="129" t="s">
        <v>2564</v>
      </c>
      <c r="AL234" s="239" t="s">
        <v>2577</v>
      </c>
      <c r="AM234" s="129" t="s">
        <v>2575</v>
      </c>
      <c r="AN234" s="143"/>
      <c r="AO234" s="143"/>
      <c r="AP234" s="143"/>
      <c r="AQ234" s="143"/>
      <c r="AR234" s="143"/>
      <c r="AS234" s="143"/>
      <c r="AT234" s="160"/>
      <c r="AU234" s="143"/>
      <c r="AV234" s="143"/>
      <c r="AW234" s="143"/>
      <c r="AX234" s="143"/>
      <c r="AY234" s="143"/>
      <c r="AZ234" s="143"/>
    </row>
    <row r="235" spans="1:54" s="244" customFormat="1" ht="30">
      <c r="A235" s="140" t="s">
        <v>6</v>
      </c>
      <c r="B235" s="129">
        <v>233</v>
      </c>
      <c r="C235" s="236" t="s">
        <v>2196</v>
      </c>
      <c r="D235" s="236" t="s">
        <v>3095</v>
      </c>
      <c r="E235" s="241" t="s">
        <v>2198</v>
      </c>
      <c r="F235" s="241" t="s">
        <v>2199</v>
      </c>
      <c r="G235" s="141" t="s">
        <v>2197</v>
      </c>
      <c r="H235" s="141" t="s">
        <v>2200</v>
      </c>
      <c r="I235" s="141" t="s">
        <v>2201</v>
      </c>
      <c r="J235" s="141" t="s">
        <v>2202</v>
      </c>
      <c r="K235" s="141" t="s">
        <v>2202</v>
      </c>
      <c r="L235" s="141" t="s">
        <v>2197</v>
      </c>
      <c r="M235" s="141" t="s">
        <v>2197</v>
      </c>
      <c r="N235" s="141">
        <v>1000</v>
      </c>
      <c r="O235" s="141" t="s">
        <v>2203</v>
      </c>
      <c r="P235" s="141" t="s">
        <v>2197</v>
      </c>
      <c r="Q235" s="141">
        <v>8</v>
      </c>
      <c r="R235" s="141">
        <v>7</v>
      </c>
      <c r="S235" s="141">
        <v>11</v>
      </c>
      <c r="T235" s="236">
        <v>13</v>
      </c>
      <c r="U235" s="141" t="s">
        <v>2204</v>
      </c>
      <c r="V235" s="141" t="s">
        <v>2205</v>
      </c>
      <c r="W235" s="141" t="s">
        <v>2197</v>
      </c>
      <c r="X235" s="141" t="s">
        <v>2197</v>
      </c>
      <c r="Y235" s="141" t="s">
        <v>2206</v>
      </c>
      <c r="Z235" s="141" t="s">
        <v>2197</v>
      </c>
      <c r="AA235" s="141">
        <v>1E-3</v>
      </c>
      <c r="AB235" s="141" t="s">
        <v>2197</v>
      </c>
      <c r="AC235" s="141" t="s">
        <v>2197</v>
      </c>
      <c r="AD235" s="141" t="s">
        <v>2197</v>
      </c>
      <c r="AE235" s="141" t="s">
        <v>2197</v>
      </c>
      <c r="AF235" s="236">
        <v>0</v>
      </c>
      <c r="AG235" s="236">
        <v>0</v>
      </c>
      <c r="AH235" s="236" t="s">
        <v>2207</v>
      </c>
      <c r="AI235" s="236" t="s">
        <v>2208</v>
      </c>
      <c r="AJ235" s="212" t="s">
        <v>2209</v>
      </c>
      <c r="AK235" s="141" t="s">
        <v>2197</v>
      </c>
      <c r="AL235" s="141" t="s">
        <v>2197</v>
      </c>
      <c r="AM235" s="141" t="s">
        <v>2632</v>
      </c>
      <c r="AN235" s="141" t="s">
        <v>2210</v>
      </c>
      <c r="AO235" s="141"/>
      <c r="AP235" s="141"/>
      <c r="AQ235" s="141"/>
      <c r="AR235" s="141"/>
      <c r="AS235" s="141"/>
      <c r="AT235" s="242"/>
      <c r="AU235" s="243"/>
      <c r="AV235" s="141"/>
      <c r="AW235" s="205"/>
      <c r="AX235" s="206"/>
    </row>
    <row r="236" spans="1:54" s="213" customFormat="1" ht="30">
      <c r="A236" s="140" t="s">
        <v>6</v>
      </c>
      <c r="B236" s="129">
        <v>234</v>
      </c>
      <c r="C236" s="236" t="s">
        <v>2196</v>
      </c>
      <c r="D236" s="236" t="s">
        <v>3095</v>
      </c>
      <c r="E236" s="241" t="s">
        <v>356</v>
      </c>
      <c r="F236" s="241" t="s">
        <v>2211</v>
      </c>
      <c r="G236" s="141" t="s">
        <v>2197</v>
      </c>
      <c r="H236" s="141" t="s">
        <v>2200</v>
      </c>
      <c r="I236" s="141" t="s">
        <v>2201</v>
      </c>
      <c r="J236" s="141" t="s">
        <v>2202</v>
      </c>
      <c r="K236" s="141" t="s">
        <v>2202</v>
      </c>
      <c r="L236" s="141" t="s">
        <v>2197</v>
      </c>
      <c r="M236" s="141" t="s">
        <v>2197</v>
      </c>
      <c r="N236" s="141">
        <v>1000</v>
      </c>
      <c r="O236" s="141" t="s">
        <v>2203</v>
      </c>
      <c r="P236" s="141" t="s">
        <v>2197</v>
      </c>
      <c r="Q236" s="141">
        <v>8</v>
      </c>
      <c r="R236" s="141">
        <v>23</v>
      </c>
      <c r="S236" s="141">
        <v>27</v>
      </c>
      <c r="T236" s="236">
        <v>13</v>
      </c>
      <c r="U236" s="141" t="s">
        <v>2204</v>
      </c>
      <c r="V236" s="141" t="s">
        <v>2205</v>
      </c>
      <c r="W236" s="141" t="s">
        <v>2197</v>
      </c>
      <c r="X236" s="141" t="s">
        <v>2197</v>
      </c>
      <c r="Y236" s="141" t="s">
        <v>2206</v>
      </c>
      <c r="Z236" s="141" t="s">
        <v>2197</v>
      </c>
      <c r="AA236" s="141">
        <v>1E-3</v>
      </c>
      <c r="AB236" s="141" t="s">
        <v>2197</v>
      </c>
      <c r="AC236" s="141" t="s">
        <v>2197</v>
      </c>
      <c r="AD236" s="141" t="s">
        <v>2197</v>
      </c>
      <c r="AE236" s="141" t="s">
        <v>2197</v>
      </c>
      <c r="AF236" s="236">
        <v>0</v>
      </c>
      <c r="AG236" s="236">
        <v>0</v>
      </c>
      <c r="AH236" s="236" t="s">
        <v>2207</v>
      </c>
      <c r="AI236" s="236" t="s">
        <v>2208</v>
      </c>
      <c r="AJ236" s="212" t="s">
        <v>2209</v>
      </c>
      <c r="AK236" s="141" t="s">
        <v>2197</v>
      </c>
      <c r="AL236" s="141" t="s">
        <v>2197</v>
      </c>
      <c r="AM236" s="141" t="s">
        <v>2633</v>
      </c>
      <c r="AN236" s="141" t="s">
        <v>2210</v>
      </c>
      <c r="AO236" s="141"/>
      <c r="AP236" s="141"/>
      <c r="AQ236" s="141"/>
      <c r="AR236" s="141"/>
      <c r="AS236" s="141"/>
      <c r="AT236" s="143"/>
      <c r="AU236" s="239"/>
      <c r="AV236" s="141"/>
      <c r="AW236" s="205"/>
      <c r="AX236" s="206"/>
      <c r="AY236" s="245"/>
      <c r="AZ236" s="245"/>
      <c r="BA236" s="245"/>
      <c r="BB236" s="245"/>
    </row>
    <row r="237" spans="1:54" s="213" customFormat="1" ht="30">
      <c r="A237" s="140" t="s">
        <v>6</v>
      </c>
      <c r="B237" s="129">
        <v>235</v>
      </c>
      <c r="C237" s="236" t="s">
        <v>2196</v>
      </c>
      <c r="D237" s="236" t="s">
        <v>3095</v>
      </c>
      <c r="E237" s="241" t="s">
        <v>357</v>
      </c>
      <c r="F237" s="241" t="s">
        <v>2212</v>
      </c>
      <c r="G237" s="141" t="s">
        <v>2213</v>
      </c>
      <c r="H237" s="141" t="s">
        <v>2214</v>
      </c>
      <c r="I237" s="141" t="s">
        <v>2215</v>
      </c>
      <c r="J237" s="141" t="s">
        <v>2216</v>
      </c>
      <c r="K237" s="141" t="s">
        <v>2216</v>
      </c>
      <c r="L237" s="141" t="s">
        <v>2213</v>
      </c>
      <c r="M237" s="141" t="s">
        <v>2213</v>
      </c>
      <c r="N237" s="141">
        <v>1000</v>
      </c>
      <c r="O237" s="141" t="s">
        <v>2217</v>
      </c>
      <c r="P237" s="141" t="s">
        <v>2213</v>
      </c>
      <c r="Q237" s="141">
        <v>8</v>
      </c>
      <c r="R237" s="141">
        <v>39</v>
      </c>
      <c r="S237" s="141">
        <v>43</v>
      </c>
      <c r="T237" s="236">
        <v>13</v>
      </c>
      <c r="U237" s="141" t="s">
        <v>2218</v>
      </c>
      <c r="V237" s="141" t="s">
        <v>2219</v>
      </c>
      <c r="W237" s="141" t="s">
        <v>2213</v>
      </c>
      <c r="X237" s="141" t="s">
        <v>2213</v>
      </c>
      <c r="Y237" s="141" t="s">
        <v>2220</v>
      </c>
      <c r="Z237" s="141" t="s">
        <v>2213</v>
      </c>
      <c r="AA237" s="141">
        <v>1E-3</v>
      </c>
      <c r="AB237" s="141" t="s">
        <v>2213</v>
      </c>
      <c r="AC237" s="141" t="s">
        <v>2213</v>
      </c>
      <c r="AD237" s="141" t="s">
        <v>2213</v>
      </c>
      <c r="AE237" s="141" t="s">
        <v>2213</v>
      </c>
      <c r="AF237" s="236">
        <v>0</v>
      </c>
      <c r="AG237" s="236">
        <v>0</v>
      </c>
      <c r="AH237" s="236" t="s">
        <v>358</v>
      </c>
      <c r="AI237" s="236" t="s">
        <v>2221</v>
      </c>
      <c r="AJ237" s="212" t="s">
        <v>2222</v>
      </c>
      <c r="AK237" s="141" t="s">
        <v>2213</v>
      </c>
      <c r="AL237" s="141" t="s">
        <v>2213</v>
      </c>
      <c r="AM237" s="141" t="s">
        <v>2634</v>
      </c>
      <c r="AN237" s="141" t="s">
        <v>2223</v>
      </c>
      <c r="AO237" s="141"/>
      <c r="AP237" s="141"/>
      <c r="AQ237" s="141"/>
      <c r="AR237" s="141"/>
      <c r="AS237" s="141"/>
      <c r="AT237" s="143"/>
      <c r="AU237" s="239"/>
      <c r="AV237" s="141"/>
      <c r="AW237" s="205"/>
      <c r="AX237" s="206"/>
      <c r="AY237" s="245"/>
      <c r="AZ237" s="245"/>
      <c r="BA237" s="245"/>
      <c r="BB237" s="245"/>
    </row>
    <row r="238" spans="1:54" s="213" customFormat="1" ht="30">
      <c r="A238" s="140" t="s">
        <v>6</v>
      </c>
      <c r="B238" s="129">
        <v>236</v>
      </c>
      <c r="C238" s="236" t="s">
        <v>2224</v>
      </c>
      <c r="D238" s="236" t="s">
        <v>3095</v>
      </c>
      <c r="E238" s="241" t="s">
        <v>359</v>
      </c>
      <c r="F238" s="241" t="s">
        <v>2225</v>
      </c>
      <c r="G238" s="141" t="s">
        <v>2213</v>
      </c>
      <c r="H238" s="141" t="s">
        <v>2214</v>
      </c>
      <c r="I238" s="141" t="s">
        <v>2215</v>
      </c>
      <c r="J238" s="141" t="s">
        <v>2216</v>
      </c>
      <c r="K238" s="141" t="s">
        <v>2216</v>
      </c>
      <c r="L238" s="141" t="s">
        <v>2213</v>
      </c>
      <c r="M238" s="141" t="s">
        <v>2213</v>
      </c>
      <c r="N238" s="141">
        <v>1000</v>
      </c>
      <c r="O238" s="141" t="s">
        <v>2217</v>
      </c>
      <c r="P238" s="141" t="s">
        <v>2213</v>
      </c>
      <c r="Q238" s="141">
        <v>8</v>
      </c>
      <c r="R238" s="141">
        <v>55</v>
      </c>
      <c r="S238" s="141">
        <v>59</v>
      </c>
      <c r="T238" s="236">
        <v>13</v>
      </c>
      <c r="U238" s="141" t="s">
        <v>2218</v>
      </c>
      <c r="V238" s="141" t="s">
        <v>2219</v>
      </c>
      <c r="W238" s="141" t="s">
        <v>2213</v>
      </c>
      <c r="X238" s="141" t="s">
        <v>2213</v>
      </c>
      <c r="Y238" s="141" t="s">
        <v>339</v>
      </c>
      <c r="Z238" s="141" t="s">
        <v>2213</v>
      </c>
      <c r="AA238" s="141">
        <v>1E-3</v>
      </c>
      <c r="AB238" s="141" t="s">
        <v>2213</v>
      </c>
      <c r="AC238" s="141" t="s">
        <v>2213</v>
      </c>
      <c r="AD238" s="141" t="s">
        <v>2213</v>
      </c>
      <c r="AE238" s="141" t="s">
        <v>2213</v>
      </c>
      <c r="AF238" s="236">
        <v>0</v>
      </c>
      <c r="AG238" s="236">
        <v>0</v>
      </c>
      <c r="AH238" s="236" t="s">
        <v>358</v>
      </c>
      <c r="AI238" s="236" t="s">
        <v>2221</v>
      </c>
      <c r="AJ238" s="212" t="s">
        <v>2222</v>
      </c>
      <c r="AK238" s="141" t="s">
        <v>2213</v>
      </c>
      <c r="AL238" s="141" t="s">
        <v>2213</v>
      </c>
      <c r="AM238" s="141" t="s">
        <v>693</v>
      </c>
      <c r="AN238" s="141" t="s">
        <v>2223</v>
      </c>
      <c r="AO238" s="141"/>
      <c r="AP238" s="141"/>
      <c r="AQ238" s="141"/>
      <c r="AR238" s="141"/>
      <c r="AS238" s="141"/>
      <c r="AT238" s="143"/>
      <c r="AU238" s="239"/>
      <c r="AV238" s="141"/>
      <c r="AW238" s="205"/>
      <c r="AX238" s="206"/>
      <c r="AY238" s="245"/>
      <c r="AZ238" s="245"/>
      <c r="BA238" s="245"/>
      <c r="BB238" s="245"/>
    </row>
    <row r="239" spans="1:54" s="213" customFormat="1" ht="30">
      <c r="A239" s="140" t="s">
        <v>6</v>
      </c>
      <c r="B239" s="129">
        <v>237</v>
      </c>
      <c r="C239" s="236" t="s">
        <v>2224</v>
      </c>
      <c r="D239" s="236" t="s">
        <v>3095</v>
      </c>
      <c r="E239" s="241" t="s">
        <v>360</v>
      </c>
      <c r="F239" s="241" t="s">
        <v>361</v>
      </c>
      <c r="G239" s="141" t="s">
        <v>2213</v>
      </c>
      <c r="H239" s="141" t="s">
        <v>2226</v>
      </c>
      <c r="I239" s="141" t="s">
        <v>2227</v>
      </c>
      <c r="J239" s="141" t="s">
        <v>2216</v>
      </c>
      <c r="K239" s="141" t="s">
        <v>2216</v>
      </c>
      <c r="L239" s="141" t="s">
        <v>2213</v>
      </c>
      <c r="M239" s="141" t="s">
        <v>2213</v>
      </c>
      <c r="N239" s="141">
        <v>1000</v>
      </c>
      <c r="O239" s="141" t="s">
        <v>2217</v>
      </c>
      <c r="P239" s="141" t="s">
        <v>2213</v>
      </c>
      <c r="Q239" s="141">
        <v>8</v>
      </c>
      <c r="R239" s="141">
        <v>7</v>
      </c>
      <c r="S239" s="141">
        <v>11</v>
      </c>
      <c r="T239" s="236">
        <v>13</v>
      </c>
      <c r="U239" s="141" t="s">
        <v>2218</v>
      </c>
      <c r="V239" s="141" t="s">
        <v>2219</v>
      </c>
      <c r="W239" s="141" t="s">
        <v>2213</v>
      </c>
      <c r="X239" s="141" t="s">
        <v>2213</v>
      </c>
      <c r="Y239" s="141" t="s">
        <v>2220</v>
      </c>
      <c r="Z239" s="141" t="s">
        <v>2213</v>
      </c>
      <c r="AA239" s="141">
        <v>1E-3</v>
      </c>
      <c r="AB239" s="141" t="s">
        <v>2213</v>
      </c>
      <c r="AC239" s="141" t="s">
        <v>2213</v>
      </c>
      <c r="AD239" s="141" t="s">
        <v>2213</v>
      </c>
      <c r="AE239" s="141" t="s">
        <v>2213</v>
      </c>
      <c r="AF239" s="236">
        <v>0</v>
      </c>
      <c r="AG239" s="236">
        <v>0</v>
      </c>
      <c r="AH239" s="236" t="s">
        <v>358</v>
      </c>
      <c r="AI239" s="236" t="s">
        <v>2221</v>
      </c>
      <c r="AJ239" s="212" t="s">
        <v>2222</v>
      </c>
      <c r="AK239" s="141" t="s">
        <v>2213</v>
      </c>
      <c r="AL239" s="141" t="s">
        <v>2213</v>
      </c>
      <c r="AM239" s="141" t="s">
        <v>693</v>
      </c>
      <c r="AN239" s="141" t="s">
        <v>2223</v>
      </c>
      <c r="AO239" s="141"/>
      <c r="AP239" s="141"/>
      <c r="AQ239" s="141"/>
      <c r="AR239" s="141"/>
      <c r="AS239" s="141"/>
      <c r="AT239" s="143"/>
      <c r="AU239" s="239"/>
      <c r="AV239" s="141"/>
      <c r="AW239" s="205"/>
      <c r="AX239" s="206"/>
      <c r="AY239" s="245"/>
      <c r="AZ239" s="245"/>
      <c r="BA239" s="245"/>
      <c r="BB239" s="245"/>
    </row>
    <row r="240" spans="1:54" s="213" customFormat="1" ht="30">
      <c r="A240" s="140" t="s">
        <v>6</v>
      </c>
      <c r="B240" s="129">
        <v>238</v>
      </c>
      <c r="C240" s="236" t="s">
        <v>2224</v>
      </c>
      <c r="D240" s="236" t="s">
        <v>3095</v>
      </c>
      <c r="E240" s="241" t="s">
        <v>362</v>
      </c>
      <c r="F240" s="241" t="s">
        <v>363</v>
      </c>
      <c r="G240" s="141" t="s">
        <v>2213</v>
      </c>
      <c r="H240" s="141" t="s">
        <v>2226</v>
      </c>
      <c r="I240" s="141" t="s">
        <v>2227</v>
      </c>
      <c r="J240" s="141" t="s">
        <v>2216</v>
      </c>
      <c r="K240" s="141" t="s">
        <v>2216</v>
      </c>
      <c r="L240" s="141" t="s">
        <v>2213</v>
      </c>
      <c r="M240" s="141" t="s">
        <v>2213</v>
      </c>
      <c r="N240" s="141">
        <v>1000</v>
      </c>
      <c r="O240" s="141" t="s">
        <v>2217</v>
      </c>
      <c r="P240" s="141" t="s">
        <v>2213</v>
      </c>
      <c r="Q240" s="141">
        <v>8</v>
      </c>
      <c r="R240" s="141">
        <v>23</v>
      </c>
      <c r="S240" s="141">
        <v>27</v>
      </c>
      <c r="T240" s="236">
        <v>13</v>
      </c>
      <c r="U240" s="141" t="s">
        <v>2218</v>
      </c>
      <c r="V240" s="141" t="s">
        <v>2219</v>
      </c>
      <c r="W240" s="141" t="s">
        <v>2213</v>
      </c>
      <c r="X240" s="141" t="s">
        <v>2213</v>
      </c>
      <c r="Y240" s="141" t="s">
        <v>2220</v>
      </c>
      <c r="Z240" s="141" t="s">
        <v>2213</v>
      </c>
      <c r="AA240" s="141">
        <v>1E-3</v>
      </c>
      <c r="AB240" s="141" t="s">
        <v>2213</v>
      </c>
      <c r="AC240" s="141" t="s">
        <v>2213</v>
      </c>
      <c r="AD240" s="141" t="s">
        <v>2213</v>
      </c>
      <c r="AE240" s="141" t="s">
        <v>2213</v>
      </c>
      <c r="AF240" s="236">
        <v>0</v>
      </c>
      <c r="AG240" s="236">
        <v>0</v>
      </c>
      <c r="AH240" s="236" t="s">
        <v>358</v>
      </c>
      <c r="AI240" s="236" t="s">
        <v>2221</v>
      </c>
      <c r="AJ240" s="212" t="s">
        <v>2222</v>
      </c>
      <c r="AK240" s="141" t="s">
        <v>2213</v>
      </c>
      <c r="AL240" s="141" t="s">
        <v>2213</v>
      </c>
      <c r="AM240" s="141" t="s">
        <v>693</v>
      </c>
      <c r="AN240" s="141" t="s">
        <v>2223</v>
      </c>
      <c r="AO240" s="141"/>
      <c r="AP240" s="141"/>
      <c r="AQ240" s="141"/>
      <c r="AR240" s="141"/>
      <c r="AS240" s="141"/>
      <c r="AT240" s="143"/>
      <c r="AU240" s="239"/>
      <c r="AV240" s="141"/>
      <c r="AW240" s="205"/>
      <c r="AX240" s="206"/>
      <c r="AY240" s="245"/>
      <c r="AZ240" s="245"/>
      <c r="BA240" s="245"/>
      <c r="BB240" s="245"/>
    </row>
    <row r="241" spans="1:54" s="213" customFormat="1" ht="30">
      <c r="A241" s="140" t="s">
        <v>6</v>
      </c>
      <c r="B241" s="129">
        <v>239</v>
      </c>
      <c r="C241" s="236" t="s">
        <v>2224</v>
      </c>
      <c r="D241" s="236" t="s">
        <v>3095</v>
      </c>
      <c r="E241" s="241" t="s">
        <v>364</v>
      </c>
      <c r="F241" s="241" t="s">
        <v>365</v>
      </c>
      <c r="G241" s="141" t="s">
        <v>2213</v>
      </c>
      <c r="H241" s="141" t="s">
        <v>2226</v>
      </c>
      <c r="I241" s="141" t="s">
        <v>2227</v>
      </c>
      <c r="J241" s="141" t="s">
        <v>2216</v>
      </c>
      <c r="K241" s="141" t="s">
        <v>2216</v>
      </c>
      <c r="L241" s="141" t="s">
        <v>2213</v>
      </c>
      <c r="M241" s="141" t="s">
        <v>2213</v>
      </c>
      <c r="N241" s="141">
        <v>1000</v>
      </c>
      <c r="O241" s="141" t="s">
        <v>2217</v>
      </c>
      <c r="P241" s="141" t="s">
        <v>2213</v>
      </c>
      <c r="Q241" s="141">
        <v>8</v>
      </c>
      <c r="R241" s="141">
        <v>39</v>
      </c>
      <c r="S241" s="141">
        <v>43</v>
      </c>
      <c r="T241" s="236">
        <v>13</v>
      </c>
      <c r="U241" s="141" t="s">
        <v>2218</v>
      </c>
      <c r="V241" s="141" t="s">
        <v>2219</v>
      </c>
      <c r="W241" s="141" t="s">
        <v>2213</v>
      </c>
      <c r="X241" s="141" t="s">
        <v>2213</v>
      </c>
      <c r="Y241" s="141" t="s">
        <v>2220</v>
      </c>
      <c r="Z241" s="141" t="s">
        <v>2213</v>
      </c>
      <c r="AA241" s="141">
        <v>1E-3</v>
      </c>
      <c r="AB241" s="141" t="s">
        <v>2213</v>
      </c>
      <c r="AC241" s="141" t="s">
        <v>2213</v>
      </c>
      <c r="AD241" s="141" t="s">
        <v>2213</v>
      </c>
      <c r="AE241" s="141" t="s">
        <v>2213</v>
      </c>
      <c r="AF241" s="236">
        <v>0</v>
      </c>
      <c r="AG241" s="236">
        <v>0</v>
      </c>
      <c r="AH241" s="236" t="s">
        <v>358</v>
      </c>
      <c r="AI241" s="236" t="s">
        <v>2221</v>
      </c>
      <c r="AJ241" s="212" t="s">
        <v>2222</v>
      </c>
      <c r="AK241" s="141" t="s">
        <v>2213</v>
      </c>
      <c r="AL241" s="141" t="s">
        <v>2213</v>
      </c>
      <c r="AM241" s="141" t="s">
        <v>693</v>
      </c>
      <c r="AN241" s="141" t="s">
        <v>2223</v>
      </c>
      <c r="AO241" s="141"/>
      <c r="AP241" s="141"/>
      <c r="AQ241" s="141"/>
      <c r="AR241" s="141"/>
      <c r="AS241" s="141"/>
      <c r="AT241" s="143"/>
      <c r="AU241" s="239"/>
      <c r="AV241" s="141"/>
      <c r="AW241" s="205"/>
      <c r="AX241" s="206"/>
      <c r="AY241" s="245"/>
      <c r="AZ241" s="245"/>
      <c r="BA241" s="245"/>
      <c r="BB241" s="245"/>
    </row>
    <row r="242" spans="1:54" s="213" customFormat="1" ht="30">
      <c r="A242" s="140" t="s">
        <v>6</v>
      </c>
      <c r="B242" s="129">
        <v>240</v>
      </c>
      <c r="C242" s="236" t="s">
        <v>2224</v>
      </c>
      <c r="D242" s="236" t="s">
        <v>3095</v>
      </c>
      <c r="E242" s="241" t="s">
        <v>366</v>
      </c>
      <c r="F242" s="241" t="s">
        <v>367</v>
      </c>
      <c r="G242" s="141" t="s">
        <v>2213</v>
      </c>
      <c r="H242" s="141" t="s">
        <v>2226</v>
      </c>
      <c r="I242" s="141" t="s">
        <v>2227</v>
      </c>
      <c r="J242" s="141" t="s">
        <v>2216</v>
      </c>
      <c r="K242" s="141" t="s">
        <v>2216</v>
      </c>
      <c r="L242" s="141" t="s">
        <v>2213</v>
      </c>
      <c r="M242" s="141" t="s">
        <v>2213</v>
      </c>
      <c r="N242" s="141">
        <v>1000</v>
      </c>
      <c r="O242" s="141" t="s">
        <v>2217</v>
      </c>
      <c r="P242" s="141" t="s">
        <v>2213</v>
      </c>
      <c r="Q242" s="141">
        <v>8</v>
      </c>
      <c r="R242" s="141">
        <v>55</v>
      </c>
      <c r="S242" s="141">
        <v>59</v>
      </c>
      <c r="T242" s="236">
        <v>13</v>
      </c>
      <c r="U242" s="141" t="s">
        <v>2218</v>
      </c>
      <c r="V242" s="141" t="s">
        <v>2219</v>
      </c>
      <c r="W242" s="141" t="s">
        <v>2213</v>
      </c>
      <c r="X242" s="141" t="s">
        <v>2213</v>
      </c>
      <c r="Y242" s="141" t="s">
        <v>339</v>
      </c>
      <c r="Z242" s="141" t="s">
        <v>2213</v>
      </c>
      <c r="AA242" s="141">
        <v>1E-3</v>
      </c>
      <c r="AB242" s="141" t="s">
        <v>2213</v>
      </c>
      <c r="AC242" s="141" t="s">
        <v>2213</v>
      </c>
      <c r="AD242" s="141" t="s">
        <v>2213</v>
      </c>
      <c r="AE242" s="141" t="s">
        <v>2213</v>
      </c>
      <c r="AF242" s="236">
        <v>0</v>
      </c>
      <c r="AG242" s="236">
        <v>0</v>
      </c>
      <c r="AH242" s="236" t="s">
        <v>358</v>
      </c>
      <c r="AI242" s="236" t="s">
        <v>2221</v>
      </c>
      <c r="AJ242" s="212" t="s">
        <v>2222</v>
      </c>
      <c r="AK242" s="141" t="s">
        <v>2213</v>
      </c>
      <c r="AL242" s="141" t="s">
        <v>2213</v>
      </c>
      <c r="AM242" s="141" t="s">
        <v>693</v>
      </c>
      <c r="AN242" s="141" t="s">
        <v>2223</v>
      </c>
      <c r="AO242" s="141"/>
      <c r="AP242" s="141"/>
      <c r="AQ242" s="141"/>
      <c r="AR242" s="141"/>
      <c r="AS242" s="141"/>
      <c r="AT242" s="143"/>
      <c r="AU242" s="239"/>
      <c r="AV242" s="141"/>
      <c r="AW242" s="205"/>
      <c r="AX242" s="206"/>
      <c r="AY242" s="245"/>
      <c r="AZ242" s="245"/>
      <c r="BA242" s="245"/>
      <c r="BB242" s="245"/>
    </row>
    <row r="243" spans="1:54" s="213" customFormat="1" ht="30">
      <c r="A243" s="140" t="s">
        <v>6</v>
      </c>
      <c r="B243" s="129">
        <v>241</v>
      </c>
      <c r="C243" s="236" t="s">
        <v>2224</v>
      </c>
      <c r="D243" s="236" t="s">
        <v>3095</v>
      </c>
      <c r="E243" s="241" t="s">
        <v>2228</v>
      </c>
      <c r="F243" s="241" t="s">
        <v>368</v>
      </c>
      <c r="G243" s="141" t="s">
        <v>2213</v>
      </c>
      <c r="H243" s="141" t="s">
        <v>2229</v>
      </c>
      <c r="I243" s="141" t="s">
        <v>384</v>
      </c>
      <c r="J243" s="141" t="s">
        <v>2216</v>
      </c>
      <c r="K243" s="141" t="s">
        <v>2216</v>
      </c>
      <c r="L243" s="141" t="s">
        <v>2213</v>
      </c>
      <c r="M243" s="141" t="s">
        <v>2213</v>
      </c>
      <c r="N243" s="141">
        <v>1000</v>
      </c>
      <c r="O243" s="141" t="s">
        <v>2217</v>
      </c>
      <c r="P243" s="141" t="s">
        <v>2213</v>
      </c>
      <c r="Q243" s="141">
        <v>8</v>
      </c>
      <c r="R243" s="141">
        <v>7</v>
      </c>
      <c r="S243" s="141">
        <v>11</v>
      </c>
      <c r="T243" s="236">
        <v>13</v>
      </c>
      <c r="U243" s="141" t="s">
        <v>2218</v>
      </c>
      <c r="V243" s="141" t="s">
        <v>2219</v>
      </c>
      <c r="W243" s="141" t="s">
        <v>2213</v>
      </c>
      <c r="X243" s="141" t="s">
        <v>2213</v>
      </c>
      <c r="Y243" s="141" t="s">
        <v>339</v>
      </c>
      <c r="Z243" s="141" t="s">
        <v>2213</v>
      </c>
      <c r="AA243" s="141">
        <v>1E-3</v>
      </c>
      <c r="AB243" s="141" t="s">
        <v>2213</v>
      </c>
      <c r="AC243" s="141" t="s">
        <v>2213</v>
      </c>
      <c r="AD243" s="141" t="s">
        <v>2213</v>
      </c>
      <c r="AE243" s="141" t="s">
        <v>2213</v>
      </c>
      <c r="AF243" s="236">
        <v>0</v>
      </c>
      <c r="AG243" s="236">
        <v>0</v>
      </c>
      <c r="AH243" s="236" t="s">
        <v>358</v>
      </c>
      <c r="AI243" s="236" t="s">
        <v>2221</v>
      </c>
      <c r="AJ243" s="212" t="s">
        <v>2222</v>
      </c>
      <c r="AK243" s="141" t="s">
        <v>2213</v>
      </c>
      <c r="AL243" s="141" t="s">
        <v>2213</v>
      </c>
      <c r="AM243" s="141" t="s">
        <v>693</v>
      </c>
      <c r="AN243" s="141" t="s">
        <v>2223</v>
      </c>
      <c r="AO243" s="143"/>
      <c r="AP243" s="143"/>
      <c r="AQ243" s="143"/>
      <c r="AR243" s="143"/>
      <c r="AS243" s="143"/>
      <c r="AT243" s="143"/>
      <c r="AU243" s="239"/>
      <c r="AV243" s="141"/>
      <c r="AW243" s="205"/>
      <c r="AX243" s="206"/>
      <c r="AY243" s="245"/>
      <c r="AZ243" s="245"/>
      <c r="BA243" s="245"/>
      <c r="BB243" s="245"/>
    </row>
    <row r="244" spans="1:54" s="213" customFormat="1" ht="30">
      <c r="A244" s="140" t="s">
        <v>6</v>
      </c>
      <c r="B244" s="129">
        <v>242</v>
      </c>
      <c r="C244" s="236" t="s">
        <v>2224</v>
      </c>
      <c r="D244" s="236" t="s">
        <v>3095</v>
      </c>
      <c r="E244" s="241" t="s">
        <v>369</v>
      </c>
      <c r="F244" s="241" t="s">
        <v>370</v>
      </c>
      <c r="G244" s="141" t="s">
        <v>2213</v>
      </c>
      <c r="H244" s="141" t="s">
        <v>2229</v>
      </c>
      <c r="I244" s="141" t="s">
        <v>384</v>
      </c>
      <c r="J244" s="141" t="s">
        <v>2216</v>
      </c>
      <c r="K244" s="141" t="s">
        <v>2216</v>
      </c>
      <c r="L244" s="141" t="s">
        <v>2213</v>
      </c>
      <c r="M244" s="141" t="s">
        <v>2213</v>
      </c>
      <c r="N244" s="141">
        <v>1000</v>
      </c>
      <c r="O244" s="141" t="s">
        <v>2217</v>
      </c>
      <c r="P244" s="141" t="s">
        <v>2213</v>
      </c>
      <c r="Q244" s="141">
        <v>8</v>
      </c>
      <c r="R244" s="141">
        <v>23</v>
      </c>
      <c r="S244" s="141">
        <v>27</v>
      </c>
      <c r="T244" s="236">
        <v>13</v>
      </c>
      <c r="U244" s="141" t="s">
        <v>2218</v>
      </c>
      <c r="V244" s="141" t="s">
        <v>2219</v>
      </c>
      <c r="W244" s="141" t="s">
        <v>2213</v>
      </c>
      <c r="X244" s="141" t="s">
        <v>2213</v>
      </c>
      <c r="Y244" s="141" t="s">
        <v>339</v>
      </c>
      <c r="Z244" s="141" t="s">
        <v>2213</v>
      </c>
      <c r="AA244" s="141">
        <v>1E-3</v>
      </c>
      <c r="AB244" s="141" t="s">
        <v>2213</v>
      </c>
      <c r="AC244" s="141" t="s">
        <v>2213</v>
      </c>
      <c r="AD244" s="141" t="s">
        <v>2213</v>
      </c>
      <c r="AE244" s="141" t="s">
        <v>2213</v>
      </c>
      <c r="AF244" s="236">
        <v>0</v>
      </c>
      <c r="AG244" s="236">
        <v>0</v>
      </c>
      <c r="AH244" s="236" t="s">
        <v>358</v>
      </c>
      <c r="AI244" s="236" t="s">
        <v>2221</v>
      </c>
      <c r="AJ244" s="212" t="s">
        <v>2222</v>
      </c>
      <c r="AK244" s="141" t="s">
        <v>2213</v>
      </c>
      <c r="AL244" s="141" t="s">
        <v>2213</v>
      </c>
      <c r="AM244" s="141" t="s">
        <v>693</v>
      </c>
      <c r="AN244" s="141" t="s">
        <v>2223</v>
      </c>
      <c r="AO244" s="143"/>
      <c r="AP244" s="143"/>
      <c r="AQ244" s="143"/>
      <c r="AR244" s="143"/>
      <c r="AS244" s="143"/>
      <c r="AT244" s="143"/>
      <c r="AU244" s="239"/>
      <c r="AV244" s="141"/>
      <c r="AW244" s="205"/>
      <c r="AX244" s="206"/>
      <c r="AY244" s="245"/>
      <c r="AZ244" s="245"/>
      <c r="BA244" s="245"/>
      <c r="BB244" s="245"/>
    </row>
    <row r="245" spans="1:54" s="213" customFormat="1" ht="30">
      <c r="A245" s="140" t="s">
        <v>6</v>
      </c>
      <c r="B245" s="129">
        <v>243</v>
      </c>
      <c r="C245" s="236" t="s">
        <v>2224</v>
      </c>
      <c r="D245" s="236" t="s">
        <v>3095</v>
      </c>
      <c r="E245" s="241" t="s">
        <v>371</v>
      </c>
      <c r="F245" s="241" t="s">
        <v>372</v>
      </c>
      <c r="G245" s="141" t="s">
        <v>2213</v>
      </c>
      <c r="H245" s="141" t="s">
        <v>2229</v>
      </c>
      <c r="I245" s="141" t="s">
        <v>384</v>
      </c>
      <c r="J245" s="141" t="s">
        <v>2216</v>
      </c>
      <c r="K245" s="141" t="s">
        <v>2216</v>
      </c>
      <c r="L245" s="141" t="s">
        <v>2213</v>
      </c>
      <c r="M245" s="141" t="s">
        <v>2213</v>
      </c>
      <c r="N245" s="141">
        <v>1000</v>
      </c>
      <c r="O245" s="141" t="s">
        <v>2217</v>
      </c>
      <c r="P245" s="141" t="s">
        <v>2213</v>
      </c>
      <c r="Q245" s="141">
        <v>8</v>
      </c>
      <c r="R245" s="141">
        <v>39</v>
      </c>
      <c r="S245" s="141">
        <v>43</v>
      </c>
      <c r="T245" s="236">
        <v>13</v>
      </c>
      <c r="U245" s="141" t="s">
        <v>2218</v>
      </c>
      <c r="V245" s="141" t="s">
        <v>2219</v>
      </c>
      <c r="W245" s="141" t="s">
        <v>2213</v>
      </c>
      <c r="X245" s="141" t="s">
        <v>2213</v>
      </c>
      <c r="Y245" s="141" t="s">
        <v>339</v>
      </c>
      <c r="Z245" s="141" t="s">
        <v>2213</v>
      </c>
      <c r="AA245" s="141">
        <v>1E-3</v>
      </c>
      <c r="AB245" s="141" t="s">
        <v>2213</v>
      </c>
      <c r="AC245" s="141" t="s">
        <v>2213</v>
      </c>
      <c r="AD245" s="141" t="s">
        <v>2213</v>
      </c>
      <c r="AE245" s="141" t="s">
        <v>2213</v>
      </c>
      <c r="AF245" s="236">
        <v>0</v>
      </c>
      <c r="AG245" s="236">
        <v>0</v>
      </c>
      <c r="AH245" s="236" t="s">
        <v>358</v>
      </c>
      <c r="AI245" s="236" t="s">
        <v>2221</v>
      </c>
      <c r="AJ245" s="212" t="s">
        <v>2222</v>
      </c>
      <c r="AK245" s="141" t="s">
        <v>2213</v>
      </c>
      <c r="AL245" s="141" t="s">
        <v>2213</v>
      </c>
      <c r="AM245" s="141" t="s">
        <v>693</v>
      </c>
      <c r="AN245" s="141" t="s">
        <v>2223</v>
      </c>
      <c r="AO245" s="143"/>
      <c r="AP245" s="143"/>
      <c r="AQ245" s="143"/>
      <c r="AR245" s="143"/>
      <c r="AS245" s="143"/>
      <c r="AT245" s="143"/>
      <c r="AU245" s="239"/>
      <c r="AV245" s="141"/>
      <c r="AW245" s="205"/>
      <c r="AX245" s="206"/>
      <c r="AY245" s="245"/>
      <c r="AZ245" s="245"/>
      <c r="BA245" s="245"/>
      <c r="BB245" s="245"/>
    </row>
    <row r="246" spans="1:54" s="213" customFormat="1" ht="30">
      <c r="A246" s="140" t="s">
        <v>6</v>
      </c>
      <c r="B246" s="129">
        <v>244</v>
      </c>
      <c r="C246" s="236" t="s">
        <v>2224</v>
      </c>
      <c r="D246" s="236" t="s">
        <v>3095</v>
      </c>
      <c r="E246" s="241" t="s">
        <v>373</v>
      </c>
      <c r="F246" s="241" t="s">
        <v>374</v>
      </c>
      <c r="G246" s="141" t="s">
        <v>2213</v>
      </c>
      <c r="H246" s="141" t="s">
        <v>2229</v>
      </c>
      <c r="I246" s="141" t="s">
        <v>384</v>
      </c>
      <c r="J246" s="141" t="s">
        <v>2216</v>
      </c>
      <c r="K246" s="141" t="s">
        <v>2216</v>
      </c>
      <c r="L246" s="141" t="s">
        <v>2213</v>
      </c>
      <c r="M246" s="141" t="s">
        <v>2213</v>
      </c>
      <c r="N246" s="141">
        <v>1000</v>
      </c>
      <c r="O246" s="141" t="s">
        <v>2217</v>
      </c>
      <c r="P246" s="141" t="s">
        <v>2213</v>
      </c>
      <c r="Q246" s="141">
        <v>8</v>
      </c>
      <c r="R246" s="141">
        <v>55</v>
      </c>
      <c r="S246" s="141">
        <v>59</v>
      </c>
      <c r="T246" s="236">
        <v>13</v>
      </c>
      <c r="U246" s="141" t="s">
        <v>2218</v>
      </c>
      <c r="V246" s="141" t="s">
        <v>2219</v>
      </c>
      <c r="W246" s="141" t="s">
        <v>2213</v>
      </c>
      <c r="X246" s="141" t="s">
        <v>2213</v>
      </c>
      <c r="Y246" s="141" t="s">
        <v>339</v>
      </c>
      <c r="Z246" s="141" t="s">
        <v>2213</v>
      </c>
      <c r="AA246" s="141">
        <v>1E-3</v>
      </c>
      <c r="AB246" s="141" t="s">
        <v>2213</v>
      </c>
      <c r="AC246" s="141" t="s">
        <v>2213</v>
      </c>
      <c r="AD246" s="141" t="s">
        <v>2213</v>
      </c>
      <c r="AE246" s="141" t="s">
        <v>2213</v>
      </c>
      <c r="AF246" s="236">
        <v>0</v>
      </c>
      <c r="AG246" s="236">
        <v>0</v>
      </c>
      <c r="AH246" s="236" t="s">
        <v>358</v>
      </c>
      <c r="AI246" s="236" t="s">
        <v>2221</v>
      </c>
      <c r="AJ246" s="212" t="s">
        <v>2222</v>
      </c>
      <c r="AK246" s="141" t="s">
        <v>2213</v>
      </c>
      <c r="AL246" s="141" t="s">
        <v>2213</v>
      </c>
      <c r="AM246" s="141" t="s">
        <v>693</v>
      </c>
      <c r="AN246" s="141" t="s">
        <v>2223</v>
      </c>
      <c r="AO246" s="143"/>
      <c r="AP246" s="143"/>
      <c r="AQ246" s="143"/>
      <c r="AR246" s="143"/>
      <c r="AS246" s="143"/>
      <c r="AT246" s="143"/>
      <c r="AU246" s="239"/>
      <c r="AV246" s="141"/>
      <c r="AW246" s="205"/>
      <c r="AX246" s="206"/>
      <c r="AY246" s="245"/>
      <c r="AZ246" s="245"/>
      <c r="BA246" s="245"/>
      <c r="BB246" s="245"/>
    </row>
    <row r="247" spans="1:54" s="213" customFormat="1" ht="30">
      <c r="A247" s="140" t="s">
        <v>6</v>
      </c>
      <c r="B247" s="129">
        <v>245</v>
      </c>
      <c r="C247" s="236" t="s">
        <v>2224</v>
      </c>
      <c r="D247" s="236" t="s">
        <v>3095</v>
      </c>
      <c r="E247" s="241" t="s">
        <v>375</v>
      </c>
      <c r="F247" s="241" t="s">
        <v>376</v>
      </c>
      <c r="G247" s="141" t="s">
        <v>2213</v>
      </c>
      <c r="H247" s="141" t="s">
        <v>2230</v>
      </c>
      <c r="I247" s="141" t="s">
        <v>400</v>
      </c>
      <c r="J247" s="141" t="s">
        <v>2231</v>
      </c>
      <c r="K247" s="141" t="s">
        <v>2231</v>
      </c>
      <c r="L247" s="141" t="s">
        <v>2232</v>
      </c>
      <c r="M247" s="141" t="s">
        <v>2232</v>
      </c>
      <c r="N247" s="141">
        <v>1000</v>
      </c>
      <c r="O247" s="141" t="s">
        <v>2233</v>
      </c>
      <c r="P247" s="141" t="s">
        <v>2232</v>
      </c>
      <c r="Q247" s="141">
        <v>8</v>
      </c>
      <c r="R247" s="141">
        <v>7</v>
      </c>
      <c r="S247" s="141">
        <v>11</v>
      </c>
      <c r="T247" s="236">
        <v>13</v>
      </c>
      <c r="U247" s="141" t="s">
        <v>2234</v>
      </c>
      <c r="V247" s="141" t="s">
        <v>2235</v>
      </c>
      <c r="W247" s="141" t="s">
        <v>2232</v>
      </c>
      <c r="X247" s="141" t="s">
        <v>2232</v>
      </c>
      <c r="Y247" s="141" t="s">
        <v>339</v>
      </c>
      <c r="Z247" s="141" t="s">
        <v>2232</v>
      </c>
      <c r="AA247" s="141">
        <v>1E-3</v>
      </c>
      <c r="AB247" s="141" t="s">
        <v>2232</v>
      </c>
      <c r="AC247" s="141" t="s">
        <v>2232</v>
      </c>
      <c r="AD247" s="141" t="s">
        <v>2232</v>
      </c>
      <c r="AE247" s="141" t="s">
        <v>2232</v>
      </c>
      <c r="AF247" s="236">
        <v>0</v>
      </c>
      <c r="AG247" s="236">
        <v>0</v>
      </c>
      <c r="AH247" s="236" t="s">
        <v>358</v>
      </c>
      <c r="AI247" s="236" t="s">
        <v>2236</v>
      </c>
      <c r="AJ247" s="212" t="s">
        <v>2237</v>
      </c>
      <c r="AK247" s="141" t="s">
        <v>2232</v>
      </c>
      <c r="AL247" s="141" t="s">
        <v>2232</v>
      </c>
      <c r="AM247" s="141" t="s">
        <v>693</v>
      </c>
      <c r="AN247" s="141" t="s">
        <v>2238</v>
      </c>
      <c r="AO247" s="143"/>
      <c r="AP247" s="143"/>
      <c r="AQ247" s="143"/>
      <c r="AR247" s="143"/>
      <c r="AS247" s="143"/>
      <c r="AT247" s="143"/>
      <c r="AU247" s="239"/>
      <c r="AV247" s="141"/>
      <c r="AW247" s="205"/>
      <c r="AX247" s="206"/>
      <c r="AY247" s="245"/>
      <c r="AZ247" s="245"/>
      <c r="BA247" s="245"/>
      <c r="BB247" s="245"/>
    </row>
    <row r="248" spans="1:54" s="213" customFormat="1" ht="30">
      <c r="A248" s="140" t="s">
        <v>6</v>
      </c>
      <c r="B248" s="129">
        <v>246</v>
      </c>
      <c r="C248" s="236" t="s">
        <v>2239</v>
      </c>
      <c r="D248" s="236" t="s">
        <v>3095</v>
      </c>
      <c r="E248" s="241" t="s">
        <v>377</v>
      </c>
      <c r="F248" s="241" t="s">
        <v>378</v>
      </c>
      <c r="G248" s="141" t="s">
        <v>2232</v>
      </c>
      <c r="H248" s="141" t="s">
        <v>2230</v>
      </c>
      <c r="I248" s="141" t="s">
        <v>400</v>
      </c>
      <c r="J248" s="141" t="s">
        <v>2231</v>
      </c>
      <c r="K248" s="141" t="s">
        <v>2231</v>
      </c>
      <c r="L248" s="141" t="s">
        <v>2232</v>
      </c>
      <c r="M248" s="141" t="s">
        <v>2232</v>
      </c>
      <c r="N248" s="141">
        <v>1000</v>
      </c>
      <c r="O248" s="141" t="s">
        <v>2233</v>
      </c>
      <c r="P248" s="141" t="s">
        <v>2232</v>
      </c>
      <c r="Q248" s="141">
        <v>8</v>
      </c>
      <c r="R248" s="141">
        <v>23</v>
      </c>
      <c r="S248" s="141">
        <v>27</v>
      </c>
      <c r="T248" s="236">
        <v>13</v>
      </c>
      <c r="U248" s="141" t="s">
        <v>2234</v>
      </c>
      <c r="V248" s="141" t="s">
        <v>2235</v>
      </c>
      <c r="W248" s="141" t="s">
        <v>2232</v>
      </c>
      <c r="X248" s="141" t="s">
        <v>2232</v>
      </c>
      <c r="Y248" s="141" t="s">
        <v>339</v>
      </c>
      <c r="Z248" s="141" t="s">
        <v>2232</v>
      </c>
      <c r="AA248" s="141">
        <v>1E-3</v>
      </c>
      <c r="AB248" s="141" t="s">
        <v>2232</v>
      </c>
      <c r="AC248" s="141" t="s">
        <v>2232</v>
      </c>
      <c r="AD248" s="141" t="s">
        <v>2232</v>
      </c>
      <c r="AE248" s="141" t="s">
        <v>2232</v>
      </c>
      <c r="AF248" s="236">
        <v>0</v>
      </c>
      <c r="AG248" s="236">
        <v>0</v>
      </c>
      <c r="AH248" s="236" t="s">
        <v>358</v>
      </c>
      <c r="AI248" s="236" t="s">
        <v>2236</v>
      </c>
      <c r="AJ248" s="212" t="s">
        <v>2237</v>
      </c>
      <c r="AK248" s="141" t="s">
        <v>2232</v>
      </c>
      <c r="AL248" s="141" t="s">
        <v>2232</v>
      </c>
      <c r="AM248" s="141" t="s">
        <v>693</v>
      </c>
      <c r="AN248" s="141" t="s">
        <v>2238</v>
      </c>
      <c r="AO248" s="143"/>
      <c r="AP248" s="143"/>
      <c r="AQ248" s="143"/>
      <c r="AR248" s="143"/>
      <c r="AS248" s="143"/>
      <c r="AT248" s="143"/>
      <c r="AU248" s="239"/>
      <c r="AV248" s="141"/>
      <c r="AW248" s="205"/>
      <c r="AX248" s="206"/>
      <c r="AY248" s="245"/>
      <c r="AZ248" s="245"/>
      <c r="BA248" s="245"/>
      <c r="BB248" s="245"/>
    </row>
    <row r="249" spans="1:54" s="213" customFormat="1" ht="30">
      <c r="A249" s="140" t="s">
        <v>6</v>
      </c>
      <c r="B249" s="129">
        <v>247</v>
      </c>
      <c r="C249" s="236" t="s">
        <v>2239</v>
      </c>
      <c r="D249" s="236" t="s">
        <v>3095</v>
      </c>
      <c r="E249" s="241" t="s">
        <v>379</v>
      </c>
      <c r="F249" s="241" t="s">
        <v>380</v>
      </c>
      <c r="G249" s="141" t="s">
        <v>2232</v>
      </c>
      <c r="H249" s="141" t="s">
        <v>2230</v>
      </c>
      <c r="I249" s="141" t="s">
        <v>400</v>
      </c>
      <c r="J249" s="141" t="s">
        <v>2231</v>
      </c>
      <c r="K249" s="141" t="s">
        <v>2231</v>
      </c>
      <c r="L249" s="141" t="s">
        <v>2232</v>
      </c>
      <c r="M249" s="141" t="s">
        <v>2232</v>
      </c>
      <c r="N249" s="141">
        <v>1000</v>
      </c>
      <c r="O249" s="141" t="s">
        <v>2233</v>
      </c>
      <c r="P249" s="141" t="s">
        <v>2232</v>
      </c>
      <c r="Q249" s="141">
        <v>8</v>
      </c>
      <c r="R249" s="141">
        <v>39</v>
      </c>
      <c r="S249" s="141">
        <v>43</v>
      </c>
      <c r="T249" s="236">
        <v>13</v>
      </c>
      <c r="U249" s="141" t="s">
        <v>2234</v>
      </c>
      <c r="V249" s="141" t="s">
        <v>2235</v>
      </c>
      <c r="W249" s="141" t="s">
        <v>2232</v>
      </c>
      <c r="X249" s="141" t="s">
        <v>2232</v>
      </c>
      <c r="Y249" s="141" t="s">
        <v>339</v>
      </c>
      <c r="Z249" s="141" t="s">
        <v>2232</v>
      </c>
      <c r="AA249" s="141">
        <v>1E-3</v>
      </c>
      <c r="AB249" s="141" t="s">
        <v>2232</v>
      </c>
      <c r="AC249" s="141" t="s">
        <v>2232</v>
      </c>
      <c r="AD249" s="141" t="s">
        <v>2232</v>
      </c>
      <c r="AE249" s="141" t="s">
        <v>2232</v>
      </c>
      <c r="AF249" s="236">
        <v>0</v>
      </c>
      <c r="AG249" s="236">
        <v>0</v>
      </c>
      <c r="AH249" s="236" t="s">
        <v>358</v>
      </c>
      <c r="AI249" s="236" t="s">
        <v>2236</v>
      </c>
      <c r="AJ249" s="212" t="s">
        <v>2237</v>
      </c>
      <c r="AK249" s="141" t="s">
        <v>2232</v>
      </c>
      <c r="AL249" s="141" t="s">
        <v>2232</v>
      </c>
      <c r="AM249" s="141" t="s">
        <v>693</v>
      </c>
      <c r="AN249" s="141" t="s">
        <v>2238</v>
      </c>
      <c r="AO249" s="143"/>
      <c r="AP249" s="143"/>
      <c r="AQ249" s="143"/>
      <c r="AR249" s="143"/>
      <c r="AS249" s="143"/>
      <c r="AT249" s="143"/>
      <c r="AU249" s="239"/>
      <c r="AV249" s="141"/>
      <c r="AW249" s="205"/>
      <c r="AX249" s="206"/>
      <c r="AY249" s="245"/>
      <c r="AZ249" s="245"/>
      <c r="BA249" s="245"/>
      <c r="BB249" s="245"/>
    </row>
    <row r="250" spans="1:54" s="213" customFormat="1" ht="30">
      <c r="A250" s="140" t="s">
        <v>6</v>
      </c>
      <c r="B250" s="129">
        <v>248</v>
      </c>
      <c r="C250" s="236" t="s">
        <v>2239</v>
      </c>
      <c r="D250" s="236" t="s">
        <v>3095</v>
      </c>
      <c r="E250" s="241" t="s">
        <v>381</v>
      </c>
      <c r="F250" s="241" t="s">
        <v>382</v>
      </c>
      <c r="G250" s="141" t="s">
        <v>2232</v>
      </c>
      <c r="H250" s="141" t="s">
        <v>2230</v>
      </c>
      <c r="I250" s="141" t="s">
        <v>400</v>
      </c>
      <c r="J250" s="141" t="s">
        <v>2231</v>
      </c>
      <c r="K250" s="141" t="s">
        <v>2231</v>
      </c>
      <c r="L250" s="141" t="s">
        <v>2232</v>
      </c>
      <c r="M250" s="141" t="s">
        <v>2232</v>
      </c>
      <c r="N250" s="141">
        <v>1000</v>
      </c>
      <c r="O250" s="141" t="s">
        <v>2233</v>
      </c>
      <c r="P250" s="141" t="s">
        <v>2232</v>
      </c>
      <c r="Q250" s="141">
        <v>8</v>
      </c>
      <c r="R250" s="141">
        <v>55</v>
      </c>
      <c r="S250" s="141">
        <v>59</v>
      </c>
      <c r="T250" s="236">
        <v>13</v>
      </c>
      <c r="U250" s="141" t="s">
        <v>2234</v>
      </c>
      <c r="V250" s="141" t="s">
        <v>2235</v>
      </c>
      <c r="W250" s="141" t="s">
        <v>2232</v>
      </c>
      <c r="X250" s="141" t="s">
        <v>2232</v>
      </c>
      <c r="Y250" s="141" t="s">
        <v>339</v>
      </c>
      <c r="Z250" s="141" t="s">
        <v>2232</v>
      </c>
      <c r="AA250" s="141">
        <v>1E-3</v>
      </c>
      <c r="AB250" s="141" t="s">
        <v>2232</v>
      </c>
      <c r="AC250" s="141" t="s">
        <v>2232</v>
      </c>
      <c r="AD250" s="141" t="s">
        <v>2232</v>
      </c>
      <c r="AE250" s="141" t="s">
        <v>2232</v>
      </c>
      <c r="AF250" s="236">
        <v>0</v>
      </c>
      <c r="AG250" s="236">
        <v>0</v>
      </c>
      <c r="AH250" s="236" t="s">
        <v>358</v>
      </c>
      <c r="AI250" s="236" t="s">
        <v>2236</v>
      </c>
      <c r="AJ250" s="212" t="s">
        <v>2237</v>
      </c>
      <c r="AK250" s="141" t="s">
        <v>2232</v>
      </c>
      <c r="AL250" s="141" t="s">
        <v>2232</v>
      </c>
      <c r="AM250" s="141" t="s">
        <v>693</v>
      </c>
      <c r="AN250" s="141" t="s">
        <v>2238</v>
      </c>
      <c r="AO250" s="143"/>
      <c r="AP250" s="143"/>
      <c r="AQ250" s="143"/>
      <c r="AR250" s="143"/>
      <c r="AS250" s="143"/>
      <c r="AT250" s="143"/>
      <c r="AU250" s="239"/>
      <c r="AV250" s="141"/>
      <c r="AW250" s="205"/>
      <c r="AX250" s="206"/>
      <c r="AY250" s="245"/>
      <c r="AZ250" s="245"/>
      <c r="BA250" s="245"/>
      <c r="BB250" s="245"/>
    </row>
    <row r="251" spans="1:54" s="213" customFormat="1" ht="30">
      <c r="A251" s="140" t="s">
        <v>6</v>
      </c>
      <c r="B251" s="129">
        <v>249</v>
      </c>
      <c r="C251" s="236" t="s">
        <v>2239</v>
      </c>
      <c r="D251" s="236" t="s">
        <v>3095</v>
      </c>
      <c r="E251" s="241" t="s">
        <v>2240</v>
      </c>
      <c r="F251" s="241" t="s">
        <v>383</v>
      </c>
      <c r="G251" s="141" t="s">
        <v>2232</v>
      </c>
      <c r="H251" s="169" t="s">
        <v>2241</v>
      </c>
      <c r="I251" s="169" t="s">
        <v>2242</v>
      </c>
      <c r="J251" s="141" t="s">
        <v>2231</v>
      </c>
      <c r="K251" s="141" t="s">
        <v>2231</v>
      </c>
      <c r="L251" s="141" t="s">
        <v>2232</v>
      </c>
      <c r="M251" s="141" t="s">
        <v>2232</v>
      </c>
      <c r="N251" s="141">
        <v>1000</v>
      </c>
      <c r="O251" s="141" t="s">
        <v>2233</v>
      </c>
      <c r="P251" s="141" t="s">
        <v>2232</v>
      </c>
      <c r="Q251" s="141">
        <v>8</v>
      </c>
      <c r="R251" s="141">
        <v>7</v>
      </c>
      <c r="S251" s="141">
        <v>11</v>
      </c>
      <c r="T251" s="236">
        <v>13</v>
      </c>
      <c r="U251" s="141" t="s">
        <v>2234</v>
      </c>
      <c r="V251" s="141" t="s">
        <v>2235</v>
      </c>
      <c r="W251" s="141" t="s">
        <v>2232</v>
      </c>
      <c r="X251" s="141" t="s">
        <v>2232</v>
      </c>
      <c r="Y251" s="141" t="s">
        <v>339</v>
      </c>
      <c r="Z251" s="141" t="s">
        <v>2232</v>
      </c>
      <c r="AA251" s="141">
        <v>1E-3</v>
      </c>
      <c r="AB251" s="141" t="s">
        <v>2232</v>
      </c>
      <c r="AC251" s="141" t="s">
        <v>2232</v>
      </c>
      <c r="AD251" s="141" t="s">
        <v>2232</v>
      </c>
      <c r="AE251" s="141" t="s">
        <v>2232</v>
      </c>
      <c r="AF251" s="236">
        <v>0</v>
      </c>
      <c r="AG251" s="236">
        <v>0</v>
      </c>
      <c r="AH251" s="236" t="s">
        <v>358</v>
      </c>
      <c r="AI251" s="236" t="s">
        <v>2236</v>
      </c>
      <c r="AJ251" s="212" t="s">
        <v>2237</v>
      </c>
      <c r="AK251" s="141" t="s">
        <v>2232</v>
      </c>
      <c r="AL251" s="141" t="s">
        <v>2232</v>
      </c>
      <c r="AM251" s="141" t="s">
        <v>693</v>
      </c>
      <c r="AN251" s="141" t="s">
        <v>2238</v>
      </c>
      <c r="AO251" s="143"/>
      <c r="AP251" s="143"/>
      <c r="AQ251" s="143"/>
      <c r="AR251" s="143"/>
      <c r="AS251" s="143"/>
      <c r="AT251" s="143"/>
      <c r="AU251" s="239"/>
      <c r="AV251" s="141"/>
      <c r="AW251" s="205"/>
      <c r="AX251" s="206"/>
      <c r="AY251" s="245"/>
      <c r="AZ251" s="245"/>
      <c r="BA251" s="245"/>
      <c r="BB251" s="245"/>
    </row>
    <row r="252" spans="1:54" s="213" customFormat="1" ht="30">
      <c r="A252" s="140" t="s">
        <v>6</v>
      </c>
      <c r="B252" s="129">
        <v>250</v>
      </c>
      <c r="C252" s="236" t="s">
        <v>2239</v>
      </c>
      <c r="D252" s="236" t="s">
        <v>3095</v>
      </c>
      <c r="E252" s="241" t="s">
        <v>385</v>
      </c>
      <c r="F252" s="241" t="s">
        <v>386</v>
      </c>
      <c r="G252" s="141" t="s">
        <v>2232</v>
      </c>
      <c r="H252" s="169" t="s">
        <v>2241</v>
      </c>
      <c r="I252" s="169" t="s">
        <v>2242</v>
      </c>
      <c r="J252" s="141" t="s">
        <v>2231</v>
      </c>
      <c r="K252" s="141" t="s">
        <v>2231</v>
      </c>
      <c r="L252" s="141" t="s">
        <v>2232</v>
      </c>
      <c r="M252" s="141" t="s">
        <v>2232</v>
      </c>
      <c r="N252" s="141">
        <v>1000</v>
      </c>
      <c r="O252" s="141" t="s">
        <v>2233</v>
      </c>
      <c r="P252" s="141" t="s">
        <v>2232</v>
      </c>
      <c r="Q252" s="141">
        <v>8</v>
      </c>
      <c r="R252" s="141">
        <v>23</v>
      </c>
      <c r="S252" s="141">
        <v>27</v>
      </c>
      <c r="T252" s="236">
        <v>13</v>
      </c>
      <c r="U252" s="141" t="s">
        <v>2234</v>
      </c>
      <c r="V252" s="141" t="s">
        <v>2235</v>
      </c>
      <c r="W252" s="141" t="s">
        <v>2232</v>
      </c>
      <c r="X252" s="141" t="s">
        <v>2232</v>
      </c>
      <c r="Y252" s="141" t="s">
        <v>339</v>
      </c>
      <c r="Z252" s="141" t="s">
        <v>2232</v>
      </c>
      <c r="AA252" s="141">
        <v>1E-3</v>
      </c>
      <c r="AB252" s="141" t="s">
        <v>2232</v>
      </c>
      <c r="AC252" s="141" t="s">
        <v>2232</v>
      </c>
      <c r="AD252" s="141" t="s">
        <v>2232</v>
      </c>
      <c r="AE252" s="141" t="s">
        <v>2232</v>
      </c>
      <c r="AF252" s="236">
        <v>0</v>
      </c>
      <c r="AG252" s="236">
        <v>0</v>
      </c>
      <c r="AH252" s="236" t="s">
        <v>358</v>
      </c>
      <c r="AI252" s="236" t="s">
        <v>2236</v>
      </c>
      <c r="AJ252" s="212" t="s">
        <v>2237</v>
      </c>
      <c r="AK252" s="141" t="s">
        <v>2232</v>
      </c>
      <c r="AL252" s="141" t="s">
        <v>2232</v>
      </c>
      <c r="AM252" s="141" t="s">
        <v>693</v>
      </c>
      <c r="AN252" s="141" t="s">
        <v>2238</v>
      </c>
      <c r="AO252" s="143"/>
      <c r="AP252" s="143"/>
      <c r="AQ252" s="143"/>
      <c r="AR252" s="143"/>
      <c r="AS252" s="143"/>
      <c r="AT252" s="143"/>
      <c r="AU252" s="239"/>
      <c r="AV252" s="141"/>
      <c r="AW252" s="205"/>
      <c r="AX252" s="206"/>
      <c r="AY252" s="245"/>
      <c r="AZ252" s="245"/>
      <c r="BA252" s="245"/>
      <c r="BB252" s="245"/>
    </row>
    <row r="253" spans="1:54" s="213" customFormat="1" ht="30">
      <c r="A253" s="140" t="s">
        <v>6</v>
      </c>
      <c r="B253" s="129">
        <v>251</v>
      </c>
      <c r="C253" s="236" t="s">
        <v>2239</v>
      </c>
      <c r="D253" s="236" t="s">
        <v>3095</v>
      </c>
      <c r="E253" s="241" t="s">
        <v>387</v>
      </c>
      <c r="F253" s="241" t="s">
        <v>388</v>
      </c>
      <c r="G253" s="141" t="s">
        <v>2232</v>
      </c>
      <c r="H253" s="169" t="s">
        <v>2241</v>
      </c>
      <c r="I253" s="169" t="s">
        <v>2242</v>
      </c>
      <c r="J253" s="141" t="s">
        <v>2231</v>
      </c>
      <c r="K253" s="141" t="s">
        <v>2231</v>
      </c>
      <c r="L253" s="141" t="s">
        <v>2232</v>
      </c>
      <c r="M253" s="141" t="s">
        <v>2232</v>
      </c>
      <c r="N253" s="141">
        <v>1000</v>
      </c>
      <c r="O253" s="141" t="s">
        <v>2233</v>
      </c>
      <c r="P253" s="141" t="s">
        <v>2232</v>
      </c>
      <c r="Q253" s="141">
        <v>8</v>
      </c>
      <c r="R253" s="141">
        <v>39</v>
      </c>
      <c r="S253" s="141">
        <v>43</v>
      </c>
      <c r="T253" s="236">
        <v>13</v>
      </c>
      <c r="U253" s="141" t="s">
        <v>2234</v>
      </c>
      <c r="V253" s="141" t="s">
        <v>2235</v>
      </c>
      <c r="W253" s="141" t="s">
        <v>2232</v>
      </c>
      <c r="X253" s="141" t="s">
        <v>2232</v>
      </c>
      <c r="Y253" s="141" t="s">
        <v>339</v>
      </c>
      <c r="Z253" s="141" t="s">
        <v>2232</v>
      </c>
      <c r="AA253" s="141">
        <v>1E-3</v>
      </c>
      <c r="AB253" s="141" t="s">
        <v>2232</v>
      </c>
      <c r="AC253" s="141" t="s">
        <v>2232</v>
      </c>
      <c r="AD253" s="141" t="s">
        <v>2232</v>
      </c>
      <c r="AE253" s="141" t="s">
        <v>2232</v>
      </c>
      <c r="AF253" s="236">
        <v>0</v>
      </c>
      <c r="AG253" s="236">
        <v>0</v>
      </c>
      <c r="AH253" s="236" t="s">
        <v>358</v>
      </c>
      <c r="AI253" s="236" t="s">
        <v>2236</v>
      </c>
      <c r="AJ253" s="212" t="s">
        <v>2237</v>
      </c>
      <c r="AK253" s="141" t="s">
        <v>2232</v>
      </c>
      <c r="AL253" s="141" t="s">
        <v>2232</v>
      </c>
      <c r="AM253" s="141" t="s">
        <v>693</v>
      </c>
      <c r="AN253" s="141" t="s">
        <v>2238</v>
      </c>
      <c r="AO253" s="143"/>
      <c r="AP253" s="143"/>
      <c r="AQ253" s="143"/>
      <c r="AR253" s="143"/>
      <c r="AS253" s="143"/>
      <c r="AT253" s="143"/>
      <c r="AU253" s="239"/>
      <c r="AV253" s="141"/>
      <c r="AW253" s="205"/>
      <c r="AX253" s="206"/>
      <c r="AY253" s="245"/>
      <c r="AZ253" s="245"/>
      <c r="BA253" s="245"/>
      <c r="BB253" s="245"/>
    </row>
    <row r="254" spans="1:54" s="213" customFormat="1" ht="30">
      <c r="A254" s="140" t="s">
        <v>6</v>
      </c>
      <c r="B254" s="129">
        <v>252</v>
      </c>
      <c r="C254" s="236" t="s">
        <v>931</v>
      </c>
      <c r="D254" s="236" t="s">
        <v>3095</v>
      </c>
      <c r="E254" s="241" t="s">
        <v>389</v>
      </c>
      <c r="F254" s="241" t="s">
        <v>390</v>
      </c>
      <c r="G254" s="141" t="s">
        <v>665</v>
      </c>
      <c r="H254" s="169" t="s">
        <v>1219</v>
      </c>
      <c r="I254" s="169" t="s">
        <v>2243</v>
      </c>
      <c r="J254" s="141" t="s">
        <v>815</v>
      </c>
      <c r="K254" s="141" t="s">
        <v>815</v>
      </c>
      <c r="L254" s="141" t="s">
        <v>665</v>
      </c>
      <c r="M254" s="141" t="s">
        <v>665</v>
      </c>
      <c r="N254" s="141">
        <v>1000</v>
      </c>
      <c r="O254" s="141" t="s">
        <v>930</v>
      </c>
      <c r="P254" s="141" t="s">
        <v>665</v>
      </c>
      <c r="Q254" s="141">
        <v>8</v>
      </c>
      <c r="R254" s="141">
        <v>55</v>
      </c>
      <c r="S254" s="141">
        <v>59</v>
      </c>
      <c r="T254" s="236">
        <v>13</v>
      </c>
      <c r="U254" s="141" t="s">
        <v>88</v>
      </c>
      <c r="V254" s="141" t="s">
        <v>91</v>
      </c>
      <c r="W254" s="141" t="s">
        <v>665</v>
      </c>
      <c r="X254" s="141" t="s">
        <v>665</v>
      </c>
      <c r="Y254" s="141" t="s">
        <v>339</v>
      </c>
      <c r="Z254" s="141" t="s">
        <v>665</v>
      </c>
      <c r="AA254" s="141">
        <v>1E-3</v>
      </c>
      <c r="AB254" s="141" t="s">
        <v>665</v>
      </c>
      <c r="AC254" s="141" t="s">
        <v>665</v>
      </c>
      <c r="AD254" s="141" t="s">
        <v>665</v>
      </c>
      <c r="AE254" s="141" t="s">
        <v>665</v>
      </c>
      <c r="AF254" s="236">
        <v>0</v>
      </c>
      <c r="AG254" s="236">
        <v>0</v>
      </c>
      <c r="AH254" s="236" t="s">
        <v>358</v>
      </c>
      <c r="AI254" s="236" t="s">
        <v>133</v>
      </c>
      <c r="AJ254" s="212" t="s">
        <v>2244</v>
      </c>
      <c r="AK254" s="141" t="s">
        <v>665</v>
      </c>
      <c r="AL254" s="141" t="s">
        <v>665</v>
      </c>
      <c r="AM254" s="141" t="s">
        <v>693</v>
      </c>
      <c r="AN254" s="141" t="s">
        <v>1197</v>
      </c>
      <c r="AO254" s="143"/>
      <c r="AP254" s="143"/>
      <c r="AQ254" s="143"/>
      <c r="AR254" s="143"/>
      <c r="AS254" s="143"/>
      <c r="AT254" s="143"/>
      <c r="AU254" s="239"/>
      <c r="AV254" s="141"/>
      <c r="AW254" s="205"/>
      <c r="AX254" s="206"/>
      <c r="AY254" s="245"/>
      <c r="AZ254" s="245"/>
      <c r="BA254" s="245"/>
      <c r="BB254" s="245"/>
    </row>
    <row r="255" spans="1:54" s="213" customFormat="1" ht="30">
      <c r="A255" s="140" t="s">
        <v>6</v>
      </c>
      <c r="B255" s="129">
        <v>253</v>
      </c>
      <c r="C255" s="236" t="s">
        <v>931</v>
      </c>
      <c r="D255" s="236" t="s">
        <v>3095</v>
      </c>
      <c r="E255" s="241" t="s">
        <v>391</v>
      </c>
      <c r="F255" s="241" t="s">
        <v>392</v>
      </c>
      <c r="G255" s="141" t="s">
        <v>665</v>
      </c>
      <c r="H255" s="169" t="s">
        <v>2245</v>
      </c>
      <c r="I255" s="169" t="s">
        <v>2246</v>
      </c>
      <c r="J255" s="141" t="s">
        <v>815</v>
      </c>
      <c r="K255" s="141" t="s">
        <v>815</v>
      </c>
      <c r="L255" s="141" t="s">
        <v>665</v>
      </c>
      <c r="M255" s="141" t="s">
        <v>665</v>
      </c>
      <c r="N255" s="141">
        <v>1000</v>
      </c>
      <c r="O255" s="141" t="s">
        <v>930</v>
      </c>
      <c r="P255" s="141" t="s">
        <v>665</v>
      </c>
      <c r="Q255" s="141">
        <v>8</v>
      </c>
      <c r="R255" s="141">
        <v>7</v>
      </c>
      <c r="S255" s="141">
        <v>11</v>
      </c>
      <c r="T255" s="236">
        <v>13</v>
      </c>
      <c r="U255" s="141" t="s">
        <v>88</v>
      </c>
      <c r="V255" s="141" t="s">
        <v>91</v>
      </c>
      <c r="W255" s="141" t="s">
        <v>665</v>
      </c>
      <c r="X255" s="141" t="s">
        <v>665</v>
      </c>
      <c r="Y255" s="141" t="s">
        <v>339</v>
      </c>
      <c r="Z255" s="141" t="s">
        <v>665</v>
      </c>
      <c r="AA255" s="141">
        <v>1E-3</v>
      </c>
      <c r="AB255" s="141" t="s">
        <v>665</v>
      </c>
      <c r="AC255" s="141" t="s">
        <v>665</v>
      </c>
      <c r="AD255" s="141" t="s">
        <v>665</v>
      </c>
      <c r="AE255" s="141" t="s">
        <v>665</v>
      </c>
      <c r="AF255" s="236">
        <v>0</v>
      </c>
      <c r="AG255" s="236">
        <v>0</v>
      </c>
      <c r="AH255" s="236" t="s">
        <v>358</v>
      </c>
      <c r="AI255" s="236" t="s">
        <v>133</v>
      </c>
      <c r="AJ255" s="212" t="s">
        <v>2244</v>
      </c>
      <c r="AK255" s="141" t="s">
        <v>665</v>
      </c>
      <c r="AL255" s="141" t="s">
        <v>665</v>
      </c>
      <c r="AM255" s="141" t="s">
        <v>693</v>
      </c>
      <c r="AN255" s="141" t="s">
        <v>1197</v>
      </c>
      <c r="AO255" s="143"/>
      <c r="AP255" s="143"/>
      <c r="AQ255" s="143"/>
      <c r="AR255" s="143"/>
      <c r="AS255" s="143"/>
      <c r="AT255" s="143"/>
      <c r="AU255" s="239"/>
      <c r="AV255" s="141"/>
      <c r="AW255" s="205"/>
      <c r="AX255" s="206"/>
      <c r="AY255" s="245"/>
      <c r="AZ255" s="245"/>
      <c r="BA255" s="245"/>
      <c r="BB255" s="245"/>
    </row>
    <row r="256" spans="1:54" s="213" customFormat="1" ht="30">
      <c r="A256" s="140" t="s">
        <v>6</v>
      </c>
      <c r="B256" s="129">
        <v>254</v>
      </c>
      <c r="C256" s="236" t="s">
        <v>931</v>
      </c>
      <c r="D256" s="236" t="s">
        <v>3095</v>
      </c>
      <c r="E256" s="241" t="s">
        <v>393</v>
      </c>
      <c r="F256" s="241" t="s">
        <v>394</v>
      </c>
      <c r="G256" s="141" t="s">
        <v>665</v>
      </c>
      <c r="H256" s="169" t="s">
        <v>2245</v>
      </c>
      <c r="I256" s="169" t="s">
        <v>2246</v>
      </c>
      <c r="J256" s="141" t="s">
        <v>815</v>
      </c>
      <c r="K256" s="141" t="s">
        <v>815</v>
      </c>
      <c r="L256" s="141" t="s">
        <v>665</v>
      </c>
      <c r="M256" s="141" t="s">
        <v>665</v>
      </c>
      <c r="N256" s="141">
        <v>1000</v>
      </c>
      <c r="O256" s="141" t="s">
        <v>930</v>
      </c>
      <c r="P256" s="141" t="s">
        <v>665</v>
      </c>
      <c r="Q256" s="141">
        <v>8</v>
      </c>
      <c r="R256" s="141">
        <v>23</v>
      </c>
      <c r="S256" s="141">
        <v>27</v>
      </c>
      <c r="T256" s="236">
        <v>13</v>
      </c>
      <c r="U256" s="141" t="s">
        <v>88</v>
      </c>
      <c r="V256" s="141" t="s">
        <v>91</v>
      </c>
      <c r="W256" s="141" t="s">
        <v>665</v>
      </c>
      <c r="X256" s="141" t="s">
        <v>665</v>
      </c>
      <c r="Y256" s="141" t="s">
        <v>339</v>
      </c>
      <c r="Z256" s="141" t="s">
        <v>665</v>
      </c>
      <c r="AA256" s="141">
        <v>1E-3</v>
      </c>
      <c r="AB256" s="141" t="s">
        <v>665</v>
      </c>
      <c r="AC256" s="141" t="s">
        <v>665</v>
      </c>
      <c r="AD256" s="141" t="s">
        <v>665</v>
      </c>
      <c r="AE256" s="141" t="s">
        <v>665</v>
      </c>
      <c r="AF256" s="236">
        <v>0</v>
      </c>
      <c r="AG256" s="236">
        <v>0</v>
      </c>
      <c r="AH256" s="236" t="s">
        <v>358</v>
      </c>
      <c r="AI256" s="236" t="s">
        <v>133</v>
      </c>
      <c r="AJ256" s="212" t="s">
        <v>2244</v>
      </c>
      <c r="AK256" s="141" t="s">
        <v>665</v>
      </c>
      <c r="AL256" s="141" t="s">
        <v>665</v>
      </c>
      <c r="AM256" s="141" t="s">
        <v>693</v>
      </c>
      <c r="AN256" s="141" t="s">
        <v>1197</v>
      </c>
      <c r="AO256" s="143"/>
      <c r="AP256" s="143"/>
      <c r="AQ256" s="143"/>
      <c r="AR256" s="143"/>
      <c r="AS256" s="143"/>
      <c r="AT256" s="143"/>
      <c r="AU256" s="239"/>
      <c r="AV256" s="141"/>
      <c r="AW256" s="205"/>
      <c r="AX256" s="206"/>
      <c r="AY256" s="245"/>
      <c r="AZ256" s="245"/>
      <c r="BA256" s="245"/>
      <c r="BB256" s="245"/>
    </row>
    <row r="257" spans="1:54" s="213" customFormat="1" ht="30">
      <c r="A257" s="140" t="s">
        <v>6</v>
      </c>
      <c r="B257" s="129">
        <v>255</v>
      </c>
      <c r="C257" s="236" t="s">
        <v>931</v>
      </c>
      <c r="D257" s="236" t="s">
        <v>3095</v>
      </c>
      <c r="E257" s="241" t="s">
        <v>395</v>
      </c>
      <c r="F257" s="241" t="s">
        <v>396</v>
      </c>
      <c r="G257" s="141" t="s">
        <v>665</v>
      </c>
      <c r="H257" s="169" t="s">
        <v>2245</v>
      </c>
      <c r="I257" s="169" t="s">
        <v>2246</v>
      </c>
      <c r="J257" s="141" t="s">
        <v>815</v>
      </c>
      <c r="K257" s="141" t="s">
        <v>815</v>
      </c>
      <c r="L257" s="141" t="s">
        <v>665</v>
      </c>
      <c r="M257" s="141" t="s">
        <v>665</v>
      </c>
      <c r="N257" s="141">
        <v>1000</v>
      </c>
      <c r="O257" s="141" t="s">
        <v>930</v>
      </c>
      <c r="P257" s="141" t="s">
        <v>665</v>
      </c>
      <c r="Q257" s="141">
        <v>8</v>
      </c>
      <c r="R257" s="141">
        <v>39</v>
      </c>
      <c r="S257" s="141">
        <v>43</v>
      </c>
      <c r="T257" s="236">
        <v>13</v>
      </c>
      <c r="U257" s="141" t="s">
        <v>88</v>
      </c>
      <c r="V257" s="141" t="s">
        <v>91</v>
      </c>
      <c r="W257" s="141" t="s">
        <v>665</v>
      </c>
      <c r="X257" s="141" t="s">
        <v>665</v>
      </c>
      <c r="Y257" s="141" t="s">
        <v>339</v>
      </c>
      <c r="Z257" s="141" t="s">
        <v>665</v>
      </c>
      <c r="AA257" s="141">
        <v>1E-3</v>
      </c>
      <c r="AB257" s="141" t="s">
        <v>665</v>
      </c>
      <c r="AC257" s="141" t="s">
        <v>665</v>
      </c>
      <c r="AD257" s="141" t="s">
        <v>665</v>
      </c>
      <c r="AE257" s="141" t="s">
        <v>665</v>
      </c>
      <c r="AF257" s="236">
        <v>0</v>
      </c>
      <c r="AG257" s="236">
        <v>0</v>
      </c>
      <c r="AH257" s="236" t="s">
        <v>358</v>
      </c>
      <c r="AI257" s="236" t="s">
        <v>133</v>
      </c>
      <c r="AJ257" s="212" t="s">
        <v>2244</v>
      </c>
      <c r="AK257" s="141" t="s">
        <v>665</v>
      </c>
      <c r="AL257" s="141" t="s">
        <v>665</v>
      </c>
      <c r="AM257" s="141" t="s">
        <v>2631</v>
      </c>
      <c r="AN257" s="141" t="s">
        <v>1197</v>
      </c>
      <c r="AO257" s="143"/>
      <c r="AP257" s="143"/>
      <c r="AQ257" s="143"/>
      <c r="AR257" s="143"/>
      <c r="AS257" s="143"/>
      <c r="AT257" s="143"/>
      <c r="AU257" s="239"/>
      <c r="AV257" s="141"/>
      <c r="AW257" s="205"/>
      <c r="AX257" s="206"/>
      <c r="AY257" s="245"/>
      <c r="AZ257" s="245"/>
      <c r="BA257" s="245"/>
      <c r="BB257" s="245"/>
    </row>
    <row r="258" spans="1:54" s="213" customFormat="1" ht="30">
      <c r="A258" s="140" t="s">
        <v>6</v>
      </c>
      <c r="B258" s="129">
        <v>256</v>
      </c>
      <c r="C258" s="236" t="s">
        <v>931</v>
      </c>
      <c r="D258" s="236" t="s">
        <v>3095</v>
      </c>
      <c r="E258" s="241" t="s">
        <v>397</v>
      </c>
      <c r="F258" s="241" t="s">
        <v>398</v>
      </c>
      <c r="G258" s="141" t="s">
        <v>665</v>
      </c>
      <c r="H258" s="169" t="s">
        <v>2245</v>
      </c>
      <c r="I258" s="169" t="s">
        <v>2246</v>
      </c>
      <c r="J258" s="141" t="s">
        <v>815</v>
      </c>
      <c r="K258" s="141" t="s">
        <v>815</v>
      </c>
      <c r="L258" s="141" t="s">
        <v>665</v>
      </c>
      <c r="M258" s="141" t="s">
        <v>665</v>
      </c>
      <c r="N258" s="141">
        <v>1000</v>
      </c>
      <c r="O258" s="141" t="s">
        <v>930</v>
      </c>
      <c r="P258" s="141" t="s">
        <v>665</v>
      </c>
      <c r="Q258" s="141">
        <v>8</v>
      </c>
      <c r="R258" s="141">
        <v>55</v>
      </c>
      <c r="S258" s="141">
        <v>59</v>
      </c>
      <c r="T258" s="236">
        <v>13</v>
      </c>
      <c r="U258" s="141" t="s">
        <v>88</v>
      </c>
      <c r="V258" s="141" t="s">
        <v>91</v>
      </c>
      <c r="W258" s="141" t="s">
        <v>665</v>
      </c>
      <c r="X258" s="141" t="s">
        <v>665</v>
      </c>
      <c r="Y258" s="141" t="s">
        <v>339</v>
      </c>
      <c r="Z258" s="141" t="s">
        <v>665</v>
      </c>
      <c r="AA258" s="141">
        <v>1E-3</v>
      </c>
      <c r="AB258" s="141" t="s">
        <v>665</v>
      </c>
      <c r="AC258" s="141" t="s">
        <v>665</v>
      </c>
      <c r="AD258" s="141" t="s">
        <v>665</v>
      </c>
      <c r="AE258" s="141" t="s">
        <v>665</v>
      </c>
      <c r="AF258" s="236">
        <v>0</v>
      </c>
      <c r="AG258" s="236">
        <v>0</v>
      </c>
      <c r="AH258" s="236" t="s">
        <v>358</v>
      </c>
      <c r="AI258" s="236" t="s">
        <v>133</v>
      </c>
      <c r="AJ258" s="212" t="s">
        <v>2244</v>
      </c>
      <c r="AK258" s="141" t="s">
        <v>665</v>
      </c>
      <c r="AL258" s="141" t="s">
        <v>665</v>
      </c>
      <c r="AM258" s="141" t="s">
        <v>2631</v>
      </c>
      <c r="AN258" s="141" t="s">
        <v>1197</v>
      </c>
      <c r="AO258" s="143"/>
      <c r="AP258" s="143"/>
      <c r="AQ258" s="143"/>
      <c r="AR258" s="143"/>
      <c r="AS258" s="143"/>
      <c r="AT258" s="143"/>
      <c r="AU258" s="239"/>
      <c r="AV258" s="141"/>
      <c r="AW258" s="205"/>
      <c r="AX258" s="206"/>
      <c r="AY258" s="245"/>
      <c r="AZ258" s="245"/>
      <c r="BA258" s="245"/>
      <c r="BB258" s="245"/>
    </row>
    <row r="259" spans="1:54" s="213" customFormat="1" ht="30">
      <c r="A259" s="140" t="s">
        <v>6</v>
      </c>
      <c r="B259" s="129">
        <v>257</v>
      </c>
      <c r="C259" s="236" t="s">
        <v>931</v>
      </c>
      <c r="D259" s="236" t="s">
        <v>3095</v>
      </c>
      <c r="E259" s="241" t="s">
        <v>1217</v>
      </c>
      <c r="F259" s="241" t="s">
        <v>399</v>
      </c>
      <c r="G259" s="141" t="s">
        <v>665</v>
      </c>
      <c r="H259" s="169" t="s">
        <v>2247</v>
      </c>
      <c r="I259" s="169" t="s">
        <v>2248</v>
      </c>
      <c r="J259" s="141" t="s">
        <v>815</v>
      </c>
      <c r="K259" s="141" t="s">
        <v>815</v>
      </c>
      <c r="L259" s="141" t="s">
        <v>665</v>
      </c>
      <c r="M259" s="141" t="s">
        <v>665</v>
      </c>
      <c r="N259" s="141">
        <v>1000</v>
      </c>
      <c r="O259" s="141" t="s">
        <v>930</v>
      </c>
      <c r="P259" s="141" t="s">
        <v>665</v>
      </c>
      <c r="Q259" s="141">
        <v>8</v>
      </c>
      <c r="R259" s="141">
        <v>7</v>
      </c>
      <c r="S259" s="141">
        <v>11</v>
      </c>
      <c r="T259" s="236">
        <v>13</v>
      </c>
      <c r="U259" s="141" t="s">
        <v>88</v>
      </c>
      <c r="V259" s="141" t="s">
        <v>91</v>
      </c>
      <c r="W259" s="141" t="s">
        <v>665</v>
      </c>
      <c r="X259" s="141" t="s">
        <v>665</v>
      </c>
      <c r="Y259" s="141" t="s">
        <v>339</v>
      </c>
      <c r="Z259" s="141" t="s">
        <v>665</v>
      </c>
      <c r="AA259" s="141">
        <v>1E-3</v>
      </c>
      <c r="AB259" s="141" t="s">
        <v>665</v>
      </c>
      <c r="AC259" s="141" t="s">
        <v>665</v>
      </c>
      <c r="AD259" s="141" t="s">
        <v>665</v>
      </c>
      <c r="AE259" s="141" t="s">
        <v>665</v>
      </c>
      <c r="AF259" s="236">
        <v>0</v>
      </c>
      <c r="AG259" s="236">
        <v>0</v>
      </c>
      <c r="AH259" s="236" t="s">
        <v>358</v>
      </c>
      <c r="AI259" s="236" t="s">
        <v>133</v>
      </c>
      <c r="AJ259" s="212" t="s">
        <v>2244</v>
      </c>
      <c r="AK259" s="141" t="s">
        <v>665</v>
      </c>
      <c r="AL259" s="141" t="s">
        <v>665</v>
      </c>
      <c r="AM259" s="141" t="s">
        <v>2631</v>
      </c>
      <c r="AN259" s="141" t="s">
        <v>1197</v>
      </c>
      <c r="AO259" s="143"/>
      <c r="AP259" s="143"/>
      <c r="AQ259" s="143"/>
      <c r="AR259" s="143"/>
      <c r="AS259" s="143"/>
      <c r="AT259" s="143"/>
      <c r="AU259" s="239"/>
      <c r="AV259" s="141"/>
      <c r="AW259" s="205"/>
      <c r="AX259" s="206"/>
      <c r="AY259" s="245"/>
      <c r="AZ259" s="245"/>
      <c r="BA259" s="245"/>
      <c r="BB259" s="245"/>
    </row>
    <row r="260" spans="1:54" s="213" customFormat="1" ht="30">
      <c r="A260" s="140" t="s">
        <v>6</v>
      </c>
      <c r="B260" s="129">
        <v>258</v>
      </c>
      <c r="C260" s="236" t="s">
        <v>931</v>
      </c>
      <c r="D260" s="236" t="s">
        <v>3095</v>
      </c>
      <c r="E260" s="241" t="s">
        <v>401</v>
      </c>
      <c r="F260" s="241" t="s">
        <v>402</v>
      </c>
      <c r="G260" s="141" t="s">
        <v>665</v>
      </c>
      <c r="H260" s="169" t="s">
        <v>2247</v>
      </c>
      <c r="I260" s="169" t="s">
        <v>2248</v>
      </c>
      <c r="J260" s="141" t="s">
        <v>815</v>
      </c>
      <c r="K260" s="141" t="s">
        <v>815</v>
      </c>
      <c r="L260" s="141" t="s">
        <v>665</v>
      </c>
      <c r="M260" s="141" t="s">
        <v>665</v>
      </c>
      <c r="N260" s="141">
        <v>1000</v>
      </c>
      <c r="O260" s="141" t="s">
        <v>930</v>
      </c>
      <c r="P260" s="141" t="s">
        <v>665</v>
      </c>
      <c r="Q260" s="141">
        <v>8</v>
      </c>
      <c r="R260" s="141">
        <v>23</v>
      </c>
      <c r="S260" s="141">
        <v>27</v>
      </c>
      <c r="T260" s="236">
        <v>13</v>
      </c>
      <c r="U260" s="141" t="s">
        <v>88</v>
      </c>
      <c r="V260" s="141" t="s">
        <v>91</v>
      </c>
      <c r="W260" s="141" t="s">
        <v>665</v>
      </c>
      <c r="X260" s="141" t="s">
        <v>665</v>
      </c>
      <c r="Y260" s="141" t="s">
        <v>339</v>
      </c>
      <c r="Z260" s="141" t="s">
        <v>665</v>
      </c>
      <c r="AA260" s="141">
        <v>1E-3</v>
      </c>
      <c r="AB260" s="141" t="s">
        <v>665</v>
      </c>
      <c r="AC260" s="141" t="s">
        <v>665</v>
      </c>
      <c r="AD260" s="141" t="s">
        <v>665</v>
      </c>
      <c r="AE260" s="141" t="s">
        <v>665</v>
      </c>
      <c r="AF260" s="236">
        <v>0</v>
      </c>
      <c r="AG260" s="236">
        <v>0</v>
      </c>
      <c r="AH260" s="236" t="s">
        <v>358</v>
      </c>
      <c r="AI260" s="236" t="s">
        <v>133</v>
      </c>
      <c r="AJ260" s="212" t="s">
        <v>2244</v>
      </c>
      <c r="AK260" s="141" t="s">
        <v>665</v>
      </c>
      <c r="AL260" s="141" t="s">
        <v>665</v>
      </c>
      <c r="AM260" s="141" t="s">
        <v>2631</v>
      </c>
      <c r="AN260" s="141" t="s">
        <v>1197</v>
      </c>
      <c r="AO260" s="143"/>
      <c r="AP260" s="143"/>
      <c r="AQ260" s="143"/>
      <c r="AR260" s="143"/>
      <c r="AS260" s="143"/>
      <c r="AT260" s="143"/>
      <c r="AU260" s="239"/>
      <c r="AV260" s="141"/>
      <c r="AW260" s="205"/>
      <c r="AX260" s="206"/>
      <c r="AY260" s="245"/>
      <c r="AZ260" s="245"/>
      <c r="BA260" s="245"/>
      <c r="BB260" s="245"/>
    </row>
    <row r="261" spans="1:54" s="213" customFormat="1" ht="30">
      <c r="A261" s="140" t="s">
        <v>6</v>
      </c>
      <c r="B261" s="129">
        <v>259</v>
      </c>
      <c r="C261" s="236" t="s">
        <v>931</v>
      </c>
      <c r="D261" s="236" t="s">
        <v>3095</v>
      </c>
      <c r="E261" s="241" t="s">
        <v>403</v>
      </c>
      <c r="F261" s="241" t="s">
        <v>404</v>
      </c>
      <c r="G261" s="141" t="s">
        <v>665</v>
      </c>
      <c r="H261" s="169" t="s">
        <v>2247</v>
      </c>
      <c r="I261" s="169" t="s">
        <v>2248</v>
      </c>
      <c r="J261" s="141" t="s">
        <v>815</v>
      </c>
      <c r="K261" s="141" t="s">
        <v>815</v>
      </c>
      <c r="L261" s="141" t="s">
        <v>665</v>
      </c>
      <c r="M261" s="141" t="s">
        <v>665</v>
      </c>
      <c r="N261" s="141">
        <v>1000</v>
      </c>
      <c r="O261" s="141" t="s">
        <v>930</v>
      </c>
      <c r="P261" s="141" t="s">
        <v>665</v>
      </c>
      <c r="Q261" s="141">
        <v>8</v>
      </c>
      <c r="R261" s="141">
        <v>39</v>
      </c>
      <c r="S261" s="141">
        <v>43</v>
      </c>
      <c r="T261" s="236">
        <v>13</v>
      </c>
      <c r="U261" s="141" t="s">
        <v>88</v>
      </c>
      <c r="V261" s="141" t="s">
        <v>91</v>
      </c>
      <c r="W261" s="141" t="s">
        <v>665</v>
      </c>
      <c r="X261" s="141" t="s">
        <v>665</v>
      </c>
      <c r="Y261" s="141" t="s">
        <v>339</v>
      </c>
      <c r="Z261" s="141" t="s">
        <v>665</v>
      </c>
      <c r="AA261" s="141">
        <v>1E-3</v>
      </c>
      <c r="AB261" s="141" t="s">
        <v>665</v>
      </c>
      <c r="AC261" s="141" t="s">
        <v>665</v>
      </c>
      <c r="AD261" s="141" t="s">
        <v>665</v>
      </c>
      <c r="AE261" s="141" t="s">
        <v>665</v>
      </c>
      <c r="AF261" s="236">
        <v>0</v>
      </c>
      <c r="AG261" s="236">
        <v>0</v>
      </c>
      <c r="AH261" s="236" t="s">
        <v>358</v>
      </c>
      <c r="AI261" s="236" t="s">
        <v>133</v>
      </c>
      <c r="AJ261" s="212" t="s">
        <v>2244</v>
      </c>
      <c r="AK261" s="141" t="s">
        <v>665</v>
      </c>
      <c r="AL261" s="141" t="s">
        <v>665</v>
      </c>
      <c r="AM261" s="141" t="s">
        <v>2631</v>
      </c>
      <c r="AN261" s="141" t="s">
        <v>1197</v>
      </c>
      <c r="AO261" s="143"/>
      <c r="AP261" s="143"/>
      <c r="AQ261" s="143"/>
      <c r="AR261" s="143"/>
      <c r="AS261" s="143"/>
      <c r="AT261" s="143"/>
      <c r="AU261" s="239"/>
      <c r="AV261" s="141"/>
      <c r="AW261" s="205"/>
      <c r="AX261" s="206"/>
      <c r="AY261" s="245"/>
      <c r="AZ261" s="245"/>
      <c r="BA261" s="245"/>
      <c r="BB261" s="245"/>
    </row>
    <row r="262" spans="1:54" s="213" customFormat="1" ht="30">
      <c r="A262" s="140" t="s">
        <v>6</v>
      </c>
      <c r="B262" s="129">
        <v>260</v>
      </c>
      <c r="C262" s="236" t="s">
        <v>931</v>
      </c>
      <c r="D262" s="236" t="s">
        <v>3095</v>
      </c>
      <c r="E262" s="241" t="s">
        <v>405</v>
      </c>
      <c r="F262" s="241" t="s">
        <v>406</v>
      </c>
      <c r="G262" s="141" t="s">
        <v>665</v>
      </c>
      <c r="H262" s="169" t="s">
        <v>2247</v>
      </c>
      <c r="I262" s="169" t="s">
        <v>2248</v>
      </c>
      <c r="J262" s="141" t="s">
        <v>815</v>
      </c>
      <c r="K262" s="141" t="s">
        <v>815</v>
      </c>
      <c r="L262" s="141" t="s">
        <v>665</v>
      </c>
      <c r="M262" s="141" t="s">
        <v>665</v>
      </c>
      <c r="N262" s="141">
        <v>1000</v>
      </c>
      <c r="O262" s="141" t="s">
        <v>930</v>
      </c>
      <c r="P262" s="141" t="s">
        <v>665</v>
      </c>
      <c r="Q262" s="141">
        <v>8</v>
      </c>
      <c r="R262" s="141">
        <v>55</v>
      </c>
      <c r="S262" s="141">
        <v>59</v>
      </c>
      <c r="T262" s="236">
        <v>13</v>
      </c>
      <c r="U262" s="141" t="s">
        <v>88</v>
      </c>
      <c r="V262" s="141" t="s">
        <v>91</v>
      </c>
      <c r="W262" s="141" t="s">
        <v>665</v>
      </c>
      <c r="X262" s="141" t="s">
        <v>665</v>
      </c>
      <c r="Y262" s="141" t="s">
        <v>339</v>
      </c>
      <c r="Z262" s="141" t="s">
        <v>665</v>
      </c>
      <c r="AA262" s="141">
        <v>1E-3</v>
      </c>
      <c r="AB262" s="141" t="s">
        <v>665</v>
      </c>
      <c r="AC262" s="141" t="s">
        <v>665</v>
      </c>
      <c r="AD262" s="141" t="s">
        <v>665</v>
      </c>
      <c r="AE262" s="141" t="s">
        <v>665</v>
      </c>
      <c r="AF262" s="236">
        <v>0</v>
      </c>
      <c r="AG262" s="236">
        <v>0</v>
      </c>
      <c r="AH262" s="236" t="s">
        <v>358</v>
      </c>
      <c r="AI262" s="236" t="s">
        <v>133</v>
      </c>
      <c r="AJ262" s="212" t="s">
        <v>2244</v>
      </c>
      <c r="AK262" s="141" t="s">
        <v>665</v>
      </c>
      <c r="AL262" s="141" t="s">
        <v>665</v>
      </c>
      <c r="AM262" s="141" t="s">
        <v>2631</v>
      </c>
      <c r="AN262" s="141" t="s">
        <v>1197</v>
      </c>
      <c r="AO262" s="143"/>
      <c r="AP262" s="143"/>
      <c r="AQ262" s="143"/>
      <c r="AR262" s="143"/>
      <c r="AS262" s="143"/>
      <c r="AT262" s="143"/>
      <c r="AU262" s="239"/>
      <c r="AV262" s="141"/>
      <c r="AW262" s="205"/>
      <c r="AX262" s="206"/>
      <c r="AY262" s="245"/>
      <c r="AZ262" s="245"/>
      <c r="BA262" s="245"/>
      <c r="BB262" s="245"/>
    </row>
    <row r="263" spans="1:54" s="213" customFormat="1" ht="30">
      <c r="A263" s="140" t="s">
        <v>6</v>
      </c>
      <c r="B263" s="129">
        <v>261</v>
      </c>
      <c r="C263" s="236" t="s">
        <v>931</v>
      </c>
      <c r="D263" s="236" t="s">
        <v>3095</v>
      </c>
      <c r="E263" s="241" t="s">
        <v>407</v>
      </c>
      <c r="F263" s="241" t="s">
        <v>408</v>
      </c>
      <c r="G263" s="141" t="s">
        <v>665</v>
      </c>
      <c r="H263" s="169" t="s">
        <v>2249</v>
      </c>
      <c r="I263" s="169" t="s">
        <v>2250</v>
      </c>
      <c r="J263" s="141" t="s">
        <v>815</v>
      </c>
      <c r="K263" s="141" t="s">
        <v>815</v>
      </c>
      <c r="L263" s="141" t="s">
        <v>665</v>
      </c>
      <c r="M263" s="141" t="s">
        <v>665</v>
      </c>
      <c r="N263" s="141">
        <v>1000</v>
      </c>
      <c r="O263" s="141" t="s">
        <v>930</v>
      </c>
      <c r="P263" s="141" t="s">
        <v>665</v>
      </c>
      <c r="Q263" s="141">
        <v>8</v>
      </c>
      <c r="R263" s="141">
        <v>7</v>
      </c>
      <c r="S263" s="141">
        <v>11</v>
      </c>
      <c r="T263" s="236">
        <v>13</v>
      </c>
      <c r="U263" s="141" t="s">
        <v>88</v>
      </c>
      <c r="V263" s="141" t="s">
        <v>91</v>
      </c>
      <c r="W263" s="141" t="s">
        <v>665</v>
      </c>
      <c r="X263" s="141" t="s">
        <v>665</v>
      </c>
      <c r="Y263" s="141" t="s">
        <v>339</v>
      </c>
      <c r="Z263" s="141" t="s">
        <v>665</v>
      </c>
      <c r="AA263" s="141">
        <v>1E-3</v>
      </c>
      <c r="AB263" s="141" t="s">
        <v>665</v>
      </c>
      <c r="AC263" s="141" t="s">
        <v>665</v>
      </c>
      <c r="AD263" s="141" t="s">
        <v>665</v>
      </c>
      <c r="AE263" s="141" t="s">
        <v>665</v>
      </c>
      <c r="AF263" s="236">
        <v>0</v>
      </c>
      <c r="AG263" s="236">
        <v>0</v>
      </c>
      <c r="AH263" s="236" t="s">
        <v>358</v>
      </c>
      <c r="AI263" s="236" t="s">
        <v>133</v>
      </c>
      <c r="AJ263" s="212" t="s">
        <v>2244</v>
      </c>
      <c r="AK263" s="141" t="s">
        <v>665</v>
      </c>
      <c r="AL263" s="141" t="s">
        <v>665</v>
      </c>
      <c r="AM263" s="141" t="s">
        <v>2631</v>
      </c>
      <c r="AN263" s="141" t="s">
        <v>1197</v>
      </c>
      <c r="AO263" s="143"/>
      <c r="AP263" s="143"/>
      <c r="AQ263" s="143"/>
      <c r="AR263" s="143"/>
      <c r="AS263" s="143"/>
      <c r="AT263" s="143"/>
      <c r="AU263" s="239"/>
      <c r="AV263" s="141"/>
      <c r="AW263" s="205"/>
      <c r="AX263" s="206"/>
      <c r="AY263" s="245"/>
      <c r="AZ263" s="245"/>
      <c r="BA263" s="245"/>
      <c r="BB263" s="245"/>
    </row>
    <row r="264" spans="1:54" s="213" customFormat="1" ht="30">
      <c r="A264" s="140" t="s">
        <v>6</v>
      </c>
      <c r="B264" s="129">
        <v>262</v>
      </c>
      <c r="C264" s="236" t="s">
        <v>931</v>
      </c>
      <c r="D264" s="236" t="s">
        <v>3095</v>
      </c>
      <c r="E264" s="241" t="s">
        <v>409</v>
      </c>
      <c r="F264" s="241" t="s">
        <v>410</v>
      </c>
      <c r="G264" s="141" t="s">
        <v>665</v>
      </c>
      <c r="H264" s="169" t="s">
        <v>2249</v>
      </c>
      <c r="I264" s="169" t="s">
        <v>2250</v>
      </c>
      <c r="J264" s="141" t="s">
        <v>815</v>
      </c>
      <c r="K264" s="141" t="s">
        <v>815</v>
      </c>
      <c r="L264" s="141" t="s">
        <v>665</v>
      </c>
      <c r="M264" s="141" t="s">
        <v>665</v>
      </c>
      <c r="N264" s="141">
        <v>1000</v>
      </c>
      <c r="O264" s="141" t="s">
        <v>930</v>
      </c>
      <c r="P264" s="141" t="s">
        <v>665</v>
      </c>
      <c r="Q264" s="141">
        <v>8</v>
      </c>
      <c r="R264" s="141">
        <v>23</v>
      </c>
      <c r="S264" s="141">
        <v>27</v>
      </c>
      <c r="T264" s="236">
        <v>13</v>
      </c>
      <c r="U264" s="141" t="s">
        <v>88</v>
      </c>
      <c r="V264" s="141" t="s">
        <v>91</v>
      </c>
      <c r="W264" s="141" t="s">
        <v>665</v>
      </c>
      <c r="X264" s="141" t="s">
        <v>665</v>
      </c>
      <c r="Y264" s="141" t="s">
        <v>339</v>
      </c>
      <c r="Z264" s="141" t="s">
        <v>665</v>
      </c>
      <c r="AA264" s="141">
        <v>1E-3</v>
      </c>
      <c r="AB264" s="141" t="s">
        <v>665</v>
      </c>
      <c r="AC264" s="141" t="s">
        <v>665</v>
      </c>
      <c r="AD264" s="141" t="s">
        <v>665</v>
      </c>
      <c r="AE264" s="141" t="s">
        <v>665</v>
      </c>
      <c r="AF264" s="236">
        <v>0</v>
      </c>
      <c r="AG264" s="236">
        <v>0</v>
      </c>
      <c r="AH264" s="236" t="s">
        <v>358</v>
      </c>
      <c r="AI264" s="236" t="s">
        <v>133</v>
      </c>
      <c r="AJ264" s="212" t="s">
        <v>2244</v>
      </c>
      <c r="AK264" s="141" t="s">
        <v>665</v>
      </c>
      <c r="AL264" s="141" t="s">
        <v>665</v>
      </c>
      <c r="AM264" s="141" t="s">
        <v>2631</v>
      </c>
      <c r="AN264" s="141" t="s">
        <v>1197</v>
      </c>
      <c r="AO264" s="143"/>
      <c r="AP264" s="143"/>
      <c r="AQ264" s="143"/>
      <c r="AR264" s="143"/>
      <c r="AS264" s="143"/>
      <c r="AT264" s="143"/>
      <c r="AU264" s="239"/>
      <c r="AV264" s="141"/>
      <c r="AW264" s="205"/>
      <c r="AX264" s="206"/>
      <c r="AY264" s="245"/>
      <c r="AZ264" s="245"/>
      <c r="BA264" s="245"/>
      <c r="BB264" s="245"/>
    </row>
    <row r="265" spans="1:54" s="213" customFormat="1" ht="30">
      <c r="A265" s="140" t="s">
        <v>6</v>
      </c>
      <c r="B265" s="129">
        <v>263</v>
      </c>
      <c r="C265" s="236" t="s">
        <v>931</v>
      </c>
      <c r="D265" s="236" t="s">
        <v>3095</v>
      </c>
      <c r="E265" s="241" t="s">
        <v>411</v>
      </c>
      <c r="F265" s="241" t="s">
        <v>412</v>
      </c>
      <c r="G265" s="141" t="s">
        <v>665</v>
      </c>
      <c r="H265" s="169" t="s">
        <v>2249</v>
      </c>
      <c r="I265" s="169" t="s">
        <v>2250</v>
      </c>
      <c r="J265" s="141" t="s">
        <v>815</v>
      </c>
      <c r="K265" s="141" t="s">
        <v>815</v>
      </c>
      <c r="L265" s="141" t="s">
        <v>665</v>
      </c>
      <c r="M265" s="141" t="s">
        <v>665</v>
      </c>
      <c r="N265" s="141">
        <v>1000</v>
      </c>
      <c r="O265" s="141" t="s">
        <v>930</v>
      </c>
      <c r="P265" s="141" t="s">
        <v>665</v>
      </c>
      <c r="Q265" s="141">
        <v>8</v>
      </c>
      <c r="R265" s="141">
        <v>39</v>
      </c>
      <c r="S265" s="141">
        <v>43</v>
      </c>
      <c r="T265" s="236">
        <v>13</v>
      </c>
      <c r="U265" s="141" t="s">
        <v>88</v>
      </c>
      <c r="V265" s="141" t="s">
        <v>91</v>
      </c>
      <c r="W265" s="141" t="s">
        <v>665</v>
      </c>
      <c r="X265" s="141" t="s">
        <v>665</v>
      </c>
      <c r="Y265" s="141" t="s">
        <v>339</v>
      </c>
      <c r="Z265" s="141" t="s">
        <v>665</v>
      </c>
      <c r="AA265" s="141">
        <v>1E-3</v>
      </c>
      <c r="AB265" s="141" t="s">
        <v>665</v>
      </c>
      <c r="AC265" s="141" t="s">
        <v>665</v>
      </c>
      <c r="AD265" s="141" t="s">
        <v>665</v>
      </c>
      <c r="AE265" s="141" t="s">
        <v>665</v>
      </c>
      <c r="AF265" s="236">
        <v>0</v>
      </c>
      <c r="AG265" s="236">
        <v>0</v>
      </c>
      <c r="AH265" s="236" t="s">
        <v>358</v>
      </c>
      <c r="AI265" s="236" t="s">
        <v>133</v>
      </c>
      <c r="AJ265" s="212" t="s">
        <v>2244</v>
      </c>
      <c r="AK265" s="141" t="s">
        <v>665</v>
      </c>
      <c r="AL265" s="141" t="s">
        <v>665</v>
      </c>
      <c r="AM265" s="141" t="s">
        <v>2631</v>
      </c>
      <c r="AN265" s="141" t="s">
        <v>1197</v>
      </c>
      <c r="AO265" s="143"/>
      <c r="AP265" s="143"/>
      <c r="AQ265" s="143"/>
      <c r="AR265" s="143"/>
      <c r="AS265" s="143"/>
      <c r="AT265" s="143"/>
      <c r="AU265" s="239"/>
      <c r="AV265" s="141"/>
      <c r="AW265" s="205"/>
      <c r="AX265" s="206"/>
      <c r="AY265" s="245"/>
      <c r="AZ265" s="245"/>
      <c r="BA265" s="245"/>
      <c r="BB265" s="245"/>
    </row>
    <row r="266" spans="1:54" s="213" customFormat="1" ht="30">
      <c r="A266" s="140" t="s">
        <v>6</v>
      </c>
      <c r="B266" s="129">
        <v>264</v>
      </c>
      <c r="C266" s="236" t="s">
        <v>931</v>
      </c>
      <c r="D266" s="236" t="s">
        <v>3095</v>
      </c>
      <c r="E266" s="241" t="s">
        <v>413</v>
      </c>
      <c r="F266" s="241" t="s">
        <v>414</v>
      </c>
      <c r="G266" s="141" t="s">
        <v>665</v>
      </c>
      <c r="H266" s="169" t="s">
        <v>2249</v>
      </c>
      <c r="I266" s="169" t="s">
        <v>2250</v>
      </c>
      <c r="J266" s="141" t="s">
        <v>815</v>
      </c>
      <c r="K266" s="141" t="s">
        <v>815</v>
      </c>
      <c r="L266" s="141" t="s">
        <v>665</v>
      </c>
      <c r="M266" s="141" t="s">
        <v>665</v>
      </c>
      <c r="N266" s="141">
        <v>1000</v>
      </c>
      <c r="O266" s="141" t="s">
        <v>930</v>
      </c>
      <c r="P266" s="141" t="s">
        <v>665</v>
      </c>
      <c r="Q266" s="141">
        <v>8</v>
      </c>
      <c r="R266" s="141">
        <v>55</v>
      </c>
      <c r="S266" s="141">
        <v>59</v>
      </c>
      <c r="T266" s="236">
        <v>13</v>
      </c>
      <c r="U266" s="141" t="s">
        <v>88</v>
      </c>
      <c r="V266" s="141" t="s">
        <v>91</v>
      </c>
      <c r="W266" s="141" t="s">
        <v>665</v>
      </c>
      <c r="X266" s="141" t="s">
        <v>665</v>
      </c>
      <c r="Y266" s="141" t="s">
        <v>339</v>
      </c>
      <c r="Z266" s="141" t="s">
        <v>665</v>
      </c>
      <c r="AA266" s="141">
        <v>1E-3</v>
      </c>
      <c r="AB266" s="141" t="s">
        <v>665</v>
      </c>
      <c r="AC266" s="141" t="s">
        <v>665</v>
      </c>
      <c r="AD266" s="141" t="s">
        <v>665</v>
      </c>
      <c r="AE266" s="141" t="s">
        <v>665</v>
      </c>
      <c r="AF266" s="236">
        <v>0</v>
      </c>
      <c r="AG266" s="236">
        <v>0</v>
      </c>
      <c r="AH266" s="236" t="s">
        <v>358</v>
      </c>
      <c r="AI266" s="236" t="s">
        <v>133</v>
      </c>
      <c r="AJ266" s="212" t="s">
        <v>2244</v>
      </c>
      <c r="AK266" s="141" t="s">
        <v>665</v>
      </c>
      <c r="AL266" s="141" t="s">
        <v>665</v>
      </c>
      <c r="AM266" s="141" t="s">
        <v>2631</v>
      </c>
      <c r="AN266" s="141" t="s">
        <v>1197</v>
      </c>
      <c r="AO266" s="143"/>
      <c r="AP266" s="143"/>
      <c r="AQ266" s="143"/>
      <c r="AR266" s="143"/>
      <c r="AS266" s="143"/>
      <c r="AT266" s="143"/>
      <c r="AU266" s="239"/>
      <c r="AV266" s="141"/>
      <c r="AW266" s="205"/>
      <c r="AX266" s="206"/>
      <c r="AY266" s="245"/>
      <c r="AZ266" s="245"/>
      <c r="BA266" s="245"/>
      <c r="BB266" s="245"/>
    </row>
    <row r="267" spans="1:54" s="213" customFormat="1" ht="30">
      <c r="A267" s="140" t="s">
        <v>6</v>
      </c>
      <c r="B267" s="129">
        <v>265</v>
      </c>
      <c r="C267" s="236" t="s">
        <v>931</v>
      </c>
      <c r="D267" s="236" t="s">
        <v>3095</v>
      </c>
      <c r="E267" s="241" t="s">
        <v>1218</v>
      </c>
      <c r="F267" s="241" t="s">
        <v>415</v>
      </c>
      <c r="G267" s="141" t="s">
        <v>665</v>
      </c>
      <c r="H267" s="169" t="s">
        <v>2251</v>
      </c>
      <c r="I267" s="169" t="s">
        <v>2252</v>
      </c>
      <c r="J267" s="141" t="s">
        <v>815</v>
      </c>
      <c r="K267" s="141" t="s">
        <v>815</v>
      </c>
      <c r="L267" s="141" t="s">
        <v>665</v>
      </c>
      <c r="M267" s="141" t="s">
        <v>665</v>
      </c>
      <c r="N267" s="141">
        <v>1000</v>
      </c>
      <c r="O267" s="141" t="s">
        <v>930</v>
      </c>
      <c r="P267" s="141" t="s">
        <v>665</v>
      </c>
      <c r="Q267" s="141">
        <v>8</v>
      </c>
      <c r="R267" s="141">
        <v>7</v>
      </c>
      <c r="S267" s="141">
        <v>11</v>
      </c>
      <c r="T267" s="236">
        <v>13</v>
      </c>
      <c r="U267" s="141" t="s">
        <v>88</v>
      </c>
      <c r="V267" s="141" t="s">
        <v>91</v>
      </c>
      <c r="W267" s="141" t="s">
        <v>665</v>
      </c>
      <c r="X267" s="141" t="s">
        <v>665</v>
      </c>
      <c r="Y267" s="141" t="s">
        <v>339</v>
      </c>
      <c r="Z267" s="141" t="s">
        <v>665</v>
      </c>
      <c r="AA267" s="141">
        <v>1E-3</v>
      </c>
      <c r="AB267" s="141" t="s">
        <v>665</v>
      </c>
      <c r="AC267" s="141" t="s">
        <v>665</v>
      </c>
      <c r="AD267" s="141" t="s">
        <v>665</v>
      </c>
      <c r="AE267" s="141" t="s">
        <v>665</v>
      </c>
      <c r="AF267" s="236">
        <v>0</v>
      </c>
      <c r="AG267" s="236">
        <v>0</v>
      </c>
      <c r="AH267" s="236" t="s">
        <v>358</v>
      </c>
      <c r="AI267" s="236" t="s">
        <v>133</v>
      </c>
      <c r="AJ267" s="212" t="s">
        <v>2244</v>
      </c>
      <c r="AK267" s="141" t="s">
        <v>665</v>
      </c>
      <c r="AL267" s="141" t="s">
        <v>665</v>
      </c>
      <c r="AM267" s="141" t="s">
        <v>2631</v>
      </c>
      <c r="AN267" s="141" t="s">
        <v>1197</v>
      </c>
      <c r="AO267" s="143"/>
      <c r="AP267" s="143"/>
      <c r="AQ267" s="143"/>
      <c r="AR267" s="143"/>
      <c r="AS267" s="143"/>
      <c r="AT267" s="143"/>
      <c r="AU267" s="239"/>
      <c r="AV267" s="141"/>
      <c r="AW267" s="205"/>
      <c r="AX267" s="206"/>
      <c r="AY267" s="245"/>
      <c r="AZ267" s="245"/>
      <c r="BA267" s="245"/>
      <c r="BB267" s="245"/>
    </row>
    <row r="268" spans="1:54" s="213" customFormat="1" ht="30">
      <c r="A268" s="140" t="s">
        <v>6</v>
      </c>
      <c r="B268" s="129">
        <v>266</v>
      </c>
      <c r="C268" s="236" t="s">
        <v>931</v>
      </c>
      <c r="D268" s="236" t="s">
        <v>3095</v>
      </c>
      <c r="E268" s="241" t="s">
        <v>1220</v>
      </c>
      <c r="F268" s="241" t="s">
        <v>416</v>
      </c>
      <c r="G268" s="141" t="s">
        <v>665</v>
      </c>
      <c r="H268" s="169" t="s">
        <v>2251</v>
      </c>
      <c r="I268" s="169" t="s">
        <v>2252</v>
      </c>
      <c r="J268" s="141" t="s">
        <v>815</v>
      </c>
      <c r="K268" s="141" t="s">
        <v>815</v>
      </c>
      <c r="L268" s="141" t="s">
        <v>665</v>
      </c>
      <c r="M268" s="141" t="s">
        <v>665</v>
      </c>
      <c r="N268" s="141">
        <v>1000</v>
      </c>
      <c r="O268" s="141" t="s">
        <v>930</v>
      </c>
      <c r="P268" s="141" t="s">
        <v>665</v>
      </c>
      <c r="Q268" s="141">
        <v>8</v>
      </c>
      <c r="R268" s="141">
        <v>23</v>
      </c>
      <c r="S268" s="141">
        <v>27</v>
      </c>
      <c r="T268" s="236">
        <v>13</v>
      </c>
      <c r="U268" s="141" t="s">
        <v>88</v>
      </c>
      <c r="V268" s="141" t="s">
        <v>91</v>
      </c>
      <c r="W268" s="141" t="s">
        <v>665</v>
      </c>
      <c r="X268" s="141" t="s">
        <v>665</v>
      </c>
      <c r="Y268" s="141" t="s">
        <v>339</v>
      </c>
      <c r="Z268" s="141" t="s">
        <v>665</v>
      </c>
      <c r="AA268" s="141">
        <v>1E-3</v>
      </c>
      <c r="AB268" s="141" t="s">
        <v>665</v>
      </c>
      <c r="AC268" s="141" t="s">
        <v>665</v>
      </c>
      <c r="AD268" s="141" t="s">
        <v>665</v>
      </c>
      <c r="AE268" s="141" t="s">
        <v>665</v>
      </c>
      <c r="AF268" s="236">
        <v>0</v>
      </c>
      <c r="AG268" s="236">
        <v>0</v>
      </c>
      <c r="AH268" s="236" t="s">
        <v>358</v>
      </c>
      <c r="AI268" s="236" t="s">
        <v>133</v>
      </c>
      <c r="AJ268" s="212" t="s">
        <v>2244</v>
      </c>
      <c r="AK268" s="141" t="s">
        <v>665</v>
      </c>
      <c r="AL268" s="141" t="s">
        <v>665</v>
      </c>
      <c r="AM268" s="141" t="s">
        <v>2631</v>
      </c>
      <c r="AN268" s="141" t="s">
        <v>1197</v>
      </c>
      <c r="AO268" s="143"/>
      <c r="AP268" s="143"/>
      <c r="AQ268" s="143"/>
      <c r="AR268" s="143"/>
      <c r="AS268" s="143"/>
      <c r="AT268" s="143"/>
      <c r="AU268" s="239"/>
      <c r="AV268" s="141"/>
      <c r="AW268" s="205"/>
      <c r="AX268" s="206"/>
      <c r="AY268" s="245"/>
      <c r="AZ268" s="245"/>
      <c r="BA268" s="245"/>
      <c r="BB268" s="245"/>
    </row>
    <row r="269" spans="1:54" s="213" customFormat="1" ht="30">
      <c r="A269" s="140" t="s">
        <v>6</v>
      </c>
      <c r="B269" s="129">
        <v>267</v>
      </c>
      <c r="C269" s="236" t="s">
        <v>931</v>
      </c>
      <c r="D269" s="236" t="s">
        <v>3095</v>
      </c>
      <c r="E269" s="241" t="s">
        <v>417</v>
      </c>
      <c r="F269" s="241" t="s">
        <v>418</v>
      </c>
      <c r="G269" s="141" t="s">
        <v>665</v>
      </c>
      <c r="H269" s="169" t="s">
        <v>2251</v>
      </c>
      <c r="I269" s="169" t="s">
        <v>2252</v>
      </c>
      <c r="J269" s="141" t="s">
        <v>815</v>
      </c>
      <c r="K269" s="141" t="s">
        <v>815</v>
      </c>
      <c r="L269" s="141" t="s">
        <v>665</v>
      </c>
      <c r="M269" s="141" t="s">
        <v>665</v>
      </c>
      <c r="N269" s="141">
        <v>1000</v>
      </c>
      <c r="O269" s="141" t="s">
        <v>930</v>
      </c>
      <c r="P269" s="141" t="s">
        <v>665</v>
      </c>
      <c r="Q269" s="141">
        <v>8</v>
      </c>
      <c r="R269" s="141">
        <v>39</v>
      </c>
      <c r="S269" s="141">
        <v>43</v>
      </c>
      <c r="T269" s="236">
        <v>13</v>
      </c>
      <c r="U269" s="141" t="s">
        <v>88</v>
      </c>
      <c r="V269" s="141" t="s">
        <v>91</v>
      </c>
      <c r="W269" s="141" t="s">
        <v>665</v>
      </c>
      <c r="X269" s="141" t="s">
        <v>665</v>
      </c>
      <c r="Y269" s="141" t="s">
        <v>339</v>
      </c>
      <c r="Z269" s="141" t="s">
        <v>665</v>
      </c>
      <c r="AA269" s="141">
        <v>1E-3</v>
      </c>
      <c r="AB269" s="141" t="s">
        <v>665</v>
      </c>
      <c r="AC269" s="141" t="s">
        <v>665</v>
      </c>
      <c r="AD269" s="141" t="s">
        <v>665</v>
      </c>
      <c r="AE269" s="141" t="s">
        <v>665</v>
      </c>
      <c r="AF269" s="236">
        <v>0</v>
      </c>
      <c r="AG269" s="236">
        <v>0</v>
      </c>
      <c r="AH269" s="236" t="s">
        <v>358</v>
      </c>
      <c r="AI269" s="236" t="s">
        <v>133</v>
      </c>
      <c r="AJ269" s="212" t="s">
        <v>2244</v>
      </c>
      <c r="AK269" s="141" t="s">
        <v>665</v>
      </c>
      <c r="AL269" s="141" t="s">
        <v>665</v>
      </c>
      <c r="AM269" s="141" t="s">
        <v>2631</v>
      </c>
      <c r="AN269" s="141" t="s">
        <v>1197</v>
      </c>
      <c r="AO269" s="143"/>
      <c r="AP269" s="143"/>
      <c r="AQ269" s="143"/>
      <c r="AR269" s="143"/>
      <c r="AS269" s="143"/>
      <c r="AT269" s="143"/>
      <c r="AU269" s="239"/>
      <c r="AV269" s="141"/>
      <c r="AW269" s="205"/>
      <c r="AX269" s="206"/>
      <c r="AY269" s="245"/>
      <c r="AZ269" s="245"/>
      <c r="BA269" s="245"/>
      <c r="BB269" s="245"/>
    </row>
    <row r="270" spans="1:54" s="213" customFormat="1" ht="30">
      <c r="A270" s="140" t="s">
        <v>6</v>
      </c>
      <c r="B270" s="129">
        <v>268</v>
      </c>
      <c r="C270" s="236" t="s">
        <v>931</v>
      </c>
      <c r="D270" s="236" t="s">
        <v>3095</v>
      </c>
      <c r="E270" s="241" t="s">
        <v>419</v>
      </c>
      <c r="F270" s="241" t="s">
        <v>420</v>
      </c>
      <c r="G270" s="141" t="s">
        <v>665</v>
      </c>
      <c r="H270" s="169" t="s">
        <v>2251</v>
      </c>
      <c r="I270" s="169" t="s">
        <v>2252</v>
      </c>
      <c r="J270" s="141" t="s">
        <v>815</v>
      </c>
      <c r="K270" s="141" t="s">
        <v>815</v>
      </c>
      <c r="L270" s="141" t="s">
        <v>665</v>
      </c>
      <c r="M270" s="141" t="s">
        <v>665</v>
      </c>
      <c r="N270" s="141">
        <v>1000</v>
      </c>
      <c r="O270" s="141" t="s">
        <v>930</v>
      </c>
      <c r="P270" s="141" t="s">
        <v>665</v>
      </c>
      <c r="Q270" s="141">
        <v>8</v>
      </c>
      <c r="R270" s="141">
        <v>55</v>
      </c>
      <c r="S270" s="141">
        <v>59</v>
      </c>
      <c r="T270" s="236">
        <v>13</v>
      </c>
      <c r="U270" s="141" t="s">
        <v>88</v>
      </c>
      <c r="V270" s="141" t="s">
        <v>91</v>
      </c>
      <c r="W270" s="141" t="s">
        <v>665</v>
      </c>
      <c r="X270" s="141" t="s">
        <v>665</v>
      </c>
      <c r="Y270" s="141" t="s">
        <v>339</v>
      </c>
      <c r="Z270" s="141" t="s">
        <v>665</v>
      </c>
      <c r="AA270" s="141">
        <v>1E-3</v>
      </c>
      <c r="AB270" s="141" t="s">
        <v>665</v>
      </c>
      <c r="AC270" s="141" t="s">
        <v>665</v>
      </c>
      <c r="AD270" s="141" t="s">
        <v>665</v>
      </c>
      <c r="AE270" s="141" t="s">
        <v>665</v>
      </c>
      <c r="AF270" s="236">
        <v>0</v>
      </c>
      <c r="AG270" s="236">
        <v>0</v>
      </c>
      <c r="AH270" s="236" t="s">
        <v>358</v>
      </c>
      <c r="AI270" s="236" t="s">
        <v>133</v>
      </c>
      <c r="AJ270" s="212" t="s">
        <v>2244</v>
      </c>
      <c r="AK270" s="141" t="s">
        <v>665</v>
      </c>
      <c r="AL270" s="141" t="s">
        <v>665</v>
      </c>
      <c r="AM270" s="141" t="s">
        <v>2631</v>
      </c>
      <c r="AN270" s="141" t="s">
        <v>1197</v>
      </c>
      <c r="AO270" s="143"/>
      <c r="AP270" s="143"/>
      <c r="AQ270" s="143"/>
      <c r="AR270" s="143"/>
      <c r="AS270" s="143"/>
      <c r="AT270" s="143"/>
      <c r="AU270" s="239"/>
      <c r="AV270" s="141"/>
      <c r="AW270" s="205"/>
      <c r="AX270" s="206"/>
      <c r="AY270" s="245"/>
      <c r="AZ270" s="245"/>
      <c r="BA270" s="245"/>
      <c r="BB270" s="245"/>
    </row>
    <row r="271" spans="1:54" s="213" customFormat="1" ht="30">
      <c r="A271" s="140" t="s">
        <v>6</v>
      </c>
      <c r="B271" s="129">
        <v>269</v>
      </c>
      <c r="C271" s="236" t="s">
        <v>931</v>
      </c>
      <c r="D271" s="236" t="s">
        <v>3095</v>
      </c>
      <c r="E271" s="241" t="s">
        <v>421</v>
      </c>
      <c r="F271" s="241" t="s">
        <v>422</v>
      </c>
      <c r="G271" s="141" t="s">
        <v>665</v>
      </c>
      <c r="H271" s="169" t="s">
        <v>2253</v>
      </c>
      <c r="I271" s="169" t="s">
        <v>2254</v>
      </c>
      <c r="J271" s="141" t="s">
        <v>815</v>
      </c>
      <c r="K271" s="141" t="s">
        <v>815</v>
      </c>
      <c r="L271" s="141" t="s">
        <v>665</v>
      </c>
      <c r="M271" s="141" t="s">
        <v>665</v>
      </c>
      <c r="N271" s="141">
        <v>1000</v>
      </c>
      <c r="O271" s="141" t="s">
        <v>930</v>
      </c>
      <c r="P271" s="141" t="s">
        <v>665</v>
      </c>
      <c r="Q271" s="141">
        <v>8</v>
      </c>
      <c r="R271" s="141">
        <v>7</v>
      </c>
      <c r="S271" s="141">
        <v>11</v>
      </c>
      <c r="T271" s="236">
        <v>13</v>
      </c>
      <c r="U271" s="141" t="s">
        <v>88</v>
      </c>
      <c r="V271" s="141" t="s">
        <v>91</v>
      </c>
      <c r="W271" s="141" t="s">
        <v>665</v>
      </c>
      <c r="X271" s="141" t="s">
        <v>665</v>
      </c>
      <c r="Y271" s="141" t="s">
        <v>339</v>
      </c>
      <c r="Z271" s="141" t="s">
        <v>665</v>
      </c>
      <c r="AA271" s="141">
        <v>1E-3</v>
      </c>
      <c r="AB271" s="141" t="s">
        <v>665</v>
      </c>
      <c r="AC271" s="141" t="s">
        <v>665</v>
      </c>
      <c r="AD271" s="141" t="s">
        <v>665</v>
      </c>
      <c r="AE271" s="141" t="s">
        <v>665</v>
      </c>
      <c r="AF271" s="236">
        <v>0</v>
      </c>
      <c r="AG271" s="236">
        <v>0</v>
      </c>
      <c r="AH271" s="236" t="s">
        <v>358</v>
      </c>
      <c r="AI271" s="236" t="s">
        <v>133</v>
      </c>
      <c r="AJ271" s="212" t="s">
        <v>2244</v>
      </c>
      <c r="AK271" s="141" t="s">
        <v>665</v>
      </c>
      <c r="AL271" s="141" t="s">
        <v>665</v>
      </c>
      <c r="AM271" s="141" t="s">
        <v>2631</v>
      </c>
      <c r="AN271" s="141" t="s">
        <v>1197</v>
      </c>
      <c r="AO271" s="143"/>
      <c r="AP271" s="143"/>
      <c r="AQ271" s="143"/>
      <c r="AR271" s="143"/>
      <c r="AS271" s="143"/>
      <c r="AT271" s="143"/>
      <c r="AU271" s="239"/>
      <c r="AV271" s="141"/>
      <c r="AW271" s="205"/>
      <c r="AX271" s="206"/>
      <c r="AY271" s="245"/>
      <c r="AZ271" s="245"/>
      <c r="BA271" s="245"/>
      <c r="BB271" s="245"/>
    </row>
    <row r="272" spans="1:54" s="213" customFormat="1" ht="30">
      <c r="A272" s="140" t="s">
        <v>6</v>
      </c>
      <c r="B272" s="129">
        <v>270</v>
      </c>
      <c r="C272" s="236" t="s">
        <v>931</v>
      </c>
      <c r="D272" s="236" t="s">
        <v>3095</v>
      </c>
      <c r="E272" s="241" t="s">
        <v>423</v>
      </c>
      <c r="F272" s="241" t="s">
        <v>424</v>
      </c>
      <c r="G272" s="141" t="s">
        <v>665</v>
      </c>
      <c r="H272" s="169" t="s">
        <v>2253</v>
      </c>
      <c r="I272" s="169" t="s">
        <v>2254</v>
      </c>
      <c r="J272" s="141" t="s">
        <v>815</v>
      </c>
      <c r="K272" s="141" t="s">
        <v>815</v>
      </c>
      <c r="L272" s="141" t="s">
        <v>665</v>
      </c>
      <c r="M272" s="141" t="s">
        <v>665</v>
      </c>
      <c r="N272" s="141">
        <v>1000</v>
      </c>
      <c r="O272" s="141" t="s">
        <v>930</v>
      </c>
      <c r="P272" s="141" t="s">
        <v>665</v>
      </c>
      <c r="Q272" s="141">
        <v>8</v>
      </c>
      <c r="R272" s="141">
        <v>23</v>
      </c>
      <c r="S272" s="141">
        <v>27</v>
      </c>
      <c r="T272" s="236">
        <v>13</v>
      </c>
      <c r="U272" s="141" t="s">
        <v>88</v>
      </c>
      <c r="V272" s="141" t="s">
        <v>91</v>
      </c>
      <c r="W272" s="141" t="s">
        <v>665</v>
      </c>
      <c r="X272" s="141" t="s">
        <v>665</v>
      </c>
      <c r="Y272" s="141" t="s">
        <v>339</v>
      </c>
      <c r="Z272" s="141" t="s">
        <v>665</v>
      </c>
      <c r="AA272" s="141">
        <v>1E-3</v>
      </c>
      <c r="AB272" s="141" t="s">
        <v>665</v>
      </c>
      <c r="AC272" s="141" t="s">
        <v>665</v>
      </c>
      <c r="AD272" s="141" t="s">
        <v>665</v>
      </c>
      <c r="AE272" s="141" t="s">
        <v>665</v>
      </c>
      <c r="AF272" s="236">
        <v>0</v>
      </c>
      <c r="AG272" s="236">
        <v>0</v>
      </c>
      <c r="AH272" s="236" t="s">
        <v>358</v>
      </c>
      <c r="AI272" s="236" t="s">
        <v>133</v>
      </c>
      <c r="AJ272" s="212" t="s">
        <v>2244</v>
      </c>
      <c r="AK272" s="141" t="s">
        <v>665</v>
      </c>
      <c r="AL272" s="141" t="s">
        <v>665</v>
      </c>
      <c r="AM272" s="141" t="s">
        <v>2631</v>
      </c>
      <c r="AN272" s="141" t="s">
        <v>1197</v>
      </c>
      <c r="AO272" s="143"/>
      <c r="AP272" s="143"/>
      <c r="AQ272" s="143"/>
      <c r="AR272" s="143"/>
      <c r="AS272" s="143"/>
      <c r="AT272" s="143"/>
      <c r="AU272" s="239"/>
      <c r="AV272" s="141"/>
      <c r="AW272" s="205"/>
      <c r="AX272" s="206"/>
      <c r="AY272" s="245"/>
      <c r="AZ272" s="245"/>
      <c r="BA272" s="245"/>
      <c r="BB272" s="245"/>
    </row>
    <row r="273" spans="1:54" s="213" customFormat="1" ht="30">
      <c r="A273" s="140" t="s">
        <v>6</v>
      </c>
      <c r="B273" s="129">
        <v>271</v>
      </c>
      <c r="C273" s="236" t="s">
        <v>931</v>
      </c>
      <c r="D273" s="236" t="s">
        <v>3095</v>
      </c>
      <c r="E273" s="241" t="s">
        <v>425</v>
      </c>
      <c r="F273" s="241" t="s">
        <v>426</v>
      </c>
      <c r="G273" s="141" t="s">
        <v>665</v>
      </c>
      <c r="H273" s="169" t="s">
        <v>2253</v>
      </c>
      <c r="I273" s="169" t="s">
        <v>2254</v>
      </c>
      <c r="J273" s="141" t="s">
        <v>815</v>
      </c>
      <c r="K273" s="141" t="s">
        <v>815</v>
      </c>
      <c r="L273" s="141" t="s">
        <v>665</v>
      </c>
      <c r="M273" s="141" t="s">
        <v>665</v>
      </c>
      <c r="N273" s="141">
        <v>1000</v>
      </c>
      <c r="O273" s="141" t="s">
        <v>930</v>
      </c>
      <c r="P273" s="141" t="s">
        <v>665</v>
      </c>
      <c r="Q273" s="141">
        <v>8</v>
      </c>
      <c r="R273" s="141">
        <v>39</v>
      </c>
      <c r="S273" s="141">
        <v>43</v>
      </c>
      <c r="T273" s="236">
        <v>13</v>
      </c>
      <c r="U273" s="141" t="s">
        <v>88</v>
      </c>
      <c r="V273" s="141" t="s">
        <v>91</v>
      </c>
      <c r="W273" s="141" t="s">
        <v>665</v>
      </c>
      <c r="X273" s="141" t="s">
        <v>665</v>
      </c>
      <c r="Y273" s="141" t="s">
        <v>339</v>
      </c>
      <c r="Z273" s="141" t="s">
        <v>665</v>
      </c>
      <c r="AA273" s="141">
        <v>1E-3</v>
      </c>
      <c r="AB273" s="141" t="s">
        <v>665</v>
      </c>
      <c r="AC273" s="141" t="s">
        <v>665</v>
      </c>
      <c r="AD273" s="141" t="s">
        <v>665</v>
      </c>
      <c r="AE273" s="141" t="s">
        <v>665</v>
      </c>
      <c r="AF273" s="236">
        <v>0</v>
      </c>
      <c r="AG273" s="236">
        <v>0</v>
      </c>
      <c r="AH273" s="236" t="s">
        <v>358</v>
      </c>
      <c r="AI273" s="236" t="s">
        <v>133</v>
      </c>
      <c r="AJ273" s="212" t="s">
        <v>2244</v>
      </c>
      <c r="AK273" s="141" t="s">
        <v>665</v>
      </c>
      <c r="AL273" s="141" t="s">
        <v>665</v>
      </c>
      <c r="AM273" s="141" t="s">
        <v>2631</v>
      </c>
      <c r="AN273" s="141" t="s">
        <v>1197</v>
      </c>
      <c r="AO273" s="143"/>
      <c r="AP273" s="143"/>
      <c r="AQ273" s="143"/>
      <c r="AR273" s="143"/>
      <c r="AS273" s="143"/>
      <c r="AT273" s="143"/>
      <c r="AU273" s="239"/>
      <c r="AV273" s="141"/>
      <c r="AW273" s="205"/>
      <c r="AX273" s="206"/>
      <c r="AY273" s="245"/>
      <c r="AZ273" s="245"/>
      <c r="BA273" s="245"/>
      <c r="BB273" s="245"/>
    </row>
    <row r="274" spans="1:54" s="213" customFormat="1" ht="30">
      <c r="A274" s="140" t="s">
        <v>6</v>
      </c>
      <c r="B274" s="129">
        <v>272</v>
      </c>
      <c r="C274" s="236" t="s">
        <v>931</v>
      </c>
      <c r="D274" s="236" t="s">
        <v>3095</v>
      </c>
      <c r="E274" s="241" t="s">
        <v>427</v>
      </c>
      <c r="F274" s="241" t="s">
        <v>428</v>
      </c>
      <c r="G274" s="141" t="s">
        <v>665</v>
      </c>
      <c r="H274" s="169" t="s">
        <v>2253</v>
      </c>
      <c r="I274" s="169" t="s">
        <v>2254</v>
      </c>
      <c r="J274" s="141" t="s">
        <v>815</v>
      </c>
      <c r="K274" s="141" t="s">
        <v>815</v>
      </c>
      <c r="L274" s="141" t="s">
        <v>665</v>
      </c>
      <c r="M274" s="141" t="s">
        <v>665</v>
      </c>
      <c r="N274" s="141">
        <v>1000</v>
      </c>
      <c r="O274" s="141" t="s">
        <v>930</v>
      </c>
      <c r="P274" s="141" t="s">
        <v>665</v>
      </c>
      <c r="Q274" s="141">
        <v>8</v>
      </c>
      <c r="R274" s="141">
        <v>55</v>
      </c>
      <c r="S274" s="141">
        <v>59</v>
      </c>
      <c r="T274" s="236">
        <v>13</v>
      </c>
      <c r="U274" s="141" t="s">
        <v>88</v>
      </c>
      <c r="V274" s="141" t="s">
        <v>91</v>
      </c>
      <c r="W274" s="141" t="s">
        <v>665</v>
      </c>
      <c r="X274" s="141" t="s">
        <v>665</v>
      </c>
      <c r="Y274" s="141" t="s">
        <v>339</v>
      </c>
      <c r="Z274" s="141" t="s">
        <v>665</v>
      </c>
      <c r="AA274" s="141">
        <v>1E-3</v>
      </c>
      <c r="AB274" s="141" t="s">
        <v>665</v>
      </c>
      <c r="AC274" s="141" t="s">
        <v>665</v>
      </c>
      <c r="AD274" s="141" t="s">
        <v>665</v>
      </c>
      <c r="AE274" s="141" t="s">
        <v>665</v>
      </c>
      <c r="AF274" s="236">
        <v>0</v>
      </c>
      <c r="AG274" s="236">
        <v>0</v>
      </c>
      <c r="AH274" s="236" t="s">
        <v>358</v>
      </c>
      <c r="AI274" s="236" t="s">
        <v>133</v>
      </c>
      <c r="AJ274" s="212" t="s">
        <v>2244</v>
      </c>
      <c r="AK274" s="141" t="s">
        <v>665</v>
      </c>
      <c r="AL274" s="141" t="s">
        <v>665</v>
      </c>
      <c r="AM274" s="141" t="s">
        <v>2635</v>
      </c>
      <c r="AN274" s="141" t="s">
        <v>1197</v>
      </c>
      <c r="AO274" s="143"/>
      <c r="AP274" s="143"/>
      <c r="AQ274" s="143"/>
      <c r="AR274" s="143"/>
      <c r="AS274" s="143"/>
      <c r="AT274" s="143"/>
      <c r="AU274" s="239"/>
      <c r="AV274" s="141"/>
      <c r="AW274" s="205"/>
      <c r="AX274" s="206"/>
      <c r="AY274" s="245"/>
      <c r="AZ274" s="245"/>
      <c r="BA274" s="245"/>
      <c r="BB274" s="245"/>
    </row>
    <row r="275" spans="1:54" s="213" customFormat="1" ht="30">
      <c r="A275" s="140" t="s">
        <v>6</v>
      </c>
      <c r="B275" s="129">
        <v>273</v>
      </c>
      <c r="C275" s="236" t="s">
        <v>931</v>
      </c>
      <c r="D275" s="236" t="s">
        <v>3095</v>
      </c>
      <c r="E275" s="241" t="s">
        <v>1221</v>
      </c>
      <c r="F275" s="241" t="s">
        <v>429</v>
      </c>
      <c r="G275" s="141" t="s">
        <v>665</v>
      </c>
      <c r="H275" s="141" t="s">
        <v>1228</v>
      </c>
      <c r="I275" s="141" t="s">
        <v>1229</v>
      </c>
      <c r="J275" s="141" t="s">
        <v>815</v>
      </c>
      <c r="K275" s="141" t="s">
        <v>815</v>
      </c>
      <c r="L275" s="141" t="s">
        <v>665</v>
      </c>
      <c r="M275" s="141" t="s">
        <v>665</v>
      </c>
      <c r="N275" s="141">
        <v>1000</v>
      </c>
      <c r="O275" s="141" t="s">
        <v>930</v>
      </c>
      <c r="P275" s="141" t="s">
        <v>665</v>
      </c>
      <c r="Q275" s="141">
        <v>8</v>
      </c>
      <c r="R275" s="141">
        <v>7</v>
      </c>
      <c r="S275" s="141">
        <v>11</v>
      </c>
      <c r="T275" s="236">
        <v>13</v>
      </c>
      <c r="U275" s="141" t="s">
        <v>88</v>
      </c>
      <c r="V275" s="141" t="s">
        <v>91</v>
      </c>
      <c r="W275" s="141" t="s">
        <v>665</v>
      </c>
      <c r="X275" s="141" t="s">
        <v>665</v>
      </c>
      <c r="Y275" s="141" t="s">
        <v>339</v>
      </c>
      <c r="Z275" s="141" t="s">
        <v>665</v>
      </c>
      <c r="AA275" s="141">
        <v>1E-3</v>
      </c>
      <c r="AB275" s="141" t="s">
        <v>665</v>
      </c>
      <c r="AC275" s="141" t="s">
        <v>665</v>
      </c>
      <c r="AD275" s="141" t="s">
        <v>665</v>
      </c>
      <c r="AE275" s="141" t="s">
        <v>665</v>
      </c>
      <c r="AF275" s="236">
        <v>0</v>
      </c>
      <c r="AG275" s="236">
        <v>0</v>
      </c>
      <c r="AH275" s="236" t="s">
        <v>358</v>
      </c>
      <c r="AI275" s="236" t="s">
        <v>133</v>
      </c>
      <c r="AJ275" s="212" t="s">
        <v>2244</v>
      </c>
      <c r="AK275" s="141" t="s">
        <v>665</v>
      </c>
      <c r="AL275" s="141" t="s">
        <v>665</v>
      </c>
      <c r="AM275" s="141" t="s">
        <v>2630</v>
      </c>
      <c r="AN275" s="141" t="s">
        <v>1197</v>
      </c>
      <c r="AO275" s="143"/>
      <c r="AP275" s="143"/>
      <c r="AQ275" s="143"/>
      <c r="AR275" s="143"/>
      <c r="AS275" s="143"/>
      <c r="AT275" s="143"/>
      <c r="AU275" s="239"/>
      <c r="AV275" s="141"/>
      <c r="AW275" s="205"/>
      <c r="AX275" s="206"/>
      <c r="AY275" s="245"/>
      <c r="AZ275" s="245"/>
      <c r="BA275" s="245"/>
      <c r="BB275" s="245"/>
    </row>
    <row r="276" spans="1:54" s="213" customFormat="1" ht="30">
      <c r="A276" s="140" t="s">
        <v>6</v>
      </c>
      <c r="B276" s="129">
        <v>274</v>
      </c>
      <c r="C276" s="236" t="s">
        <v>931</v>
      </c>
      <c r="D276" s="236" t="s">
        <v>3095</v>
      </c>
      <c r="E276" s="241" t="s">
        <v>430</v>
      </c>
      <c r="F276" s="241" t="s">
        <v>431</v>
      </c>
      <c r="G276" s="141" t="s">
        <v>665</v>
      </c>
      <c r="H276" s="141" t="s">
        <v>1228</v>
      </c>
      <c r="I276" s="141" t="s">
        <v>1229</v>
      </c>
      <c r="J276" s="141" t="s">
        <v>815</v>
      </c>
      <c r="K276" s="141" t="s">
        <v>815</v>
      </c>
      <c r="L276" s="141" t="s">
        <v>665</v>
      </c>
      <c r="M276" s="141" t="s">
        <v>665</v>
      </c>
      <c r="N276" s="141">
        <v>1000</v>
      </c>
      <c r="O276" s="141" t="s">
        <v>930</v>
      </c>
      <c r="P276" s="141" t="s">
        <v>665</v>
      </c>
      <c r="Q276" s="141">
        <v>8</v>
      </c>
      <c r="R276" s="141">
        <v>23</v>
      </c>
      <c r="S276" s="141">
        <v>27</v>
      </c>
      <c r="T276" s="236">
        <v>13</v>
      </c>
      <c r="U276" s="141" t="s">
        <v>88</v>
      </c>
      <c r="V276" s="141" t="s">
        <v>91</v>
      </c>
      <c r="W276" s="141" t="s">
        <v>665</v>
      </c>
      <c r="X276" s="141" t="s">
        <v>665</v>
      </c>
      <c r="Y276" s="141" t="s">
        <v>339</v>
      </c>
      <c r="Z276" s="141" t="s">
        <v>665</v>
      </c>
      <c r="AA276" s="141">
        <v>1E-3</v>
      </c>
      <c r="AB276" s="141" t="s">
        <v>665</v>
      </c>
      <c r="AC276" s="141" t="s">
        <v>665</v>
      </c>
      <c r="AD276" s="141" t="s">
        <v>665</v>
      </c>
      <c r="AE276" s="141" t="s">
        <v>665</v>
      </c>
      <c r="AF276" s="236">
        <v>0</v>
      </c>
      <c r="AG276" s="236">
        <v>0</v>
      </c>
      <c r="AH276" s="236" t="s">
        <v>358</v>
      </c>
      <c r="AI276" s="236" t="s">
        <v>133</v>
      </c>
      <c r="AJ276" s="212" t="s">
        <v>2244</v>
      </c>
      <c r="AK276" s="141" t="s">
        <v>665</v>
      </c>
      <c r="AL276" s="141" t="s">
        <v>665</v>
      </c>
      <c r="AM276" s="141" t="s">
        <v>2631</v>
      </c>
      <c r="AN276" s="141" t="s">
        <v>1197</v>
      </c>
      <c r="AO276" s="143"/>
      <c r="AP276" s="143"/>
      <c r="AQ276" s="143"/>
      <c r="AR276" s="143"/>
      <c r="AS276" s="143"/>
      <c r="AT276" s="143"/>
      <c r="AU276" s="239"/>
      <c r="AV276" s="141"/>
      <c r="AW276" s="205"/>
      <c r="AX276" s="206"/>
      <c r="AY276" s="245"/>
      <c r="AZ276" s="245"/>
      <c r="BA276" s="245"/>
      <c r="BB276" s="245"/>
    </row>
    <row r="277" spans="1:54" s="213" customFormat="1" ht="30">
      <c r="A277" s="140" t="s">
        <v>6</v>
      </c>
      <c r="B277" s="129">
        <v>275</v>
      </c>
      <c r="C277" s="236" t="s">
        <v>931</v>
      </c>
      <c r="D277" s="236" t="s">
        <v>3095</v>
      </c>
      <c r="E277" s="241" t="s">
        <v>432</v>
      </c>
      <c r="F277" s="241" t="s">
        <v>433</v>
      </c>
      <c r="G277" s="141" t="s">
        <v>665</v>
      </c>
      <c r="H277" s="141" t="s">
        <v>1228</v>
      </c>
      <c r="I277" s="141" t="s">
        <v>1229</v>
      </c>
      <c r="J277" s="141" t="s">
        <v>815</v>
      </c>
      <c r="K277" s="141" t="s">
        <v>815</v>
      </c>
      <c r="L277" s="141" t="s">
        <v>665</v>
      </c>
      <c r="M277" s="141" t="s">
        <v>665</v>
      </c>
      <c r="N277" s="141">
        <v>1000</v>
      </c>
      <c r="O277" s="141" t="s">
        <v>930</v>
      </c>
      <c r="P277" s="141" t="s">
        <v>665</v>
      </c>
      <c r="Q277" s="141">
        <v>8</v>
      </c>
      <c r="R277" s="141">
        <v>39</v>
      </c>
      <c r="S277" s="141">
        <v>43</v>
      </c>
      <c r="T277" s="236">
        <v>13</v>
      </c>
      <c r="U277" s="141" t="s">
        <v>88</v>
      </c>
      <c r="V277" s="141" t="s">
        <v>91</v>
      </c>
      <c r="W277" s="141" t="s">
        <v>665</v>
      </c>
      <c r="X277" s="141" t="s">
        <v>665</v>
      </c>
      <c r="Y277" s="141" t="s">
        <v>339</v>
      </c>
      <c r="Z277" s="141" t="s">
        <v>665</v>
      </c>
      <c r="AA277" s="141">
        <v>1E-3</v>
      </c>
      <c r="AB277" s="141" t="s">
        <v>665</v>
      </c>
      <c r="AC277" s="141" t="s">
        <v>665</v>
      </c>
      <c r="AD277" s="141" t="s">
        <v>665</v>
      </c>
      <c r="AE277" s="141" t="s">
        <v>665</v>
      </c>
      <c r="AF277" s="236">
        <v>0</v>
      </c>
      <c r="AG277" s="236">
        <v>0</v>
      </c>
      <c r="AH277" s="236" t="s">
        <v>358</v>
      </c>
      <c r="AI277" s="236" t="s">
        <v>133</v>
      </c>
      <c r="AJ277" s="212" t="s">
        <v>2244</v>
      </c>
      <c r="AK277" s="141" t="s">
        <v>665</v>
      </c>
      <c r="AL277" s="141" t="s">
        <v>665</v>
      </c>
      <c r="AM277" s="141" t="s">
        <v>2631</v>
      </c>
      <c r="AN277" s="141" t="s">
        <v>1197</v>
      </c>
      <c r="AO277" s="143"/>
      <c r="AP277" s="143"/>
      <c r="AQ277" s="143"/>
      <c r="AR277" s="143"/>
      <c r="AS277" s="143"/>
      <c r="AT277" s="143"/>
      <c r="AU277" s="239"/>
      <c r="AV277" s="141"/>
      <c r="AW277" s="205"/>
      <c r="AX277" s="206"/>
      <c r="AY277" s="245"/>
      <c r="AZ277" s="245"/>
      <c r="BA277" s="245"/>
      <c r="BB277" s="245"/>
    </row>
    <row r="278" spans="1:54" s="213" customFormat="1" ht="30">
      <c r="A278" s="140" t="s">
        <v>6</v>
      </c>
      <c r="B278" s="129">
        <v>276</v>
      </c>
      <c r="C278" s="236" t="s">
        <v>931</v>
      </c>
      <c r="D278" s="236" t="s">
        <v>3095</v>
      </c>
      <c r="E278" s="241" t="s">
        <v>434</v>
      </c>
      <c r="F278" s="241" t="s">
        <v>435</v>
      </c>
      <c r="G278" s="141" t="s">
        <v>665</v>
      </c>
      <c r="H278" s="141" t="s">
        <v>1228</v>
      </c>
      <c r="I278" s="141" t="s">
        <v>1229</v>
      </c>
      <c r="J278" s="141" t="s">
        <v>815</v>
      </c>
      <c r="K278" s="141" t="s">
        <v>815</v>
      </c>
      <c r="L278" s="141" t="s">
        <v>665</v>
      </c>
      <c r="M278" s="141" t="s">
        <v>665</v>
      </c>
      <c r="N278" s="141">
        <v>1000</v>
      </c>
      <c r="O278" s="141" t="s">
        <v>930</v>
      </c>
      <c r="P278" s="141" t="s">
        <v>665</v>
      </c>
      <c r="Q278" s="141">
        <v>8</v>
      </c>
      <c r="R278" s="141">
        <v>55</v>
      </c>
      <c r="S278" s="141">
        <v>59</v>
      </c>
      <c r="T278" s="236">
        <v>13</v>
      </c>
      <c r="U278" s="141" t="s">
        <v>88</v>
      </c>
      <c r="V278" s="141" t="s">
        <v>91</v>
      </c>
      <c r="W278" s="141" t="s">
        <v>665</v>
      </c>
      <c r="X278" s="141" t="s">
        <v>665</v>
      </c>
      <c r="Y278" s="141" t="s">
        <v>339</v>
      </c>
      <c r="Z278" s="141" t="s">
        <v>665</v>
      </c>
      <c r="AA278" s="141">
        <v>1E-3</v>
      </c>
      <c r="AB278" s="141" t="s">
        <v>665</v>
      </c>
      <c r="AC278" s="141" t="s">
        <v>665</v>
      </c>
      <c r="AD278" s="141" t="s">
        <v>665</v>
      </c>
      <c r="AE278" s="141" t="s">
        <v>665</v>
      </c>
      <c r="AF278" s="236">
        <v>0</v>
      </c>
      <c r="AG278" s="236">
        <v>0</v>
      </c>
      <c r="AH278" s="236" t="s">
        <v>358</v>
      </c>
      <c r="AI278" s="236" t="s">
        <v>133</v>
      </c>
      <c r="AJ278" s="212" t="s">
        <v>2244</v>
      </c>
      <c r="AK278" s="141" t="s">
        <v>665</v>
      </c>
      <c r="AL278" s="141" t="s">
        <v>665</v>
      </c>
      <c r="AM278" s="141" t="s">
        <v>2631</v>
      </c>
      <c r="AN278" s="141" t="s">
        <v>1197</v>
      </c>
      <c r="AO278" s="143"/>
      <c r="AP278" s="143"/>
      <c r="AQ278" s="143"/>
      <c r="AR278" s="143"/>
      <c r="AS278" s="143"/>
      <c r="AT278" s="143"/>
      <c r="AU278" s="239"/>
      <c r="AV278" s="141"/>
      <c r="AW278" s="205"/>
      <c r="AX278" s="206"/>
      <c r="AY278" s="245"/>
      <c r="AZ278" s="245"/>
      <c r="BA278" s="245"/>
      <c r="BB278" s="245"/>
    </row>
    <row r="279" spans="1:54" s="213" customFormat="1" ht="30">
      <c r="A279" s="140" t="s">
        <v>6</v>
      </c>
      <c r="B279" s="129">
        <v>277</v>
      </c>
      <c r="C279" s="236" t="s">
        <v>931</v>
      </c>
      <c r="D279" s="236" t="s">
        <v>3095</v>
      </c>
      <c r="E279" s="241" t="s">
        <v>436</v>
      </c>
      <c r="F279" s="241" t="s">
        <v>437</v>
      </c>
      <c r="G279" s="141" t="s">
        <v>665</v>
      </c>
      <c r="H279" s="141" t="s">
        <v>1231</v>
      </c>
      <c r="I279" s="141" t="s">
        <v>1232</v>
      </c>
      <c r="J279" s="141" t="s">
        <v>815</v>
      </c>
      <c r="K279" s="141" t="s">
        <v>815</v>
      </c>
      <c r="L279" s="141" t="s">
        <v>665</v>
      </c>
      <c r="M279" s="141" t="s">
        <v>665</v>
      </c>
      <c r="N279" s="141">
        <v>1000</v>
      </c>
      <c r="O279" s="141" t="s">
        <v>930</v>
      </c>
      <c r="P279" s="141" t="s">
        <v>665</v>
      </c>
      <c r="Q279" s="141">
        <v>8</v>
      </c>
      <c r="R279" s="141">
        <v>7</v>
      </c>
      <c r="S279" s="141">
        <v>11</v>
      </c>
      <c r="T279" s="236">
        <v>13</v>
      </c>
      <c r="U279" s="141" t="s">
        <v>88</v>
      </c>
      <c r="V279" s="141" t="s">
        <v>91</v>
      </c>
      <c r="W279" s="141" t="s">
        <v>665</v>
      </c>
      <c r="X279" s="141" t="s">
        <v>665</v>
      </c>
      <c r="Y279" s="141" t="s">
        <v>339</v>
      </c>
      <c r="Z279" s="141" t="s">
        <v>665</v>
      </c>
      <c r="AA279" s="141">
        <v>1E-3</v>
      </c>
      <c r="AB279" s="141" t="s">
        <v>665</v>
      </c>
      <c r="AC279" s="141" t="s">
        <v>665</v>
      </c>
      <c r="AD279" s="141" t="s">
        <v>665</v>
      </c>
      <c r="AE279" s="141" t="s">
        <v>665</v>
      </c>
      <c r="AF279" s="236">
        <v>0</v>
      </c>
      <c r="AG279" s="236">
        <v>0</v>
      </c>
      <c r="AH279" s="236" t="s">
        <v>358</v>
      </c>
      <c r="AI279" s="236" t="s">
        <v>133</v>
      </c>
      <c r="AJ279" s="212" t="s">
        <v>2244</v>
      </c>
      <c r="AK279" s="141" t="s">
        <v>665</v>
      </c>
      <c r="AL279" s="141" t="s">
        <v>665</v>
      </c>
      <c r="AM279" s="141" t="s">
        <v>2630</v>
      </c>
      <c r="AN279" s="141" t="s">
        <v>1197</v>
      </c>
      <c r="AO279" s="143"/>
      <c r="AP279" s="143"/>
      <c r="AQ279" s="143"/>
      <c r="AR279" s="143"/>
      <c r="AS279" s="143"/>
      <c r="AT279" s="143"/>
      <c r="AU279" s="239"/>
      <c r="AV279" s="141"/>
      <c r="AW279" s="205"/>
      <c r="AX279" s="206"/>
      <c r="AY279" s="245"/>
      <c r="AZ279" s="245"/>
      <c r="BA279" s="245"/>
      <c r="BB279" s="245"/>
    </row>
    <row r="280" spans="1:54" s="213" customFormat="1" ht="30">
      <c r="A280" s="140" t="s">
        <v>6</v>
      </c>
      <c r="B280" s="129">
        <v>278</v>
      </c>
      <c r="C280" s="236" t="s">
        <v>931</v>
      </c>
      <c r="D280" s="236" t="s">
        <v>3095</v>
      </c>
      <c r="E280" s="241" t="s">
        <v>438</v>
      </c>
      <c r="F280" s="241" t="s">
        <v>439</v>
      </c>
      <c r="G280" s="141" t="s">
        <v>665</v>
      </c>
      <c r="H280" s="141" t="s">
        <v>1231</v>
      </c>
      <c r="I280" s="141" t="s">
        <v>1232</v>
      </c>
      <c r="J280" s="141" t="s">
        <v>815</v>
      </c>
      <c r="K280" s="141" t="s">
        <v>815</v>
      </c>
      <c r="L280" s="141" t="s">
        <v>665</v>
      </c>
      <c r="M280" s="141" t="s">
        <v>665</v>
      </c>
      <c r="N280" s="141">
        <v>1000</v>
      </c>
      <c r="O280" s="141" t="s">
        <v>930</v>
      </c>
      <c r="P280" s="141" t="s">
        <v>665</v>
      </c>
      <c r="Q280" s="141">
        <v>8</v>
      </c>
      <c r="R280" s="141">
        <v>23</v>
      </c>
      <c r="S280" s="141">
        <v>27</v>
      </c>
      <c r="T280" s="236">
        <v>13</v>
      </c>
      <c r="U280" s="141" t="s">
        <v>88</v>
      </c>
      <c r="V280" s="141" t="s">
        <v>91</v>
      </c>
      <c r="W280" s="141" t="s">
        <v>665</v>
      </c>
      <c r="X280" s="141" t="s">
        <v>665</v>
      </c>
      <c r="Y280" s="141" t="s">
        <v>339</v>
      </c>
      <c r="Z280" s="141" t="s">
        <v>665</v>
      </c>
      <c r="AA280" s="141">
        <v>1E-3</v>
      </c>
      <c r="AB280" s="141" t="s">
        <v>665</v>
      </c>
      <c r="AC280" s="141" t="s">
        <v>665</v>
      </c>
      <c r="AD280" s="141" t="s">
        <v>665</v>
      </c>
      <c r="AE280" s="141" t="s">
        <v>665</v>
      </c>
      <c r="AF280" s="236">
        <v>0</v>
      </c>
      <c r="AG280" s="236">
        <v>0</v>
      </c>
      <c r="AH280" s="236" t="s">
        <v>358</v>
      </c>
      <c r="AI280" s="236" t="s">
        <v>133</v>
      </c>
      <c r="AJ280" s="212" t="s">
        <v>2244</v>
      </c>
      <c r="AK280" s="141" t="s">
        <v>665</v>
      </c>
      <c r="AL280" s="141" t="s">
        <v>665</v>
      </c>
      <c r="AM280" s="141" t="s">
        <v>2631</v>
      </c>
      <c r="AN280" s="141" t="s">
        <v>1197</v>
      </c>
      <c r="AO280" s="143"/>
      <c r="AP280" s="143"/>
      <c r="AQ280" s="143"/>
      <c r="AR280" s="143"/>
      <c r="AS280" s="143"/>
      <c r="AT280" s="143"/>
      <c r="AU280" s="239"/>
      <c r="AV280" s="141"/>
      <c r="AW280" s="205"/>
      <c r="AX280" s="206"/>
      <c r="AY280" s="245"/>
      <c r="AZ280" s="245"/>
      <c r="BA280" s="245"/>
      <c r="BB280" s="245"/>
    </row>
    <row r="281" spans="1:54" s="213" customFormat="1" ht="30">
      <c r="A281" s="140" t="s">
        <v>6</v>
      </c>
      <c r="B281" s="129">
        <v>279</v>
      </c>
      <c r="C281" s="236" t="s">
        <v>931</v>
      </c>
      <c r="D281" s="236" t="s">
        <v>3095</v>
      </c>
      <c r="E281" s="241" t="s">
        <v>440</v>
      </c>
      <c r="F281" s="241" t="s">
        <v>441</v>
      </c>
      <c r="G281" s="141" t="s">
        <v>665</v>
      </c>
      <c r="H281" s="141" t="s">
        <v>1231</v>
      </c>
      <c r="I281" s="141" t="s">
        <v>1232</v>
      </c>
      <c r="J281" s="141" t="s">
        <v>815</v>
      </c>
      <c r="K281" s="141" t="s">
        <v>815</v>
      </c>
      <c r="L281" s="141" t="s">
        <v>665</v>
      </c>
      <c r="M281" s="141" t="s">
        <v>665</v>
      </c>
      <c r="N281" s="141">
        <v>1000</v>
      </c>
      <c r="O281" s="141" t="s">
        <v>930</v>
      </c>
      <c r="P281" s="141" t="s">
        <v>665</v>
      </c>
      <c r="Q281" s="141">
        <v>8</v>
      </c>
      <c r="R281" s="141">
        <v>39</v>
      </c>
      <c r="S281" s="141">
        <v>43</v>
      </c>
      <c r="T281" s="236">
        <v>13</v>
      </c>
      <c r="U281" s="141" t="s">
        <v>88</v>
      </c>
      <c r="V281" s="141" t="s">
        <v>91</v>
      </c>
      <c r="W281" s="141" t="s">
        <v>665</v>
      </c>
      <c r="X281" s="141" t="s">
        <v>665</v>
      </c>
      <c r="Y281" s="141" t="s">
        <v>339</v>
      </c>
      <c r="Z281" s="141" t="s">
        <v>665</v>
      </c>
      <c r="AA281" s="141">
        <v>1E-3</v>
      </c>
      <c r="AB281" s="141" t="s">
        <v>665</v>
      </c>
      <c r="AC281" s="141" t="s">
        <v>665</v>
      </c>
      <c r="AD281" s="141" t="s">
        <v>665</v>
      </c>
      <c r="AE281" s="141" t="s">
        <v>665</v>
      </c>
      <c r="AF281" s="236">
        <v>0</v>
      </c>
      <c r="AG281" s="236">
        <v>0</v>
      </c>
      <c r="AH281" s="236" t="s">
        <v>358</v>
      </c>
      <c r="AI281" s="236" t="s">
        <v>133</v>
      </c>
      <c r="AJ281" s="212" t="s">
        <v>2244</v>
      </c>
      <c r="AK281" s="141" t="s">
        <v>665</v>
      </c>
      <c r="AL281" s="141" t="s">
        <v>665</v>
      </c>
      <c r="AM281" s="141" t="s">
        <v>2630</v>
      </c>
      <c r="AN281" s="141" t="s">
        <v>1197</v>
      </c>
      <c r="AO281" s="143"/>
      <c r="AP281" s="143"/>
      <c r="AQ281" s="143"/>
      <c r="AR281" s="143"/>
      <c r="AS281" s="143"/>
      <c r="AT281" s="143"/>
      <c r="AU281" s="239"/>
      <c r="AV281" s="141"/>
      <c r="AW281" s="205"/>
      <c r="AX281" s="206"/>
      <c r="AY281" s="245"/>
      <c r="AZ281" s="245"/>
      <c r="BA281" s="245"/>
      <c r="BB281" s="245"/>
    </row>
    <row r="282" spans="1:54" s="213" customFormat="1" ht="30">
      <c r="A282" s="140" t="s">
        <v>6</v>
      </c>
      <c r="B282" s="129">
        <v>280</v>
      </c>
      <c r="C282" s="236" t="s">
        <v>931</v>
      </c>
      <c r="D282" s="236" t="s">
        <v>3095</v>
      </c>
      <c r="E282" s="241" t="s">
        <v>442</v>
      </c>
      <c r="F282" s="241" t="s">
        <v>443</v>
      </c>
      <c r="G282" s="141" t="s">
        <v>665</v>
      </c>
      <c r="H282" s="141" t="s">
        <v>1231</v>
      </c>
      <c r="I282" s="141" t="s">
        <v>1232</v>
      </c>
      <c r="J282" s="141" t="s">
        <v>815</v>
      </c>
      <c r="K282" s="141" t="s">
        <v>815</v>
      </c>
      <c r="L282" s="141" t="s">
        <v>665</v>
      </c>
      <c r="M282" s="141" t="s">
        <v>665</v>
      </c>
      <c r="N282" s="141">
        <v>1000</v>
      </c>
      <c r="O282" s="141" t="s">
        <v>930</v>
      </c>
      <c r="P282" s="141" t="s">
        <v>665</v>
      </c>
      <c r="Q282" s="141">
        <v>8</v>
      </c>
      <c r="R282" s="141">
        <v>55</v>
      </c>
      <c r="S282" s="141">
        <v>59</v>
      </c>
      <c r="T282" s="236">
        <v>13</v>
      </c>
      <c r="U282" s="141" t="s">
        <v>88</v>
      </c>
      <c r="V282" s="141" t="s">
        <v>91</v>
      </c>
      <c r="W282" s="141" t="s">
        <v>665</v>
      </c>
      <c r="X282" s="141" t="s">
        <v>665</v>
      </c>
      <c r="Y282" s="141" t="s">
        <v>339</v>
      </c>
      <c r="Z282" s="141" t="s">
        <v>665</v>
      </c>
      <c r="AA282" s="141">
        <v>1E-3</v>
      </c>
      <c r="AB282" s="141" t="s">
        <v>665</v>
      </c>
      <c r="AC282" s="141" t="s">
        <v>665</v>
      </c>
      <c r="AD282" s="141" t="s">
        <v>665</v>
      </c>
      <c r="AE282" s="141" t="s">
        <v>665</v>
      </c>
      <c r="AF282" s="236">
        <v>0</v>
      </c>
      <c r="AG282" s="236">
        <v>0</v>
      </c>
      <c r="AH282" s="236" t="s">
        <v>358</v>
      </c>
      <c r="AI282" s="236" t="s">
        <v>133</v>
      </c>
      <c r="AJ282" s="212" t="s">
        <v>2244</v>
      </c>
      <c r="AK282" s="141" t="s">
        <v>665</v>
      </c>
      <c r="AL282" s="141" t="s">
        <v>665</v>
      </c>
      <c r="AM282" s="141" t="s">
        <v>2636</v>
      </c>
      <c r="AN282" s="141" t="s">
        <v>1197</v>
      </c>
      <c r="AO282" s="143"/>
      <c r="AP282" s="143"/>
      <c r="AQ282" s="143"/>
      <c r="AR282" s="143"/>
      <c r="AS282" s="143"/>
      <c r="AT282" s="143"/>
      <c r="AU282" s="239"/>
      <c r="AV282" s="141"/>
      <c r="AW282" s="205"/>
      <c r="AX282" s="206"/>
      <c r="AY282" s="245"/>
      <c r="AZ282" s="245"/>
      <c r="BA282" s="245"/>
      <c r="BB282" s="245"/>
    </row>
    <row r="283" spans="1:54" s="473" customFormat="1" ht="30">
      <c r="A283" s="470" t="s">
        <v>2471</v>
      </c>
      <c r="B283" s="452">
        <v>281</v>
      </c>
      <c r="C283" s="450" t="s">
        <v>937</v>
      </c>
      <c r="D283" s="452" t="s">
        <v>3095</v>
      </c>
      <c r="E283" s="455" t="s">
        <v>2472</v>
      </c>
      <c r="F283" s="455" t="s">
        <v>984</v>
      </c>
      <c r="G283" s="450" t="s">
        <v>2473</v>
      </c>
      <c r="H283" s="452" t="s">
        <v>2474</v>
      </c>
      <c r="I283" s="452" t="s">
        <v>2475</v>
      </c>
      <c r="J283" s="452" t="s">
        <v>2476</v>
      </c>
      <c r="K283" s="452" t="s">
        <v>2476</v>
      </c>
      <c r="L283" s="452" t="s">
        <v>2477</v>
      </c>
      <c r="M283" s="452" t="s">
        <v>2477</v>
      </c>
      <c r="N283" s="452">
        <v>1000</v>
      </c>
      <c r="O283" s="452">
        <v>1000</v>
      </c>
      <c r="P283" s="452" t="s">
        <v>2477</v>
      </c>
      <c r="Q283" s="452">
        <v>8</v>
      </c>
      <c r="R283" s="452">
        <v>7</v>
      </c>
      <c r="S283" s="452">
        <v>8</v>
      </c>
      <c r="T283" s="452">
        <v>16</v>
      </c>
      <c r="U283" s="450" t="s">
        <v>2478</v>
      </c>
      <c r="V283" s="450" t="s">
        <v>2479</v>
      </c>
      <c r="W283" s="452">
        <v>500</v>
      </c>
      <c r="X283" s="450" t="s">
        <v>2473</v>
      </c>
      <c r="Y283" s="450" t="s">
        <v>2480</v>
      </c>
      <c r="Z283" s="452" t="s">
        <v>194</v>
      </c>
      <c r="AA283" s="452">
        <v>1E-3</v>
      </c>
      <c r="AB283" s="452" t="s">
        <v>2481</v>
      </c>
      <c r="AC283" s="450" t="s">
        <v>2473</v>
      </c>
      <c r="AD283" s="452" t="s">
        <v>2481</v>
      </c>
      <c r="AE283" s="450" t="s">
        <v>2473</v>
      </c>
      <c r="AF283" s="452">
        <v>0</v>
      </c>
      <c r="AG283" s="452">
        <v>0</v>
      </c>
      <c r="AH283" s="452">
        <v>5</v>
      </c>
      <c r="AI283" s="452" t="s">
        <v>2482</v>
      </c>
      <c r="AJ283" s="461" t="s">
        <v>2483</v>
      </c>
      <c r="AK283" s="450" t="s">
        <v>2473</v>
      </c>
      <c r="AL283" s="471" t="s">
        <v>2577</v>
      </c>
      <c r="AM283" s="450" t="s">
        <v>807</v>
      </c>
      <c r="AN283" s="285"/>
      <c r="AO283" s="285"/>
      <c r="AP283" s="285"/>
      <c r="AQ283" s="285"/>
      <c r="AR283" s="285"/>
      <c r="AS283" s="285"/>
      <c r="AT283" s="285"/>
      <c r="AU283" s="285"/>
      <c r="AV283" s="285"/>
      <c r="AW283" s="285"/>
      <c r="AX283" s="285"/>
      <c r="AY283" s="285"/>
      <c r="AZ283" s="285"/>
    </row>
    <row r="284" spans="1:54" s="473" customFormat="1" ht="30">
      <c r="A284" s="470" t="s">
        <v>2484</v>
      </c>
      <c r="B284" s="452">
        <v>282</v>
      </c>
      <c r="C284" s="450" t="s">
        <v>2485</v>
      </c>
      <c r="D284" s="452" t="s">
        <v>3095</v>
      </c>
      <c r="E284" s="461" t="s">
        <v>2486</v>
      </c>
      <c r="F284" s="455" t="s">
        <v>987</v>
      </c>
      <c r="G284" s="450" t="s">
        <v>665</v>
      </c>
      <c r="H284" s="452" t="s">
        <v>2474</v>
      </c>
      <c r="I284" s="452" t="s">
        <v>2475</v>
      </c>
      <c r="J284" s="452" t="s">
        <v>815</v>
      </c>
      <c r="K284" s="452" t="s">
        <v>815</v>
      </c>
      <c r="L284" s="452" t="s">
        <v>193</v>
      </c>
      <c r="M284" s="452" t="s">
        <v>193</v>
      </c>
      <c r="N284" s="452">
        <v>1000</v>
      </c>
      <c r="O284" s="452">
        <v>1000</v>
      </c>
      <c r="P284" s="452" t="s">
        <v>193</v>
      </c>
      <c r="Q284" s="452">
        <v>8</v>
      </c>
      <c r="R284" s="452">
        <v>23</v>
      </c>
      <c r="S284" s="452">
        <v>24</v>
      </c>
      <c r="T284" s="452">
        <v>16</v>
      </c>
      <c r="U284" s="450" t="s">
        <v>2478</v>
      </c>
      <c r="V284" s="450" t="s">
        <v>2479</v>
      </c>
      <c r="W284" s="452">
        <v>500</v>
      </c>
      <c r="X284" s="450" t="s">
        <v>665</v>
      </c>
      <c r="Y284" s="450" t="s">
        <v>2480</v>
      </c>
      <c r="Z284" s="452" t="s">
        <v>194</v>
      </c>
      <c r="AA284" s="452">
        <v>1E-3</v>
      </c>
      <c r="AB284" s="452" t="s">
        <v>2481</v>
      </c>
      <c r="AC284" s="450" t="s">
        <v>665</v>
      </c>
      <c r="AD284" s="452" t="s">
        <v>2481</v>
      </c>
      <c r="AE284" s="450" t="s">
        <v>665</v>
      </c>
      <c r="AF284" s="452">
        <v>0</v>
      </c>
      <c r="AG284" s="452">
        <v>0</v>
      </c>
      <c r="AH284" s="452">
        <v>5</v>
      </c>
      <c r="AI284" s="452" t="s">
        <v>956</v>
      </c>
      <c r="AJ284" s="461" t="s">
        <v>2483</v>
      </c>
      <c r="AK284" s="450" t="s">
        <v>665</v>
      </c>
      <c r="AL284" s="471" t="s">
        <v>2577</v>
      </c>
      <c r="AM284" s="450" t="s">
        <v>2574</v>
      </c>
      <c r="AN284" s="285"/>
      <c r="AO284" s="285"/>
      <c r="AP284" s="285"/>
      <c r="AQ284" s="285"/>
      <c r="AR284" s="285"/>
      <c r="AS284" s="285"/>
      <c r="AT284" s="285"/>
      <c r="AU284" s="285"/>
      <c r="AV284" s="285"/>
      <c r="AW284" s="285"/>
      <c r="AX284" s="285"/>
      <c r="AY284" s="285"/>
      <c r="AZ284" s="285"/>
    </row>
    <row r="285" spans="1:54" s="473" customFormat="1" ht="30">
      <c r="A285" s="470" t="s">
        <v>2487</v>
      </c>
      <c r="B285" s="452">
        <v>283</v>
      </c>
      <c r="C285" s="450" t="s">
        <v>2488</v>
      </c>
      <c r="D285" s="452" t="s">
        <v>3095</v>
      </c>
      <c r="E285" s="455" t="s">
        <v>2489</v>
      </c>
      <c r="F285" s="455" t="s">
        <v>2490</v>
      </c>
      <c r="G285" s="450" t="s">
        <v>2491</v>
      </c>
      <c r="H285" s="452" t="s">
        <v>2474</v>
      </c>
      <c r="I285" s="452" t="s">
        <v>2475</v>
      </c>
      <c r="J285" s="452" t="s">
        <v>2492</v>
      </c>
      <c r="K285" s="452" t="s">
        <v>2492</v>
      </c>
      <c r="L285" s="452" t="s">
        <v>2493</v>
      </c>
      <c r="M285" s="452" t="s">
        <v>2493</v>
      </c>
      <c r="N285" s="452">
        <v>1000</v>
      </c>
      <c r="O285" s="452">
        <v>1000</v>
      </c>
      <c r="P285" s="452" t="s">
        <v>2493</v>
      </c>
      <c r="Q285" s="452">
        <v>8</v>
      </c>
      <c r="R285" s="452">
        <v>39</v>
      </c>
      <c r="S285" s="452">
        <v>32</v>
      </c>
      <c r="T285" s="452">
        <v>8</v>
      </c>
      <c r="U285" s="450" t="s">
        <v>2478</v>
      </c>
      <c r="V285" s="450" t="s">
        <v>2479</v>
      </c>
      <c r="W285" s="452" t="s">
        <v>2494</v>
      </c>
      <c r="X285" s="450" t="s">
        <v>2495</v>
      </c>
      <c r="Y285" s="450" t="s">
        <v>2496</v>
      </c>
      <c r="Z285" s="452" t="s">
        <v>2496</v>
      </c>
      <c r="AA285" s="452">
        <v>1</v>
      </c>
      <c r="AB285" s="452" t="s">
        <v>2495</v>
      </c>
      <c r="AC285" s="450" t="s">
        <v>2495</v>
      </c>
      <c r="AD285" s="452" t="s">
        <v>2495</v>
      </c>
      <c r="AE285" s="450" t="s">
        <v>2495</v>
      </c>
      <c r="AF285" s="452">
        <v>1</v>
      </c>
      <c r="AG285" s="452">
        <v>1</v>
      </c>
      <c r="AH285" s="452">
        <v>130</v>
      </c>
      <c r="AI285" s="452" t="s">
        <v>2495</v>
      </c>
      <c r="AJ285" s="461" t="s">
        <v>2497</v>
      </c>
      <c r="AK285" s="450" t="s">
        <v>2498</v>
      </c>
      <c r="AL285" s="471" t="s">
        <v>2577</v>
      </c>
      <c r="AM285" s="450" t="s">
        <v>807</v>
      </c>
      <c r="AN285" s="285"/>
      <c r="AO285" s="285"/>
      <c r="AP285" s="285"/>
      <c r="AQ285" s="285"/>
      <c r="AR285" s="285"/>
      <c r="AS285" s="285"/>
      <c r="AT285" s="285"/>
      <c r="AU285" s="285"/>
      <c r="AV285" s="285"/>
      <c r="AW285" s="285"/>
      <c r="AX285" s="285"/>
      <c r="AY285" s="285"/>
      <c r="AZ285" s="285"/>
    </row>
    <row r="286" spans="1:54" s="473" customFormat="1" ht="30">
      <c r="A286" s="470" t="s">
        <v>6</v>
      </c>
      <c r="B286" s="452">
        <v>284</v>
      </c>
      <c r="C286" s="450" t="s">
        <v>2499</v>
      </c>
      <c r="D286" s="452" t="s">
        <v>3095</v>
      </c>
      <c r="E286" s="461" t="s">
        <v>2500</v>
      </c>
      <c r="F286" s="455" t="s">
        <v>2501</v>
      </c>
      <c r="G286" s="450" t="s">
        <v>665</v>
      </c>
      <c r="H286" s="452" t="s">
        <v>2474</v>
      </c>
      <c r="I286" s="452" t="s">
        <v>2475</v>
      </c>
      <c r="J286" s="452" t="s">
        <v>815</v>
      </c>
      <c r="K286" s="452" t="s">
        <v>815</v>
      </c>
      <c r="L286" s="452" t="s">
        <v>193</v>
      </c>
      <c r="M286" s="452" t="s">
        <v>193</v>
      </c>
      <c r="N286" s="452">
        <v>1000</v>
      </c>
      <c r="O286" s="452">
        <v>1000</v>
      </c>
      <c r="P286" s="452" t="s">
        <v>193</v>
      </c>
      <c r="Q286" s="452">
        <v>8</v>
      </c>
      <c r="R286" s="452">
        <v>47</v>
      </c>
      <c r="S286" s="452">
        <v>40</v>
      </c>
      <c r="T286" s="452">
        <v>8</v>
      </c>
      <c r="U286" s="450" t="s">
        <v>2478</v>
      </c>
      <c r="V286" s="450" t="s">
        <v>2479</v>
      </c>
      <c r="W286" s="452" t="s">
        <v>2494</v>
      </c>
      <c r="X286" s="450" t="s">
        <v>665</v>
      </c>
      <c r="Y286" s="450" t="s">
        <v>2502</v>
      </c>
      <c r="Z286" s="452" t="s">
        <v>2502</v>
      </c>
      <c r="AA286" s="452">
        <v>1</v>
      </c>
      <c r="AB286" s="452" t="s">
        <v>665</v>
      </c>
      <c r="AC286" s="450" t="s">
        <v>665</v>
      </c>
      <c r="AD286" s="452" t="s">
        <v>665</v>
      </c>
      <c r="AE286" s="450" t="s">
        <v>665</v>
      </c>
      <c r="AF286" s="452">
        <v>1</v>
      </c>
      <c r="AG286" s="452">
        <v>1</v>
      </c>
      <c r="AH286" s="452">
        <v>130</v>
      </c>
      <c r="AI286" s="452" t="s">
        <v>665</v>
      </c>
      <c r="AJ286" s="461" t="s">
        <v>2497</v>
      </c>
      <c r="AK286" s="450" t="s">
        <v>665</v>
      </c>
      <c r="AL286" s="471" t="s">
        <v>2577</v>
      </c>
      <c r="AM286" s="450" t="s">
        <v>807</v>
      </c>
      <c r="AN286" s="285"/>
      <c r="AO286" s="285"/>
      <c r="AP286" s="285"/>
      <c r="AQ286" s="285"/>
      <c r="AR286" s="285"/>
      <c r="AS286" s="285"/>
      <c r="AT286" s="285"/>
      <c r="AU286" s="285"/>
      <c r="AV286" s="285"/>
      <c r="AW286" s="285"/>
      <c r="AX286" s="285"/>
      <c r="AY286" s="285"/>
      <c r="AZ286" s="285"/>
    </row>
    <row r="287" spans="1:54" s="473" customFormat="1" ht="30">
      <c r="A287" s="470" t="s">
        <v>2503</v>
      </c>
      <c r="B287" s="452">
        <v>285</v>
      </c>
      <c r="C287" s="450" t="s">
        <v>2504</v>
      </c>
      <c r="D287" s="452" t="s">
        <v>3095</v>
      </c>
      <c r="E287" s="455" t="s">
        <v>2505</v>
      </c>
      <c r="F287" s="455" t="s">
        <v>2506</v>
      </c>
      <c r="G287" s="450" t="s">
        <v>2507</v>
      </c>
      <c r="H287" s="452" t="s">
        <v>2508</v>
      </c>
      <c r="I287" s="450" t="s">
        <v>2509</v>
      </c>
      <c r="J287" s="452" t="s">
        <v>2510</v>
      </c>
      <c r="K287" s="452" t="s">
        <v>2510</v>
      </c>
      <c r="L287" s="452" t="s">
        <v>2511</v>
      </c>
      <c r="M287" s="452" t="s">
        <v>2511</v>
      </c>
      <c r="N287" s="452">
        <v>1000</v>
      </c>
      <c r="O287" s="452">
        <v>1000</v>
      </c>
      <c r="P287" s="452" t="s">
        <v>2511</v>
      </c>
      <c r="Q287" s="452">
        <v>8</v>
      </c>
      <c r="R287" s="452">
        <v>39</v>
      </c>
      <c r="S287" s="452">
        <v>32</v>
      </c>
      <c r="T287" s="452">
        <v>8</v>
      </c>
      <c r="U287" s="450" t="s">
        <v>2478</v>
      </c>
      <c r="V287" s="450" t="s">
        <v>2479</v>
      </c>
      <c r="W287" s="452">
        <v>500</v>
      </c>
      <c r="X287" s="450" t="s">
        <v>2498</v>
      </c>
      <c r="Y287" s="450" t="s">
        <v>2512</v>
      </c>
      <c r="Z287" s="452" t="s">
        <v>194</v>
      </c>
      <c r="AA287" s="452">
        <v>1</v>
      </c>
      <c r="AB287" s="452" t="s">
        <v>2513</v>
      </c>
      <c r="AC287" s="450" t="s">
        <v>2498</v>
      </c>
      <c r="AD287" s="452" t="s">
        <v>2513</v>
      </c>
      <c r="AE287" s="450" t="s">
        <v>2498</v>
      </c>
      <c r="AF287" s="452">
        <v>-40</v>
      </c>
      <c r="AG287" s="452">
        <v>-40</v>
      </c>
      <c r="AH287" s="452">
        <v>125</v>
      </c>
      <c r="AI287" s="452" t="s">
        <v>2514</v>
      </c>
      <c r="AJ287" s="461" t="s">
        <v>2515</v>
      </c>
      <c r="AK287" s="450" t="s">
        <v>2498</v>
      </c>
      <c r="AL287" s="471" t="s">
        <v>2577</v>
      </c>
      <c r="AM287" s="450" t="s">
        <v>807</v>
      </c>
      <c r="AN287" s="285"/>
      <c r="AO287" s="285"/>
      <c r="AP287" s="285"/>
      <c r="AQ287" s="285"/>
      <c r="AR287" s="285"/>
      <c r="AS287" s="285"/>
      <c r="AT287" s="467"/>
      <c r="AU287" s="285"/>
      <c r="AV287" s="285"/>
      <c r="AW287" s="285"/>
      <c r="AX287" s="472"/>
      <c r="AY287" s="471"/>
      <c r="AZ287" s="471"/>
    </row>
    <row r="288" spans="1:54" s="477" customFormat="1" ht="30">
      <c r="A288" s="470" t="s">
        <v>2487</v>
      </c>
      <c r="B288" s="452">
        <v>286</v>
      </c>
      <c r="C288" s="450" t="s">
        <v>2488</v>
      </c>
      <c r="D288" s="452" t="s">
        <v>3095</v>
      </c>
      <c r="E288" s="455" t="s">
        <v>2516</v>
      </c>
      <c r="F288" s="455" t="s">
        <v>2517</v>
      </c>
      <c r="G288" s="450" t="s">
        <v>2491</v>
      </c>
      <c r="H288" s="452" t="s">
        <v>2518</v>
      </c>
      <c r="I288" s="450" t="s">
        <v>2509</v>
      </c>
      <c r="J288" s="452" t="s">
        <v>2492</v>
      </c>
      <c r="K288" s="452" t="s">
        <v>2492</v>
      </c>
      <c r="L288" s="452" t="s">
        <v>2493</v>
      </c>
      <c r="M288" s="452" t="s">
        <v>2493</v>
      </c>
      <c r="N288" s="452">
        <v>1000</v>
      </c>
      <c r="O288" s="452">
        <v>1000</v>
      </c>
      <c r="P288" s="452" t="s">
        <v>2493</v>
      </c>
      <c r="Q288" s="452">
        <v>8</v>
      </c>
      <c r="R288" s="452">
        <v>47</v>
      </c>
      <c r="S288" s="452">
        <v>40</v>
      </c>
      <c r="T288" s="452">
        <v>8</v>
      </c>
      <c r="U288" s="450" t="s">
        <v>2478</v>
      </c>
      <c r="V288" s="450" t="s">
        <v>2479</v>
      </c>
      <c r="W288" s="452">
        <v>500</v>
      </c>
      <c r="X288" s="450" t="s">
        <v>2491</v>
      </c>
      <c r="Y288" s="450" t="s">
        <v>2512</v>
      </c>
      <c r="Z288" s="452" t="s">
        <v>194</v>
      </c>
      <c r="AA288" s="452">
        <v>1</v>
      </c>
      <c r="AB288" s="452" t="s">
        <v>2513</v>
      </c>
      <c r="AC288" s="450" t="s">
        <v>2491</v>
      </c>
      <c r="AD288" s="452" t="s">
        <v>2513</v>
      </c>
      <c r="AE288" s="450" t="s">
        <v>2491</v>
      </c>
      <c r="AF288" s="452">
        <v>-40</v>
      </c>
      <c r="AG288" s="452">
        <v>-40</v>
      </c>
      <c r="AH288" s="452">
        <v>125</v>
      </c>
      <c r="AI288" s="474" t="s">
        <v>2519</v>
      </c>
      <c r="AJ288" s="461" t="s">
        <v>2515</v>
      </c>
      <c r="AK288" s="450" t="s">
        <v>2491</v>
      </c>
      <c r="AL288" s="475" t="s">
        <v>2578</v>
      </c>
      <c r="AM288" s="450" t="s">
        <v>2574</v>
      </c>
      <c r="AN288" s="285"/>
      <c r="AO288" s="285"/>
      <c r="AP288" s="285"/>
      <c r="AQ288" s="285"/>
      <c r="AR288" s="285"/>
      <c r="AS288" s="285"/>
      <c r="AT288" s="476"/>
      <c r="AU288" s="475"/>
      <c r="AV288" s="475"/>
      <c r="AW288" s="475"/>
      <c r="AX288" s="475"/>
      <c r="AY288" s="475"/>
      <c r="AZ288" s="475"/>
    </row>
    <row r="289" spans="1:57" s="477" customFormat="1" ht="30">
      <c r="A289" s="470" t="s">
        <v>2520</v>
      </c>
      <c r="B289" s="452">
        <v>287</v>
      </c>
      <c r="C289" s="450" t="s">
        <v>2521</v>
      </c>
      <c r="D289" s="452" t="s">
        <v>3095</v>
      </c>
      <c r="E289" s="461" t="s">
        <v>2522</v>
      </c>
      <c r="F289" s="461" t="s">
        <v>2523</v>
      </c>
      <c r="G289" s="450" t="s">
        <v>2524</v>
      </c>
      <c r="H289" s="452" t="s">
        <v>2518</v>
      </c>
      <c r="I289" s="450" t="s">
        <v>2509</v>
      </c>
      <c r="J289" s="452" t="s">
        <v>2525</v>
      </c>
      <c r="K289" s="452" t="s">
        <v>2525</v>
      </c>
      <c r="L289" s="452" t="s">
        <v>2526</v>
      </c>
      <c r="M289" s="452" t="s">
        <v>2526</v>
      </c>
      <c r="N289" s="452">
        <v>1000</v>
      </c>
      <c r="O289" s="452">
        <v>1000</v>
      </c>
      <c r="P289" s="452" t="s">
        <v>2526</v>
      </c>
      <c r="Q289" s="452">
        <v>8</v>
      </c>
      <c r="R289" s="452">
        <v>55</v>
      </c>
      <c r="S289" s="452">
        <v>50</v>
      </c>
      <c r="T289" s="452">
        <v>6</v>
      </c>
      <c r="U289" s="450" t="s">
        <v>2478</v>
      </c>
      <c r="V289" s="450" t="s">
        <v>2479</v>
      </c>
      <c r="W289" s="452" t="s">
        <v>2494</v>
      </c>
      <c r="X289" s="450" t="s">
        <v>2524</v>
      </c>
      <c r="Y289" s="450" t="s">
        <v>2502</v>
      </c>
      <c r="Z289" s="452" t="s">
        <v>2502</v>
      </c>
      <c r="AA289" s="452">
        <v>1</v>
      </c>
      <c r="AB289" s="452" t="s">
        <v>2524</v>
      </c>
      <c r="AC289" s="450" t="s">
        <v>2524</v>
      </c>
      <c r="AD289" s="452" t="s">
        <v>2524</v>
      </c>
      <c r="AE289" s="450" t="s">
        <v>2524</v>
      </c>
      <c r="AF289" s="452">
        <v>1</v>
      </c>
      <c r="AG289" s="452">
        <v>1</v>
      </c>
      <c r="AH289" s="452">
        <v>40</v>
      </c>
      <c r="AI289" s="452" t="s">
        <v>2524</v>
      </c>
      <c r="AJ289" s="461" t="s">
        <v>2527</v>
      </c>
      <c r="AK289" s="450" t="s">
        <v>2524</v>
      </c>
      <c r="AL289" s="475" t="s">
        <v>2578</v>
      </c>
      <c r="AM289" s="450" t="s">
        <v>807</v>
      </c>
      <c r="AN289" s="285"/>
      <c r="AO289" s="285"/>
      <c r="AP289" s="285"/>
      <c r="AQ289" s="285"/>
      <c r="AR289" s="285"/>
      <c r="AS289" s="285"/>
      <c r="AT289" s="476"/>
      <c r="AU289" s="475"/>
      <c r="AV289" s="475"/>
      <c r="AW289" s="475"/>
      <c r="AX289" s="475"/>
      <c r="AY289" s="475"/>
      <c r="AZ289" s="475"/>
    </row>
    <row r="290" spans="1:57" s="477" customFormat="1" ht="30">
      <c r="A290" s="470" t="s">
        <v>2471</v>
      </c>
      <c r="B290" s="452">
        <v>288</v>
      </c>
      <c r="C290" s="450" t="s">
        <v>937</v>
      </c>
      <c r="D290" s="452" t="s">
        <v>3095</v>
      </c>
      <c r="E290" s="461" t="s">
        <v>2528</v>
      </c>
      <c r="F290" s="461" t="s">
        <v>2529</v>
      </c>
      <c r="G290" s="450" t="s">
        <v>2491</v>
      </c>
      <c r="H290" s="452" t="s">
        <v>2530</v>
      </c>
      <c r="I290" s="450" t="s">
        <v>2531</v>
      </c>
      <c r="J290" s="452" t="s">
        <v>2492</v>
      </c>
      <c r="K290" s="452" t="s">
        <v>2492</v>
      </c>
      <c r="L290" s="452" t="s">
        <v>2493</v>
      </c>
      <c r="M290" s="452" t="s">
        <v>2493</v>
      </c>
      <c r="N290" s="452">
        <v>1000</v>
      </c>
      <c r="O290" s="452">
        <v>1000</v>
      </c>
      <c r="P290" s="452" t="s">
        <v>2493</v>
      </c>
      <c r="Q290" s="452">
        <v>8</v>
      </c>
      <c r="R290" s="452">
        <v>63</v>
      </c>
      <c r="S290" s="452">
        <v>58</v>
      </c>
      <c r="T290" s="452">
        <v>6</v>
      </c>
      <c r="U290" s="450" t="s">
        <v>2478</v>
      </c>
      <c r="V290" s="450" t="s">
        <v>2479</v>
      </c>
      <c r="W290" s="452" t="s">
        <v>2494</v>
      </c>
      <c r="X290" s="450" t="s">
        <v>2491</v>
      </c>
      <c r="Y290" s="450" t="s">
        <v>2502</v>
      </c>
      <c r="Z290" s="452" t="s">
        <v>2502</v>
      </c>
      <c r="AA290" s="452">
        <v>1</v>
      </c>
      <c r="AB290" s="452" t="s">
        <v>2491</v>
      </c>
      <c r="AC290" s="450" t="s">
        <v>2491</v>
      </c>
      <c r="AD290" s="452" t="s">
        <v>2491</v>
      </c>
      <c r="AE290" s="450" t="s">
        <v>2491</v>
      </c>
      <c r="AF290" s="479">
        <v>1</v>
      </c>
      <c r="AG290" s="452">
        <v>1</v>
      </c>
      <c r="AH290" s="452">
        <v>40</v>
      </c>
      <c r="AI290" s="452" t="s">
        <v>2491</v>
      </c>
      <c r="AJ290" s="461" t="s">
        <v>2532</v>
      </c>
      <c r="AK290" s="450" t="s">
        <v>2491</v>
      </c>
      <c r="AL290" s="475" t="s">
        <v>2578</v>
      </c>
      <c r="AM290" s="450" t="s">
        <v>2574</v>
      </c>
      <c r="AN290" s="285"/>
      <c r="AO290" s="285"/>
      <c r="AP290" s="285"/>
      <c r="AQ290" s="285"/>
      <c r="AR290" s="285"/>
      <c r="AS290" s="285"/>
      <c r="AT290" s="476"/>
      <c r="AU290" s="475"/>
      <c r="AV290" s="475"/>
      <c r="AW290" s="475"/>
      <c r="AX290" s="475"/>
      <c r="AY290" s="475"/>
      <c r="AZ290" s="475"/>
    </row>
    <row r="291" spans="1:57" s="139" customFormat="1" ht="25">
      <c r="A291" s="140" t="s">
        <v>6</v>
      </c>
      <c r="B291" s="129">
        <v>289</v>
      </c>
      <c r="C291" s="141" t="s">
        <v>937</v>
      </c>
      <c r="D291" s="129"/>
      <c r="E291" s="172" t="s">
        <v>2949</v>
      </c>
      <c r="F291" s="129" t="s">
        <v>1145</v>
      </c>
      <c r="G291" s="141" t="s">
        <v>665</v>
      </c>
      <c r="H291" s="129" t="s">
        <v>1233</v>
      </c>
      <c r="I291" s="141" t="s">
        <v>1234</v>
      </c>
      <c r="J291" s="129" t="s">
        <v>815</v>
      </c>
      <c r="K291" s="129" t="s">
        <v>815</v>
      </c>
      <c r="L291" s="129" t="s">
        <v>193</v>
      </c>
      <c r="M291" s="129" t="s">
        <v>193</v>
      </c>
      <c r="N291" s="129">
        <v>1000</v>
      </c>
      <c r="O291" s="129"/>
      <c r="P291" s="129" t="s">
        <v>193</v>
      </c>
      <c r="Q291" s="129">
        <v>8</v>
      </c>
      <c r="R291" s="129">
        <v>7</v>
      </c>
      <c r="S291" s="129">
        <v>8</v>
      </c>
      <c r="T291" s="129">
        <v>16</v>
      </c>
      <c r="U291" s="141" t="s">
        <v>670</v>
      </c>
      <c r="V291" s="141" t="s">
        <v>671</v>
      </c>
      <c r="W291" s="129" t="s">
        <v>990</v>
      </c>
      <c r="X291" s="141" t="s">
        <v>665</v>
      </c>
      <c r="Y291" s="141" t="s">
        <v>672</v>
      </c>
      <c r="Z291" s="129" t="s">
        <v>194</v>
      </c>
      <c r="AA291" s="129">
        <v>1</v>
      </c>
      <c r="AB291" s="129" t="s">
        <v>665</v>
      </c>
      <c r="AC291" s="141" t="s">
        <v>665</v>
      </c>
      <c r="AD291" s="129" t="s">
        <v>665</v>
      </c>
      <c r="AE291" s="141" t="s">
        <v>665</v>
      </c>
      <c r="AF291" s="129">
        <v>0</v>
      </c>
      <c r="AG291" s="129" t="s">
        <v>665</v>
      </c>
      <c r="AH291" s="129" t="s">
        <v>665</v>
      </c>
      <c r="AI291" s="129" t="s">
        <v>665</v>
      </c>
      <c r="AJ291" s="159" t="s">
        <v>665</v>
      </c>
      <c r="AK291" s="141" t="s">
        <v>665</v>
      </c>
      <c r="AL291" s="169" t="s">
        <v>2007</v>
      </c>
      <c r="AM291" s="143"/>
      <c r="AN291" s="143"/>
      <c r="AO291" s="143"/>
      <c r="AP291" s="143"/>
      <c r="AQ291" s="143"/>
      <c r="AR291" s="143"/>
      <c r="AS291" s="143"/>
      <c r="AT291" s="143"/>
      <c r="AU291" s="143"/>
      <c r="AV291" s="141"/>
      <c r="AW291" s="205"/>
      <c r="AX291" s="206"/>
      <c r="AY291" s="138"/>
      <c r="AZ291" s="138"/>
      <c r="BA291" s="138"/>
      <c r="BB291" s="138"/>
      <c r="BC291" s="138"/>
      <c r="BD291" s="138"/>
      <c r="BE291" s="138"/>
    </row>
    <row r="292" spans="1:57" s="139" customFormat="1" ht="25">
      <c r="A292" s="140" t="s">
        <v>6</v>
      </c>
      <c r="B292" s="129">
        <v>290</v>
      </c>
      <c r="C292" s="141" t="s">
        <v>937</v>
      </c>
      <c r="D292" s="129"/>
      <c r="E292" s="172" t="s">
        <v>2948</v>
      </c>
      <c r="F292" s="129" t="s">
        <v>1142</v>
      </c>
      <c r="G292" s="141" t="s">
        <v>665</v>
      </c>
      <c r="H292" s="129" t="s">
        <v>1233</v>
      </c>
      <c r="I292" s="141" t="s">
        <v>1234</v>
      </c>
      <c r="J292" s="129" t="s">
        <v>815</v>
      </c>
      <c r="K292" s="129" t="s">
        <v>815</v>
      </c>
      <c r="L292" s="129" t="s">
        <v>193</v>
      </c>
      <c r="M292" s="129" t="s">
        <v>193</v>
      </c>
      <c r="N292" s="129">
        <v>1000</v>
      </c>
      <c r="O292" s="129"/>
      <c r="P292" s="129" t="s">
        <v>193</v>
      </c>
      <c r="Q292" s="129">
        <v>8</v>
      </c>
      <c r="R292" s="129">
        <v>23</v>
      </c>
      <c r="S292" s="129">
        <v>24</v>
      </c>
      <c r="T292" s="129">
        <v>16</v>
      </c>
      <c r="U292" s="141" t="s">
        <v>670</v>
      </c>
      <c r="V292" s="141" t="s">
        <v>671</v>
      </c>
      <c r="W292" s="129" t="s">
        <v>990</v>
      </c>
      <c r="X292" s="141" t="s">
        <v>665</v>
      </c>
      <c r="Y292" s="141" t="s">
        <v>672</v>
      </c>
      <c r="Z292" s="129" t="s">
        <v>194</v>
      </c>
      <c r="AA292" s="129">
        <v>1</v>
      </c>
      <c r="AB292" s="129" t="s">
        <v>665</v>
      </c>
      <c r="AC292" s="141" t="s">
        <v>665</v>
      </c>
      <c r="AD292" s="129" t="s">
        <v>665</v>
      </c>
      <c r="AE292" s="141" t="s">
        <v>665</v>
      </c>
      <c r="AF292" s="129">
        <v>0</v>
      </c>
      <c r="AG292" s="129" t="s">
        <v>665</v>
      </c>
      <c r="AH292" s="129" t="s">
        <v>665</v>
      </c>
      <c r="AI292" s="129" t="s">
        <v>665</v>
      </c>
      <c r="AJ292" s="159" t="s">
        <v>665</v>
      </c>
      <c r="AK292" s="141" t="s">
        <v>665</v>
      </c>
      <c r="AL292" s="141" t="s">
        <v>665</v>
      </c>
      <c r="AM292" s="143"/>
      <c r="AN292" s="143"/>
      <c r="AO292" s="143"/>
      <c r="AP292" s="143"/>
      <c r="AQ292" s="143"/>
      <c r="AR292" s="143"/>
      <c r="AS292" s="143"/>
      <c r="AT292" s="143"/>
      <c r="AU292" s="143"/>
      <c r="AV292" s="141"/>
      <c r="AW292" s="205"/>
      <c r="AX292" s="206"/>
      <c r="AY292" s="138"/>
      <c r="AZ292" s="138"/>
      <c r="BA292" s="138"/>
      <c r="BB292" s="138"/>
      <c r="BC292" s="138"/>
      <c r="BD292" s="138"/>
      <c r="BE292" s="138"/>
    </row>
    <row r="293" spans="1:57" s="213" customFormat="1" ht="30">
      <c r="A293" s="140" t="s">
        <v>6</v>
      </c>
      <c r="B293" s="129">
        <v>291</v>
      </c>
      <c r="C293" s="236" t="s">
        <v>931</v>
      </c>
      <c r="D293" s="236" t="s">
        <v>3095</v>
      </c>
      <c r="E293" s="241" t="s">
        <v>510</v>
      </c>
      <c r="F293" s="241" t="s">
        <v>444</v>
      </c>
      <c r="G293" s="141" t="s">
        <v>665</v>
      </c>
      <c r="H293" s="141" t="s">
        <v>1236</v>
      </c>
      <c r="I293" s="169" t="s">
        <v>2255</v>
      </c>
      <c r="J293" s="141" t="s">
        <v>815</v>
      </c>
      <c r="K293" s="141" t="s">
        <v>815</v>
      </c>
      <c r="L293" s="141" t="s">
        <v>665</v>
      </c>
      <c r="M293" s="141" t="s">
        <v>665</v>
      </c>
      <c r="N293" s="141">
        <v>1000</v>
      </c>
      <c r="O293" s="141" t="s">
        <v>930</v>
      </c>
      <c r="P293" s="141" t="s">
        <v>665</v>
      </c>
      <c r="Q293" s="141">
        <v>8</v>
      </c>
      <c r="R293" s="141">
        <v>7</v>
      </c>
      <c r="S293" s="141">
        <v>11</v>
      </c>
      <c r="T293" s="236">
        <v>13</v>
      </c>
      <c r="U293" s="141" t="s">
        <v>88</v>
      </c>
      <c r="V293" s="141" t="s">
        <v>91</v>
      </c>
      <c r="W293" s="141" t="s">
        <v>665</v>
      </c>
      <c r="X293" s="141" t="s">
        <v>665</v>
      </c>
      <c r="Y293" s="141" t="s">
        <v>339</v>
      </c>
      <c r="Z293" s="141" t="s">
        <v>665</v>
      </c>
      <c r="AA293" s="141">
        <v>1E-3</v>
      </c>
      <c r="AB293" s="141" t="s">
        <v>665</v>
      </c>
      <c r="AC293" s="141" t="s">
        <v>665</v>
      </c>
      <c r="AD293" s="141" t="s">
        <v>665</v>
      </c>
      <c r="AE293" s="141" t="s">
        <v>665</v>
      </c>
      <c r="AF293" s="236">
        <v>0</v>
      </c>
      <c r="AG293" s="236">
        <v>0</v>
      </c>
      <c r="AH293" s="236" t="s">
        <v>358</v>
      </c>
      <c r="AI293" s="236" t="s">
        <v>133</v>
      </c>
      <c r="AJ293" s="212" t="s">
        <v>2244</v>
      </c>
      <c r="AK293" s="141" t="s">
        <v>665</v>
      </c>
      <c r="AL293" s="141" t="s">
        <v>665</v>
      </c>
      <c r="AM293" s="141" t="s">
        <v>693</v>
      </c>
      <c r="AN293" s="141" t="s">
        <v>1197</v>
      </c>
      <c r="AO293" s="143"/>
      <c r="AP293" s="143"/>
      <c r="AQ293" s="143"/>
      <c r="AR293" s="143"/>
      <c r="AS293" s="143"/>
      <c r="AT293" s="143"/>
      <c r="AU293" s="239"/>
      <c r="AV293" s="141"/>
      <c r="AW293" s="205"/>
      <c r="AX293" s="206"/>
      <c r="AY293" s="245"/>
      <c r="AZ293" s="245"/>
      <c r="BA293" s="245"/>
      <c r="BB293" s="245"/>
    </row>
    <row r="294" spans="1:57" s="213" customFormat="1" ht="30">
      <c r="A294" s="140" t="s">
        <v>6</v>
      </c>
      <c r="B294" s="129">
        <v>292</v>
      </c>
      <c r="C294" s="236" t="s">
        <v>931</v>
      </c>
      <c r="D294" s="236" t="s">
        <v>3095</v>
      </c>
      <c r="E294" s="241" t="s">
        <v>511</v>
      </c>
      <c r="F294" s="241" t="s">
        <v>445</v>
      </c>
      <c r="G294" s="141" t="s">
        <v>665</v>
      </c>
      <c r="H294" s="141" t="s">
        <v>1236</v>
      </c>
      <c r="I294" s="169" t="s">
        <v>2255</v>
      </c>
      <c r="J294" s="141" t="s">
        <v>815</v>
      </c>
      <c r="K294" s="141" t="s">
        <v>815</v>
      </c>
      <c r="L294" s="141" t="s">
        <v>665</v>
      </c>
      <c r="M294" s="141" t="s">
        <v>665</v>
      </c>
      <c r="N294" s="141">
        <v>1000</v>
      </c>
      <c r="O294" s="141" t="s">
        <v>930</v>
      </c>
      <c r="P294" s="141" t="s">
        <v>665</v>
      </c>
      <c r="Q294" s="141">
        <v>8</v>
      </c>
      <c r="R294" s="141">
        <v>23</v>
      </c>
      <c r="S294" s="141">
        <v>27</v>
      </c>
      <c r="T294" s="236">
        <v>13</v>
      </c>
      <c r="U294" s="141" t="s">
        <v>88</v>
      </c>
      <c r="V294" s="141" t="s">
        <v>91</v>
      </c>
      <c r="W294" s="141" t="s">
        <v>665</v>
      </c>
      <c r="X294" s="141" t="s">
        <v>665</v>
      </c>
      <c r="Y294" s="141" t="s">
        <v>339</v>
      </c>
      <c r="Z294" s="141" t="s">
        <v>665</v>
      </c>
      <c r="AA294" s="141">
        <v>1E-3</v>
      </c>
      <c r="AB294" s="141" t="s">
        <v>665</v>
      </c>
      <c r="AC294" s="141" t="s">
        <v>665</v>
      </c>
      <c r="AD294" s="141" t="s">
        <v>665</v>
      </c>
      <c r="AE294" s="141" t="s">
        <v>665</v>
      </c>
      <c r="AF294" s="236">
        <v>0</v>
      </c>
      <c r="AG294" s="236">
        <v>0</v>
      </c>
      <c r="AH294" s="236" t="s">
        <v>358</v>
      </c>
      <c r="AI294" s="236" t="s">
        <v>133</v>
      </c>
      <c r="AJ294" s="212" t="s">
        <v>2244</v>
      </c>
      <c r="AK294" s="141" t="s">
        <v>665</v>
      </c>
      <c r="AL294" s="141" t="s">
        <v>665</v>
      </c>
      <c r="AM294" s="141" t="s">
        <v>693</v>
      </c>
      <c r="AN294" s="141" t="s">
        <v>1197</v>
      </c>
      <c r="AO294" s="143"/>
      <c r="AP294" s="143"/>
      <c r="AQ294" s="143"/>
      <c r="AR294" s="143"/>
      <c r="AS294" s="143"/>
      <c r="AT294" s="143"/>
      <c r="AU294" s="239"/>
      <c r="AV294" s="141"/>
      <c r="AW294" s="205"/>
      <c r="AX294" s="206"/>
      <c r="AY294" s="245"/>
      <c r="AZ294" s="245"/>
      <c r="BA294" s="245"/>
      <c r="BB294" s="245"/>
    </row>
    <row r="295" spans="1:57" s="213" customFormat="1" ht="30">
      <c r="A295" s="140" t="s">
        <v>6</v>
      </c>
      <c r="B295" s="129">
        <v>293</v>
      </c>
      <c r="C295" s="236" t="s">
        <v>931</v>
      </c>
      <c r="D295" s="236" t="s">
        <v>3095</v>
      </c>
      <c r="E295" s="241" t="s">
        <v>512</v>
      </c>
      <c r="F295" s="241" t="s">
        <v>446</v>
      </c>
      <c r="G295" s="141" t="s">
        <v>665</v>
      </c>
      <c r="H295" s="141" t="s">
        <v>1236</v>
      </c>
      <c r="I295" s="169" t="s">
        <v>2255</v>
      </c>
      <c r="J295" s="141" t="s">
        <v>815</v>
      </c>
      <c r="K295" s="141" t="s">
        <v>815</v>
      </c>
      <c r="L295" s="141" t="s">
        <v>665</v>
      </c>
      <c r="M295" s="141" t="s">
        <v>665</v>
      </c>
      <c r="N295" s="141">
        <v>1000</v>
      </c>
      <c r="O295" s="141" t="s">
        <v>930</v>
      </c>
      <c r="P295" s="141" t="s">
        <v>665</v>
      </c>
      <c r="Q295" s="141">
        <v>8</v>
      </c>
      <c r="R295" s="141">
        <v>39</v>
      </c>
      <c r="S295" s="141">
        <v>43</v>
      </c>
      <c r="T295" s="236">
        <v>13</v>
      </c>
      <c r="U295" s="141" t="s">
        <v>88</v>
      </c>
      <c r="V295" s="141" t="s">
        <v>91</v>
      </c>
      <c r="W295" s="141" t="s">
        <v>665</v>
      </c>
      <c r="X295" s="141" t="s">
        <v>665</v>
      </c>
      <c r="Y295" s="141" t="s">
        <v>339</v>
      </c>
      <c r="Z295" s="141" t="s">
        <v>665</v>
      </c>
      <c r="AA295" s="141">
        <v>1E-3</v>
      </c>
      <c r="AB295" s="141" t="s">
        <v>665</v>
      </c>
      <c r="AC295" s="141" t="s">
        <v>665</v>
      </c>
      <c r="AD295" s="141" t="s">
        <v>665</v>
      </c>
      <c r="AE295" s="141" t="s">
        <v>665</v>
      </c>
      <c r="AF295" s="236">
        <v>0</v>
      </c>
      <c r="AG295" s="236">
        <v>0</v>
      </c>
      <c r="AH295" s="236" t="s">
        <v>358</v>
      </c>
      <c r="AI295" s="236" t="s">
        <v>133</v>
      </c>
      <c r="AJ295" s="212" t="s">
        <v>2244</v>
      </c>
      <c r="AK295" s="141" t="s">
        <v>665</v>
      </c>
      <c r="AL295" s="141" t="s">
        <v>665</v>
      </c>
      <c r="AM295" s="141" t="s">
        <v>2628</v>
      </c>
      <c r="AN295" s="141" t="s">
        <v>1197</v>
      </c>
      <c r="AO295" s="143"/>
      <c r="AP295" s="143"/>
      <c r="AQ295" s="143"/>
      <c r="AR295" s="143"/>
      <c r="AS295" s="143"/>
      <c r="AT295" s="143"/>
      <c r="AU295" s="239"/>
      <c r="AV295" s="141"/>
      <c r="AW295" s="205"/>
      <c r="AX295" s="206"/>
      <c r="AY295" s="245"/>
      <c r="AZ295" s="245"/>
      <c r="BA295" s="245"/>
      <c r="BB295" s="245"/>
    </row>
    <row r="296" spans="1:57" s="213" customFormat="1" ht="30">
      <c r="A296" s="140" t="s">
        <v>6</v>
      </c>
      <c r="B296" s="129">
        <v>294</v>
      </c>
      <c r="C296" s="236" t="s">
        <v>931</v>
      </c>
      <c r="D296" s="236" t="s">
        <v>3095</v>
      </c>
      <c r="E296" s="241" t="s">
        <v>513</v>
      </c>
      <c r="F296" s="241" t="s">
        <v>447</v>
      </c>
      <c r="G296" s="141" t="s">
        <v>665</v>
      </c>
      <c r="H296" s="141" t="s">
        <v>1236</v>
      </c>
      <c r="I296" s="169" t="s">
        <v>2255</v>
      </c>
      <c r="J296" s="141" t="s">
        <v>815</v>
      </c>
      <c r="K296" s="141" t="s">
        <v>815</v>
      </c>
      <c r="L296" s="141" t="s">
        <v>665</v>
      </c>
      <c r="M296" s="141" t="s">
        <v>665</v>
      </c>
      <c r="N296" s="141">
        <v>1000</v>
      </c>
      <c r="O296" s="141" t="s">
        <v>930</v>
      </c>
      <c r="P296" s="141" t="s">
        <v>665</v>
      </c>
      <c r="Q296" s="141">
        <v>8</v>
      </c>
      <c r="R296" s="141">
        <v>55</v>
      </c>
      <c r="S296" s="141">
        <v>59</v>
      </c>
      <c r="T296" s="236">
        <v>13</v>
      </c>
      <c r="U296" s="141" t="s">
        <v>88</v>
      </c>
      <c r="V296" s="141" t="s">
        <v>91</v>
      </c>
      <c r="W296" s="141" t="s">
        <v>665</v>
      </c>
      <c r="X296" s="141" t="s">
        <v>665</v>
      </c>
      <c r="Y296" s="141" t="s">
        <v>339</v>
      </c>
      <c r="Z296" s="141" t="s">
        <v>665</v>
      </c>
      <c r="AA296" s="141">
        <v>1E-3</v>
      </c>
      <c r="AB296" s="141" t="s">
        <v>665</v>
      </c>
      <c r="AC296" s="141" t="s">
        <v>665</v>
      </c>
      <c r="AD296" s="141" t="s">
        <v>665</v>
      </c>
      <c r="AE296" s="141" t="s">
        <v>665</v>
      </c>
      <c r="AF296" s="236">
        <v>0</v>
      </c>
      <c r="AG296" s="236">
        <v>0</v>
      </c>
      <c r="AH296" s="236" t="s">
        <v>358</v>
      </c>
      <c r="AI296" s="236" t="s">
        <v>133</v>
      </c>
      <c r="AJ296" s="212" t="s">
        <v>2244</v>
      </c>
      <c r="AK296" s="141" t="s">
        <v>665</v>
      </c>
      <c r="AL296" s="141" t="s">
        <v>665</v>
      </c>
      <c r="AM296" s="141" t="s">
        <v>2628</v>
      </c>
      <c r="AN296" s="141" t="s">
        <v>1197</v>
      </c>
      <c r="AO296" s="143"/>
      <c r="AP296" s="143"/>
      <c r="AQ296" s="143"/>
      <c r="AR296" s="143"/>
      <c r="AS296" s="143"/>
      <c r="AT296" s="143"/>
      <c r="AU296" s="239"/>
      <c r="AV296" s="141"/>
      <c r="AW296" s="205"/>
      <c r="AX296" s="206"/>
      <c r="AY296" s="245"/>
      <c r="AZ296" s="245"/>
      <c r="BA296" s="245"/>
      <c r="BB296" s="245"/>
    </row>
    <row r="297" spans="1:57" s="213" customFormat="1" ht="30">
      <c r="A297" s="140" t="s">
        <v>6</v>
      </c>
      <c r="B297" s="129">
        <v>295</v>
      </c>
      <c r="C297" s="236" t="s">
        <v>931</v>
      </c>
      <c r="D297" s="236" t="s">
        <v>3095</v>
      </c>
      <c r="E297" s="241" t="s">
        <v>514</v>
      </c>
      <c r="F297" s="241" t="s">
        <v>448</v>
      </c>
      <c r="G297" s="141" t="s">
        <v>665</v>
      </c>
      <c r="H297" s="141" t="s">
        <v>1238</v>
      </c>
      <c r="I297" s="169" t="s">
        <v>2256</v>
      </c>
      <c r="J297" s="141" t="s">
        <v>815</v>
      </c>
      <c r="K297" s="141" t="s">
        <v>815</v>
      </c>
      <c r="L297" s="141" t="s">
        <v>665</v>
      </c>
      <c r="M297" s="141" t="s">
        <v>665</v>
      </c>
      <c r="N297" s="141">
        <v>1000</v>
      </c>
      <c r="O297" s="141" t="s">
        <v>930</v>
      </c>
      <c r="P297" s="141" t="s">
        <v>665</v>
      </c>
      <c r="Q297" s="141">
        <v>8</v>
      </c>
      <c r="R297" s="141">
        <v>7</v>
      </c>
      <c r="S297" s="141">
        <v>11</v>
      </c>
      <c r="T297" s="236">
        <v>13</v>
      </c>
      <c r="U297" s="141" t="s">
        <v>88</v>
      </c>
      <c r="V297" s="141" t="s">
        <v>91</v>
      </c>
      <c r="W297" s="141" t="s">
        <v>665</v>
      </c>
      <c r="X297" s="141" t="s">
        <v>665</v>
      </c>
      <c r="Y297" s="141" t="s">
        <v>339</v>
      </c>
      <c r="Z297" s="141" t="s">
        <v>665</v>
      </c>
      <c r="AA297" s="141">
        <v>1E-3</v>
      </c>
      <c r="AB297" s="141" t="s">
        <v>665</v>
      </c>
      <c r="AC297" s="141" t="s">
        <v>665</v>
      </c>
      <c r="AD297" s="141" t="s">
        <v>665</v>
      </c>
      <c r="AE297" s="141" t="s">
        <v>665</v>
      </c>
      <c r="AF297" s="236">
        <v>0</v>
      </c>
      <c r="AG297" s="236">
        <v>0</v>
      </c>
      <c r="AH297" s="236" t="s">
        <v>358</v>
      </c>
      <c r="AI297" s="236" t="s">
        <v>133</v>
      </c>
      <c r="AJ297" s="212" t="s">
        <v>2244</v>
      </c>
      <c r="AK297" s="141" t="s">
        <v>665</v>
      </c>
      <c r="AL297" s="141" t="s">
        <v>665</v>
      </c>
      <c r="AM297" s="141" t="s">
        <v>693</v>
      </c>
      <c r="AN297" s="141" t="s">
        <v>1197</v>
      </c>
      <c r="AO297" s="143"/>
      <c r="AP297" s="143"/>
      <c r="AQ297" s="143"/>
      <c r="AR297" s="143"/>
      <c r="AS297" s="143"/>
      <c r="AT297" s="143"/>
      <c r="AU297" s="239"/>
      <c r="AV297" s="141"/>
      <c r="AW297" s="205"/>
      <c r="AX297" s="206"/>
      <c r="AY297" s="245"/>
      <c r="AZ297" s="245"/>
      <c r="BA297" s="245"/>
      <c r="BB297" s="245"/>
    </row>
    <row r="298" spans="1:57" s="213" customFormat="1" ht="30">
      <c r="A298" s="140" t="s">
        <v>6</v>
      </c>
      <c r="B298" s="129">
        <v>296</v>
      </c>
      <c r="C298" s="236" t="s">
        <v>931</v>
      </c>
      <c r="D298" s="236" t="s">
        <v>3095</v>
      </c>
      <c r="E298" s="241" t="s">
        <v>515</v>
      </c>
      <c r="F298" s="241" t="s">
        <v>449</v>
      </c>
      <c r="G298" s="141" t="s">
        <v>665</v>
      </c>
      <c r="H298" s="141" t="s">
        <v>1238</v>
      </c>
      <c r="I298" s="169" t="s">
        <v>2256</v>
      </c>
      <c r="J298" s="141" t="s">
        <v>815</v>
      </c>
      <c r="K298" s="141" t="s">
        <v>815</v>
      </c>
      <c r="L298" s="141" t="s">
        <v>665</v>
      </c>
      <c r="M298" s="141" t="s">
        <v>665</v>
      </c>
      <c r="N298" s="141">
        <v>1000</v>
      </c>
      <c r="O298" s="141" t="s">
        <v>930</v>
      </c>
      <c r="P298" s="141" t="s">
        <v>665</v>
      </c>
      <c r="Q298" s="141">
        <v>8</v>
      </c>
      <c r="R298" s="141">
        <v>23</v>
      </c>
      <c r="S298" s="141">
        <v>27</v>
      </c>
      <c r="T298" s="236">
        <v>13</v>
      </c>
      <c r="U298" s="141" t="s">
        <v>88</v>
      </c>
      <c r="V298" s="141" t="s">
        <v>91</v>
      </c>
      <c r="W298" s="141" t="s">
        <v>665</v>
      </c>
      <c r="X298" s="141" t="s">
        <v>665</v>
      </c>
      <c r="Y298" s="141" t="s">
        <v>339</v>
      </c>
      <c r="Z298" s="141" t="s">
        <v>665</v>
      </c>
      <c r="AA298" s="141">
        <v>1E-3</v>
      </c>
      <c r="AB298" s="141" t="s">
        <v>665</v>
      </c>
      <c r="AC298" s="141" t="s">
        <v>665</v>
      </c>
      <c r="AD298" s="141" t="s">
        <v>665</v>
      </c>
      <c r="AE298" s="141" t="s">
        <v>665</v>
      </c>
      <c r="AF298" s="236">
        <v>0</v>
      </c>
      <c r="AG298" s="236">
        <v>0</v>
      </c>
      <c r="AH298" s="236" t="s">
        <v>358</v>
      </c>
      <c r="AI298" s="236" t="s">
        <v>133</v>
      </c>
      <c r="AJ298" s="212" t="s">
        <v>2244</v>
      </c>
      <c r="AK298" s="141" t="s">
        <v>665</v>
      </c>
      <c r="AL298" s="141" t="s">
        <v>665</v>
      </c>
      <c r="AM298" s="141" t="s">
        <v>2646</v>
      </c>
      <c r="AN298" s="141" t="s">
        <v>1197</v>
      </c>
      <c r="AO298" s="143"/>
      <c r="AP298" s="143"/>
      <c r="AQ298" s="143"/>
      <c r="AR298" s="143"/>
      <c r="AS298" s="143"/>
      <c r="AT298" s="143"/>
      <c r="AU298" s="239"/>
      <c r="AV298" s="141"/>
      <c r="AW298" s="205"/>
      <c r="AX298" s="206"/>
      <c r="AY298" s="245"/>
      <c r="AZ298" s="245"/>
      <c r="BA298" s="245"/>
      <c r="BB298" s="245"/>
    </row>
    <row r="299" spans="1:57" s="213" customFormat="1" ht="30">
      <c r="A299" s="140" t="s">
        <v>6</v>
      </c>
      <c r="B299" s="129">
        <v>297</v>
      </c>
      <c r="C299" s="236" t="s">
        <v>931</v>
      </c>
      <c r="D299" s="236" t="s">
        <v>3095</v>
      </c>
      <c r="E299" s="241" t="s">
        <v>516</v>
      </c>
      <c r="F299" s="241" t="s">
        <v>450</v>
      </c>
      <c r="G299" s="141" t="s">
        <v>665</v>
      </c>
      <c r="H299" s="141" t="s">
        <v>1238</v>
      </c>
      <c r="I299" s="169" t="s">
        <v>2256</v>
      </c>
      <c r="J299" s="141" t="s">
        <v>815</v>
      </c>
      <c r="K299" s="141" t="s">
        <v>815</v>
      </c>
      <c r="L299" s="141" t="s">
        <v>665</v>
      </c>
      <c r="M299" s="141" t="s">
        <v>665</v>
      </c>
      <c r="N299" s="141">
        <v>1000</v>
      </c>
      <c r="O299" s="141" t="s">
        <v>930</v>
      </c>
      <c r="P299" s="141" t="s">
        <v>665</v>
      </c>
      <c r="Q299" s="141">
        <v>8</v>
      </c>
      <c r="R299" s="141">
        <v>39</v>
      </c>
      <c r="S299" s="141">
        <v>43</v>
      </c>
      <c r="T299" s="236">
        <v>13</v>
      </c>
      <c r="U299" s="141" t="s">
        <v>88</v>
      </c>
      <c r="V299" s="141" t="s">
        <v>91</v>
      </c>
      <c r="W299" s="141" t="s">
        <v>665</v>
      </c>
      <c r="X299" s="141" t="s">
        <v>665</v>
      </c>
      <c r="Y299" s="141" t="s">
        <v>339</v>
      </c>
      <c r="Z299" s="141" t="s">
        <v>665</v>
      </c>
      <c r="AA299" s="141">
        <v>1E-3</v>
      </c>
      <c r="AB299" s="141" t="s">
        <v>665</v>
      </c>
      <c r="AC299" s="141" t="s">
        <v>665</v>
      </c>
      <c r="AD299" s="141" t="s">
        <v>665</v>
      </c>
      <c r="AE299" s="141" t="s">
        <v>665</v>
      </c>
      <c r="AF299" s="236">
        <v>0</v>
      </c>
      <c r="AG299" s="236">
        <v>0</v>
      </c>
      <c r="AH299" s="236" t="s">
        <v>358</v>
      </c>
      <c r="AI299" s="236" t="s">
        <v>133</v>
      </c>
      <c r="AJ299" s="212" t="s">
        <v>2244</v>
      </c>
      <c r="AK299" s="141" t="s">
        <v>665</v>
      </c>
      <c r="AL299" s="141" t="s">
        <v>665</v>
      </c>
      <c r="AM299" s="141" t="s">
        <v>693</v>
      </c>
      <c r="AN299" s="141" t="s">
        <v>1197</v>
      </c>
      <c r="AO299" s="143"/>
      <c r="AP299" s="143"/>
      <c r="AQ299" s="143"/>
      <c r="AR299" s="143"/>
      <c r="AS299" s="143"/>
      <c r="AT299" s="143"/>
      <c r="AU299" s="239"/>
      <c r="AV299" s="141"/>
      <c r="AW299" s="205"/>
      <c r="AX299" s="206"/>
      <c r="AY299" s="245"/>
      <c r="AZ299" s="245"/>
      <c r="BA299" s="245"/>
      <c r="BB299" s="245"/>
    </row>
    <row r="300" spans="1:57" s="213" customFormat="1" ht="30">
      <c r="A300" s="140" t="s">
        <v>6</v>
      </c>
      <c r="B300" s="129">
        <v>298</v>
      </c>
      <c r="C300" s="236" t="s">
        <v>931</v>
      </c>
      <c r="D300" s="236" t="s">
        <v>3095</v>
      </c>
      <c r="E300" s="241" t="s">
        <v>517</v>
      </c>
      <c r="F300" s="241" t="s">
        <v>451</v>
      </c>
      <c r="G300" s="141" t="s">
        <v>665</v>
      </c>
      <c r="H300" s="141" t="s">
        <v>1238</v>
      </c>
      <c r="I300" s="169" t="s">
        <v>2256</v>
      </c>
      <c r="J300" s="141" t="s">
        <v>815</v>
      </c>
      <c r="K300" s="141" t="s">
        <v>815</v>
      </c>
      <c r="L300" s="141" t="s">
        <v>665</v>
      </c>
      <c r="M300" s="141" t="s">
        <v>665</v>
      </c>
      <c r="N300" s="141">
        <v>1000</v>
      </c>
      <c r="O300" s="141" t="s">
        <v>930</v>
      </c>
      <c r="P300" s="141" t="s">
        <v>665</v>
      </c>
      <c r="Q300" s="141">
        <v>8</v>
      </c>
      <c r="R300" s="141">
        <v>55</v>
      </c>
      <c r="S300" s="141">
        <v>59</v>
      </c>
      <c r="T300" s="236">
        <v>13</v>
      </c>
      <c r="U300" s="141" t="s">
        <v>88</v>
      </c>
      <c r="V300" s="141" t="s">
        <v>91</v>
      </c>
      <c r="W300" s="141" t="s">
        <v>665</v>
      </c>
      <c r="X300" s="141" t="s">
        <v>665</v>
      </c>
      <c r="Y300" s="141" t="s">
        <v>339</v>
      </c>
      <c r="Z300" s="141" t="s">
        <v>665</v>
      </c>
      <c r="AA300" s="141">
        <v>1E-3</v>
      </c>
      <c r="AB300" s="141" t="s">
        <v>665</v>
      </c>
      <c r="AC300" s="141" t="s">
        <v>665</v>
      </c>
      <c r="AD300" s="141" t="s">
        <v>665</v>
      </c>
      <c r="AE300" s="141" t="s">
        <v>665</v>
      </c>
      <c r="AF300" s="236">
        <v>0</v>
      </c>
      <c r="AG300" s="236">
        <v>0</v>
      </c>
      <c r="AH300" s="236" t="s">
        <v>358</v>
      </c>
      <c r="AI300" s="236" t="s">
        <v>133</v>
      </c>
      <c r="AJ300" s="212" t="s">
        <v>2244</v>
      </c>
      <c r="AK300" s="141" t="s">
        <v>665</v>
      </c>
      <c r="AL300" s="141" t="s">
        <v>665</v>
      </c>
      <c r="AM300" s="141" t="s">
        <v>693</v>
      </c>
      <c r="AN300" s="141" t="s">
        <v>1197</v>
      </c>
      <c r="AO300" s="143"/>
      <c r="AP300" s="143"/>
      <c r="AQ300" s="143"/>
      <c r="AR300" s="143"/>
      <c r="AS300" s="143"/>
      <c r="AT300" s="143"/>
      <c r="AU300" s="239"/>
      <c r="AV300" s="141"/>
      <c r="AW300" s="205"/>
      <c r="AX300" s="206"/>
      <c r="AY300" s="245"/>
      <c r="AZ300" s="245"/>
      <c r="BA300" s="245"/>
      <c r="BB300" s="245"/>
    </row>
    <row r="301" spans="1:57" s="207" customFormat="1" ht="30">
      <c r="A301" s="140" t="s">
        <v>6</v>
      </c>
      <c r="B301" s="129">
        <v>299</v>
      </c>
      <c r="C301" s="141" t="s">
        <v>1078</v>
      </c>
      <c r="D301" s="236" t="s">
        <v>3095</v>
      </c>
      <c r="E301" s="141" t="s">
        <v>1239</v>
      </c>
      <c r="F301" s="236" t="s">
        <v>599</v>
      </c>
      <c r="G301" s="141" t="s">
        <v>804</v>
      </c>
      <c r="H301" s="141" t="s">
        <v>1240</v>
      </c>
      <c r="I301" s="141" t="s">
        <v>638</v>
      </c>
      <c r="J301" s="141" t="s">
        <v>843</v>
      </c>
      <c r="K301" s="141" t="s">
        <v>843</v>
      </c>
      <c r="L301" s="141" t="s">
        <v>804</v>
      </c>
      <c r="M301" s="141" t="s">
        <v>804</v>
      </c>
      <c r="N301" s="141">
        <v>1000</v>
      </c>
      <c r="O301" s="141" t="s">
        <v>1124</v>
      </c>
      <c r="P301" s="141" t="s">
        <v>804</v>
      </c>
      <c r="Q301" s="141">
        <v>8</v>
      </c>
      <c r="R301" s="141">
        <v>7</v>
      </c>
      <c r="S301" s="141">
        <v>0</v>
      </c>
      <c r="T301" s="236" t="s">
        <v>1206</v>
      </c>
      <c r="U301" s="141" t="s">
        <v>816</v>
      </c>
      <c r="V301" s="141" t="s">
        <v>1207</v>
      </c>
      <c r="W301" s="141" t="s">
        <v>804</v>
      </c>
      <c r="X301" s="141" t="s">
        <v>804</v>
      </c>
      <c r="Y301" s="141" t="s">
        <v>339</v>
      </c>
      <c r="Z301" s="141" t="s">
        <v>804</v>
      </c>
      <c r="AA301" s="141">
        <v>1</v>
      </c>
      <c r="AB301" s="129" t="s">
        <v>804</v>
      </c>
      <c r="AC301" s="141" t="s">
        <v>804</v>
      </c>
      <c r="AD301" s="129" t="s">
        <v>804</v>
      </c>
      <c r="AE301" s="141" t="s">
        <v>804</v>
      </c>
      <c r="AF301" s="141">
        <v>-40</v>
      </c>
      <c r="AG301" s="141">
        <v>-40</v>
      </c>
      <c r="AH301" s="141">
        <v>125</v>
      </c>
      <c r="AI301" s="141" t="s">
        <v>236</v>
      </c>
      <c r="AJ301" s="164" t="s">
        <v>2146</v>
      </c>
      <c r="AK301" s="141" t="s">
        <v>804</v>
      </c>
      <c r="AL301" s="141" t="s">
        <v>804</v>
      </c>
      <c r="AM301" s="141" t="s">
        <v>2637</v>
      </c>
      <c r="AN301" s="141"/>
      <c r="AO301" s="141"/>
      <c r="AP301" s="141"/>
      <c r="AQ301" s="141"/>
      <c r="AR301" s="141"/>
      <c r="AS301" s="141"/>
      <c r="AT301" s="141"/>
      <c r="AU301" s="141"/>
      <c r="AV301" s="141"/>
      <c r="AW301" s="205"/>
      <c r="AX301" s="206"/>
    </row>
    <row r="302" spans="1:57" s="207" customFormat="1" ht="30">
      <c r="A302" s="140" t="s">
        <v>6</v>
      </c>
      <c r="B302" s="129">
        <v>300</v>
      </c>
      <c r="C302" s="141" t="s">
        <v>1078</v>
      </c>
      <c r="D302" s="236" t="s">
        <v>3095</v>
      </c>
      <c r="E302" s="141" t="s">
        <v>1241</v>
      </c>
      <c r="F302" s="236" t="s">
        <v>600</v>
      </c>
      <c r="G302" s="141" t="s">
        <v>804</v>
      </c>
      <c r="H302" s="141" t="s">
        <v>1240</v>
      </c>
      <c r="I302" s="141" t="s">
        <v>638</v>
      </c>
      <c r="J302" s="141" t="s">
        <v>843</v>
      </c>
      <c r="K302" s="141" t="s">
        <v>843</v>
      </c>
      <c r="L302" s="141" t="s">
        <v>804</v>
      </c>
      <c r="M302" s="141" t="s">
        <v>804</v>
      </c>
      <c r="N302" s="141">
        <v>1000</v>
      </c>
      <c r="O302" s="141" t="s">
        <v>1124</v>
      </c>
      <c r="P302" s="141" t="s">
        <v>804</v>
      </c>
      <c r="Q302" s="141">
        <v>8</v>
      </c>
      <c r="R302" s="141">
        <v>15</v>
      </c>
      <c r="S302" s="141">
        <v>8</v>
      </c>
      <c r="T302" s="236" t="s">
        <v>1206</v>
      </c>
      <c r="U302" s="141" t="s">
        <v>816</v>
      </c>
      <c r="V302" s="141" t="s">
        <v>1207</v>
      </c>
      <c r="W302" s="141" t="s">
        <v>804</v>
      </c>
      <c r="X302" s="141" t="s">
        <v>804</v>
      </c>
      <c r="Y302" s="141" t="s">
        <v>339</v>
      </c>
      <c r="Z302" s="141" t="s">
        <v>804</v>
      </c>
      <c r="AA302" s="141">
        <v>1</v>
      </c>
      <c r="AB302" s="129" t="s">
        <v>804</v>
      </c>
      <c r="AC302" s="141" t="s">
        <v>804</v>
      </c>
      <c r="AD302" s="129" t="s">
        <v>804</v>
      </c>
      <c r="AE302" s="141" t="s">
        <v>804</v>
      </c>
      <c r="AF302" s="141">
        <v>-40</v>
      </c>
      <c r="AG302" s="141">
        <v>-40</v>
      </c>
      <c r="AH302" s="141">
        <v>125</v>
      </c>
      <c r="AI302" s="141" t="s">
        <v>236</v>
      </c>
      <c r="AJ302" s="164" t="s">
        <v>2146</v>
      </c>
      <c r="AK302" s="141" t="s">
        <v>804</v>
      </c>
      <c r="AL302" s="141" t="s">
        <v>804</v>
      </c>
      <c r="AM302" s="141" t="s">
        <v>2638</v>
      </c>
      <c r="AN302" s="141"/>
      <c r="AO302" s="141"/>
      <c r="AP302" s="141"/>
      <c r="AQ302" s="141"/>
      <c r="AR302" s="141"/>
      <c r="AS302" s="141"/>
      <c r="AT302" s="141"/>
      <c r="AU302" s="141"/>
      <c r="AV302" s="141"/>
      <c r="AW302" s="205"/>
      <c r="AX302" s="206"/>
    </row>
    <row r="303" spans="1:57" s="207" customFormat="1" ht="30">
      <c r="A303" s="140" t="s">
        <v>6</v>
      </c>
      <c r="B303" s="129">
        <v>301</v>
      </c>
      <c r="C303" s="141" t="s">
        <v>1078</v>
      </c>
      <c r="D303" s="236" t="s">
        <v>3095</v>
      </c>
      <c r="E303" s="141" t="s">
        <v>1242</v>
      </c>
      <c r="F303" s="236" t="s">
        <v>601</v>
      </c>
      <c r="G303" s="141" t="s">
        <v>804</v>
      </c>
      <c r="H303" s="141" t="s">
        <v>635</v>
      </c>
      <c r="I303" s="141" t="s">
        <v>638</v>
      </c>
      <c r="J303" s="141" t="s">
        <v>843</v>
      </c>
      <c r="K303" s="141" t="s">
        <v>843</v>
      </c>
      <c r="L303" s="141" t="s">
        <v>804</v>
      </c>
      <c r="M303" s="141" t="s">
        <v>804</v>
      </c>
      <c r="N303" s="141">
        <v>1000</v>
      </c>
      <c r="O303" s="141" t="s">
        <v>1124</v>
      </c>
      <c r="P303" s="141" t="s">
        <v>804</v>
      </c>
      <c r="Q303" s="141">
        <v>8</v>
      </c>
      <c r="R303" s="141">
        <v>23</v>
      </c>
      <c r="S303" s="141">
        <v>16</v>
      </c>
      <c r="T303" s="236" t="s">
        <v>1206</v>
      </c>
      <c r="U303" s="141" t="s">
        <v>816</v>
      </c>
      <c r="V303" s="141" t="s">
        <v>1207</v>
      </c>
      <c r="W303" s="141" t="s">
        <v>804</v>
      </c>
      <c r="X303" s="141" t="s">
        <v>804</v>
      </c>
      <c r="Y303" s="141" t="s">
        <v>339</v>
      </c>
      <c r="Z303" s="141" t="s">
        <v>804</v>
      </c>
      <c r="AA303" s="141">
        <v>1</v>
      </c>
      <c r="AB303" s="141" t="s">
        <v>1201</v>
      </c>
      <c r="AC303" s="141" t="s">
        <v>1201</v>
      </c>
      <c r="AD303" s="141" t="s">
        <v>1201</v>
      </c>
      <c r="AE303" s="141" t="s">
        <v>1201</v>
      </c>
      <c r="AF303" s="141">
        <v>-40</v>
      </c>
      <c r="AG303" s="141">
        <v>-40</v>
      </c>
      <c r="AH303" s="141">
        <v>125</v>
      </c>
      <c r="AI303" s="141" t="s">
        <v>236</v>
      </c>
      <c r="AJ303" s="164" t="s">
        <v>2146</v>
      </c>
      <c r="AK303" s="141" t="s">
        <v>804</v>
      </c>
      <c r="AL303" s="141" t="s">
        <v>804</v>
      </c>
      <c r="AM303" s="141" t="s">
        <v>2637</v>
      </c>
      <c r="AN303" s="141"/>
      <c r="AO303" s="141"/>
      <c r="AP303" s="141"/>
      <c r="AQ303" s="141"/>
      <c r="AR303" s="141"/>
      <c r="AS303" s="141"/>
      <c r="AT303" s="141"/>
      <c r="AU303" s="141"/>
      <c r="AV303" s="141"/>
      <c r="AW303" s="205"/>
      <c r="AX303" s="206"/>
    </row>
    <row r="304" spans="1:57" s="207" customFormat="1" ht="30">
      <c r="A304" s="140" t="s">
        <v>6</v>
      </c>
      <c r="B304" s="129">
        <v>302</v>
      </c>
      <c r="C304" s="141" t="s">
        <v>1078</v>
      </c>
      <c r="D304" s="236" t="s">
        <v>3095</v>
      </c>
      <c r="E304" s="141" t="s">
        <v>1243</v>
      </c>
      <c r="F304" s="236" t="s">
        <v>602</v>
      </c>
      <c r="G304" s="141" t="s">
        <v>804</v>
      </c>
      <c r="H304" s="141" t="s">
        <v>635</v>
      </c>
      <c r="I304" s="141" t="s">
        <v>638</v>
      </c>
      <c r="J304" s="141" t="s">
        <v>843</v>
      </c>
      <c r="K304" s="141" t="s">
        <v>843</v>
      </c>
      <c r="L304" s="141" t="s">
        <v>804</v>
      </c>
      <c r="M304" s="141" t="s">
        <v>804</v>
      </c>
      <c r="N304" s="141">
        <v>1000</v>
      </c>
      <c r="O304" s="141" t="s">
        <v>1124</v>
      </c>
      <c r="P304" s="141" t="s">
        <v>804</v>
      </c>
      <c r="Q304" s="141">
        <v>8</v>
      </c>
      <c r="R304" s="141">
        <v>31</v>
      </c>
      <c r="S304" s="141">
        <v>24</v>
      </c>
      <c r="T304" s="236" t="s">
        <v>1206</v>
      </c>
      <c r="U304" s="141" t="s">
        <v>816</v>
      </c>
      <c r="V304" s="141" t="s">
        <v>1207</v>
      </c>
      <c r="W304" s="141" t="s">
        <v>804</v>
      </c>
      <c r="X304" s="141" t="s">
        <v>804</v>
      </c>
      <c r="Y304" s="141" t="s">
        <v>339</v>
      </c>
      <c r="Z304" s="141" t="s">
        <v>804</v>
      </c>
      <c r="AA304" s="141">
        <v>1</v>
      </c>
      <c r="AB304" s="141" t="s">
        <v>1201</v>
      </c>
      <c r="AC304" s="141" t="s">
        <v>1201</v>
      </c>
      <c r="AD304" s="141" t="s">
        <v>1201</v>
      </c>
      <c r="AE304" s="141" t="s">
        <v>1201</v>
      </c>
      <c r="AF304" s="141">
        <v>-40</v>
      </c>
      <c r="AG304" s="141">
        <v>-40</v>
      </c>
      <c r="AH304" s="141">
        <v>125</v>
      </c>
      <c r="AI304" s="141" t="s">
        <v>236</v>
      </c>
      <c r="AJ304" s="164" t="s">
        <v>2146</v>
      </c>
      <c r="AK304" s="141" t="s">
        <v>804</v>
      </c>
      <c r="AL304" s="141" t="s">
        <v>804</v>
      </c>
      <c r="AM304" s="141" t="s">
        <v>2638</v>
      </c>
      <c r="AN304" s="141"/>
      <c r="AO304" s="141"/>
      <c r="AP304" s="141"/>
      <c r="AQ304" s="141"/>
      <c r="AR304" s="141"/>
      <c r="AS304" s="141"/>
      <c r="AT304" s="141"/>
      <c r="AU304" s="141"/>
      <c r="AV304" s="141"/>
      <c r="AW304" s="205"/>
      <c r="AX304" s="206"/>
    </row>
    <row r="305" spans="1:54" s="207" customFormat="1" ht="30">
      <c r="A305" s="140" t="s">
        <v>6</v>
      </c>
      <c r="B305" s="129">
        <v>303</v>
      </c>
      <c r="C305" s="141" t="s">
        <v>1078</v>
      </c>
      <c r="D305" s="236" t="s">
        <v>3095</v>
      </c>
      <c r="E305" s="141" t="s">
        <v>1244</v>
      </c>
      <c r="F305" s="236" t="s">
        <v>603</v>
      </c>
      <c r="G305" s="141" t="s">
        <v>804</v>
      </c>
      <c r="H305" s="141" t="s">
        <v>635</v>
      </c>
      <c r="I305" s="141" t="s">
        <v>638</v>
      </c>
      <c r="J305" s="141" t="s">
        <v>843</v>
      </c>
      <c r="K305" s="141" t="s">
        <v>843</v>
      </c>
      <c r="L305" s="141" t="s">
        <v>804</v>
      </c>
      <c r="M305" s="141" t="s">
        <v>804</v>
      </c>
      <c r="N305" s="141">
        <v>1000</v>
      </c>
      <c r="O305" s="141" t="s">
        <v>1124</v>
      </c>
      <c r="P305" s="141" t="s">
        <v>804</v>
      </c>
      <c r="Q305" s="141">
        <v>8</v>
      </c>
      <c r="R305" s="141">
        <v>39</v>
      </c>
      <c r="S305" s="141">
        <v>32</v>
      </c>
      <c r="T305" s="236" t="s">
        <v>1206</v>
      </c>
      <c r="U305" s="141" t="s">
        <v>816</v>
      </c>
      <c r="V305" s="141" t="s">
        <v>1207</v>
      </c>
      <c r="W305" s="141" t="s">
        <v>804</v>
      </c>
      <c r="X305" s="141" t="s">
        <v>804</v>
      </c>
      <c r="Y305" s="141" t="s">
        <v>339</v>
      </c>
      <c r="Z305" s="141" t="s">
        <v>804</v>
      </c>
      <c r="AA305" s="141">
        <v>1</v>
      </c>
      <c r="AB305" s="141" t="s">
        <v>1201</v>
      </c>
      <c r="AC305" s="141" t="s">
        <v>1201</v>
      </c>
      <c r="AD305" s="141" t="s">
        <v>1201</v>
      </c>
      <c r="AE305" s="141" t="s">
        <v>1201</v>
      </c>
      <c r="AF305" s="141">
        <v>-40</v>
      </c>
      <c r="AG305" s="141">
        <v>-40</v>
      </c>
      <c r="AH305" s="141">
        <v>125</v>
      </c>
      <c r="AI305" s="141" t="s">
        <v>236</v>
      </c>
      <c r="AJ305" s="164" t="s">
        <v>2146</v>
      </c>
      <c r="AK305" s="141" t="s">
        <v>804</v>
      </c>
      <c r="AL305" s="141" t="s">
        <v>804</v>
      </c>
      <c r="AM305" s="141" t="s">
        <v>2637</v>
      </c>
      <c r="AN305" s="141"/>
      <c r="AO305" s="141"/>
      <c r="AP305" s="141"/>
      <c r="AQ305" s="141"/>
      <c r="AR305" s="141"/>
      <c r="AS305" s="141"/>
      <c r="AT305" s="141"/>
      <c r="AU305" s="141"/>
      <c r="AV305" s="141"/>
      <c r="AW305" s="205"/>
      <c r="AX305" s="206"/>
    </row>
    <row r="306" spans="1:54" s="207" customFormat="1" ht="30">
      <c r="A306" s="140" t="s">
        <v>6</v>
      </c>
      <c r="B306" s="129">
        <v>304</v>
      </c>
      <c r="C306" s="236" t="s">
        <v>1203</v>
      </c>
      <c r="D306" s="236" t="s">
        <v>3095</v>
      </c>
      <c r="E306" s="141" t="s">
        <v>1245</v>
      </c>
      <c r="F306" s="236" t="s">
        <v>604</v>
      </c>
      <c r="G306" s="141" t="s">
        <v>804</v>
      </c>
      <c r="H306" s="141" t="s">
        <v>635</v>
      </c>
      <c r="I306" s="141" t="s">
        <v>638</v>
      </c>
      <c r="J306" s="141" t="s">
        <v>843</v>
      </c>
      <c r="K306" s="141" t="s">
        <v>843</v>
      </c>
      <c r="L306" s="141" t="s">
        <v>804</v>
      </c>
      <c r="M306" s="141" t="s">
        <v>804</v>
      </c>
      <c r="N306" s="141">
        <v>1000</v>
      </c>
      <c r="O306" s="141" t="s">
        <v>1124</v>
      </c>
      <c r="P306" s="141" t="s">
        <v>804</v>
      </c>
      <c r="Q306" s="141">
        <v>8</v>
      </c>
      <c r="R306" s="141">
        <v>47</v>
      </c>
      <c r="S306" s="141">
        <v>40</v>
      </c>
      <c r="T306" s="236" t="s">
        <v>1206</v>
      </c>
      <c r="U306" s="141" t="s">
        <v>816</v>
      </c>
      <c r="V306" s="141" t="s">
        <v>1207</v>
      </c>
      <c r="W306" s="141" t="s">
        <v>804</v>
      </c>
      <c r="X306" s="141" t="s">
        <v>804</v>
      </c>
      <c r="Y306" s="141" t="s">
        <v>339</v>
      </c>
      <c r="Z306" s="141" t="s">
        <v>804</v>
      </c>
      <c r="AA306" s="141">
        <v>1</v>
      </c>
      <c r="AB306" s="141" t="s">
        <v>1201</v>
      </c>
      <c r="AC306" s="141" t="s">
        <v>1201</v>
      </c>
      <c r="AD306" s="141" t="s">
        <v>1201</v>
      </c>
      <c r="AE306" s="141" t="s">
        <v>1201</v>
      </c>
      <c r="AF306" s="141">
        <v>-40</v>
      </c>
      <c r="AG306" s="141">
        <v>-40</v>
      </c>
      <c r="AH306" s="141">
        <v>125</v>
      </c>
      <c r="AI306" s="141" t="s">
        <v>236</v>
      </c>
      <c r="AJ306" s="164" t="s">
        <v>2146</v>
      </c>
      <c r="AK306" s="141" t="s">
        <v>804</v>
      </c>
      <c r="AL306" s="141" t="s">
        <v>804</v>
      </c>
      <c r="AM306" s="141" t="s">
        <v>2628</v>
      </c>
      <c r="AN306" s="141"/>
      <c r="AO306" s="141"/>
      <c r="AP306" s="141"/>
      <c r="AQ306" s="141"/>
      <c r="AR306" s="141"/>
      <c r="AS306" s="141"/>
      <c r="AT306" s="141"/>
      <c r="AU306" s="141"/>
      <c r="AV306" s="141"/>
      <c r="AW306" s="205"/>
      <c r="AX306" s="206"/>
    </row>
    <row r="307" spans="1:54" s="207" customFormat="1" ht="30">
      <c r="A307" s="140" t="s">
        <v>6</v>
      </c>
      <c r="B307" s="129">
        <v>305</v>
      </c>
      <c r="C307" s="236" t="s">
        <v>1203</v>
      </c>
      <c r="D307" s="236" t="s">
        <v>3095</v>
      </c>
      <c r="E307" s="141" t="s">
        <v>1246</v>
      </c>
      <c r="F307" s="236" t="s">
        <v>605</v>
      </c>
      <c r="G307" s="141" t="s">
        <v>804</v>
      </c>
      <c r="H307" s="141" t="s">
        <v>635</v>
      </c>
      <c r="I307" s="141" t="s">
        <v>638</v>
      </c>
      <c r="J307" s="141" t="s">
        <v>843</v>
      </c>
      <c r="K307" s="141" t="s">
        <v>843</v>
      </c>
      <c r="L307" s="141" t="s">
        <v>804</v>
      </c>
      <c r="M307" s="141" t="s">
        <v>804</v>
      </c>
      <c r="N307" s="141">
        <v>1000</v>
      </c>
      <c r="O307" s="141" t="s">
        <v>1124</v>
      </c>
      <c r="P307" s="141" t="s">
        <v>804</v>
      </c>
      <c r="Q307" s="141">
        <v>8</v>
      </c>
      <c r="R307" s="141">
        <v>55</v>
      </c>
      <c r="S307" s="141">
        <v>48</v>
      </c>
      <c r="T307" s="236" t="s">
        <v>1206</v>
      </c>
      <c r="U307" s="141" t="s">
        <v>816</v>
      </c>
      <c r="V307" s="141" t="s">
        <v>1207</v>
      </c>
      <c r="W307" s="141" t="s">
        <v>804</v>
      </c>
      <c r="X307" s="141" t="s">
        <v>804</v>
      </c>
      <c r="Y307" s="141" t="s">
        <v>339</v>
      </c>
      <c r="Z307" s="141" t="s">
        <v>804</v>
      </c>
      <c r="AA307" s="141">
        <v>1</v>
      </c>
      <c r="AB307" s="141" t="s">
        <v>1201</v>
      </c>
      <c r="AC307" s="141" t="s">
        <v>1201</v>
      </c>
      <c r="AD307" s="141" t="s">
        <v>1201</v>
      </c>
      <c r="AE307" s="141" t="s">
        <v>1201</v>
      </c>
      <c r="AF307" s="141">
        <v>-40</v>
      </c>
      <c r="AG307" s="141">
        <v>-40</v>
      </c>
      <c r="AH307" s="141">
        <v>125</v>
      </c>
      <c r="AI307" s="141" t="s">
        <v>236</v>
      </c>
      <c r="AJ307" s="164" t="s">
        <v>2146</v>
      </c>
      <c r="AK307" s="141" t="s">
        <v>804</v>
      </c>
      <c r="AL307" s="141" t="s">
        <v>804</v>
      </c>
      <c r="AM307" s="141" t="s">
        <v>2639</v>
      </c>
      <c r="AN307" s="141"/>
      <c r="AO307" s="141"/>
      <c r="AP307" s="141"/>
      <c r="AQ307" s="141"/>
      <c r="AR307" s="141"/>
      <c r="AS307" s="141"/>
      <c r="AT307" s="141"/>
      <c r="AU307" s="141"/>
      <c r="AV307" s="141"/>
      <c r="AW307" s="205"/>
      <c r="AX307" s="206"/>
    </row>
    <row r="308" spans="1:54" s="207" customFormat="1" ht="30">
      <c r="A308" s="140" t="s">
        <v>6</v>
      </c>
      <c r="B308" s="129">
        <v>306</v>
      </c>
      <c r="C308" s="236" t="s">
        <v>1203</v>
      </c>
      <c r="D308" s="236" t="s">
        <v>3095</v>
      </c>
      <c r="E308" s="141" t="s">
        <v>1247</v>
      </c>
      <c r="F308" s="236" t="s">
        <v>606</v>
      </c>
      <c r="G308" s="141" t="s">
        <v>804</v>
      </c>
      <c r="H308" s="141" t="s">
        <v>635</v>
      </c>
      <c r="I308" s="141" t="s">
        <v>638</v>
      </c>
      <c r="J308" s="141" t="s">
        <v>843</v>
      </c>
      <c r="K308" s="141" t="s">
        <v>843</v>
      </c>
      <c r="L308" s="141" t="s">
        <v>804</v>
      </c>
      <c r="M308" s="141" t="s">
        <v>804</v>
      </c>
      <c r="N308" s="141">
        <v>1000</v>
      </c>
      <c r="O308" s="141" t="s">
        <v>1124</v>
      </c>
      <c r="P308" s="141" t="s">
        <v>804</v>
      </c>
      <c r="Q308" s="141">
        <v>8</v>
      </c>
      <c r="R308" s="141">
        <v>63</v>
      </c>
      <c r="S308" s="141">
        <v>56</v>
      </c>
      <c r="T308" s="236" t="s">
        <v>1206</v>
      </c>
      <c r="U308" s="141" t="s">
        <v>816</v>
      </c>
      <c r="V308" s="141" t="s">
        <v>1207</v>
      </c>
      <c r="W308" s="141" t="s">
        <v>804</v>
      </c>
      <c r="X308" s="141" t="s">
        <v>804</v>
      </c>
      <c r="Y308" s="141" t="s">
        <v>339</v>
      </c>
      <c r="Z308" s="141" t="s">
        <v>804</v>
      </c>
      <c r="AA308" s="141">
        <v>1</v>
      </c>
      <c r="AB308" s="141" t="s">
        <v>1201</v>
      </c>
      <c r="AC308" s="141" t="s">
        <v>1201</v>
      </c>
      <c r="AD308" s="141" t="s">
        <v>1201</v>
      </c>
      <c r="AE308" s="141" t="s">
        <v>1201</v>
      </c>
      <c r="AF308" s="141">
        <v>-40</v>
      </c>
      <c r="AG308" s="141">
        <v>-40</v>
      </c>
      <c r="AH308" s="141">
        <v>125</v>
      </c>
      <c r="AI308" s="141" t="s">
        <v>236</v>
      </c>
      <c r="AJ308" s="164" t="s">
        <v>2146</v>
      </c>
      <c r="AK308" s="141" t="s">
        <v>804</v>
      </c>
      <c r="AL308" s="141" t="s">
        <v>804</v>
      </c>
      <c r="AM308" s="141" t="s">
        <v>2637</v>
      </c>
      <c r="AN308" s="141"/>
      <c r="AO308" s="141"/>
      <c r="AP308" s="141"/>
      <c r="AQ308" s="141"/>
      <c r="AR308" s="141"/>
      <c r="AS308" s="141"/>
      <c r="AT308" s="141"/>
      <c r="AU308" s="141"/>
      <c r="AV308" s="141"/>
      <c r="AW308" s="205"/>
      <c r="AX308" s="206"/>
    </row>
    <row r="309" spans="1:54" s="207" customFormat="1" ht="30">
      <c r="A309" s="140" t="s">
        <v>6</v>
      </c>
      <c r="B309" s="129">
        <v>307</v>
      </c>
      <c r="C309" s="236" t="s">
        <v>1203</v>
      </c>
      <c r="D309" s="236" t="s">
        <v>3095</v>
      </c>
      <c r="E309" s="141" t="s">
        <v>1248</v>
      </c>
      <c r="F309" s="236" t="s">
        <v>607</v>
      </c>
      <c r="G309" s="141" t="s">
        <v>804</v>
      </c>
      <c r="H309" s="141" t="s">
        <v>1249</v>
      </c>
      <c r="I309" s="141" t="s">
        <v>639</v>
      </c>
      <c r="J309" s="141" t="s">
        <v>843</v>
      </c>
      <c r="K309" s="141" t="s">
        <v>843</v>
      </c>
      <c r="L309" s="141" t="s">
        <v>804</v>
      </c>
      <c r="M309" s="141" t="s">
        <v>804</v>
      </c>
      <c r="N309" s="141">
        <v>1000</v>
      </c>
      <c r="O309" s="141" t="s">
        <v>1124</v>
      </c>
      <c r="P309" s="141" t="s">
        <v>804</v>
      </c>
      <c r="Q309" s="141">
        <v>8</v>
      </c>
      <c r="R309" s="141">
        <v>7</v>
      </c>
      <c r="S309" s="141">
        <v>0</v>
      </c>
      <c r="T309" s="236" t="s">
        <v>1206</v>
      </c>
      <c r="U309" s="141" t="s">
        <v>816</v>
      </c>
      <c r="V309" s="141" t="s">
        <v>1207</v>
      </c>
      <c r="W309" s="141" t="s">
        <v>804</v>
      </c>
      <c r="X309" s="141" t="s">
        <v>804</v>
      </c>
      <c r="Y309" s="141" t="s">
        <v>339</v>
      </c>
      <c r="Z309" s="141" t="s">
        <v>804</v>
      </c>
      <c r="AA309" s="141">
        <v>1</v>
      </c>
      <c r="AB309" s="141" t="s">
        <v>1201</v>
      </c>
      <c r="AC309" s="141" t="s">
        <v>1201</v>
      </c>
      <c r="AD309" s="141" t="s">
        <v>1201</v>
      </c>
      <c r="AE309" s="141" t="s">
        <v>1201</v>
      </c>
      <c r="AF309" s="141">
        <v>-40</v>
      </c>
      <c r="AG309" s="141">
        <v>-40</v>
      </c>
      <c r="AH309" s="141">
        <v>125</v>
      </c>
      <c r="AI309" s="141" t="s">
        <v>236</v>
      </c>
      <c r="AJ309" s="164" t="s">
        <v>2146</v>
      </c>
      <c r="AK309" s="141" t="s">
        <v>804</v>
      </c>
      <c r="AL309" s="141" t="s">
        <v>804</v>
      </c>
      <c r="AM309" s="141" t="s">
        <v>2637</v>
      </c>
      <c r="AN309" s="141"/>
      <c r="AO309" s="141"/>
      <c r="AP309" s="141"/>
      <c r="AQ309" s="141"/>
      <c r="AR309" s="141"/>
      <c r="AS309" s="141"/>
      <c r="AT309" s="141"/>
      <c r="AU309" s="141"/>
      <c r="AV309" s="141"/>
      <c r="AW309" s="205"/>
      <c r="AX309" s="206"/>
    </row>
    <row r="310" spans="1:54" s="207" customFormat="1" ht="30">
      <c r="A310" s="140" t="s">
        <v>6</v>
      </c>
      <c r="B310" s="129">
        <v>308</v>
      </c>
      <c r="C310" s="236" t="s">
        <v>1203</v>
      </c>
      <c r="D310" s="236" t="s">
        <v>3095</v>
      </c>
      <c r="E310" s="141" t="s">
        <v>1250</v>
      </c>
      <c r="F310" s="236" t="s">
        <v>608</v>
      </c>
      <c r="G310" s="141" t="s">
        <v>804</v>
      </c>
      <c r="H310" s="141" t="s">
        <v>1249</v>
      </c>
      <c r="I310" s="141" t="s">
        <v>639</v>
      </c>
      <c r="J310" s="141" t="s">
        <v>843</v>
      </c>
      <c r="K310" s="141" t="s">
        <v>843</v>
      </c>
      <c r="L310" s="141" t="s">
        <v>804</v>
      </c>
      <c r="M310" s="141" t="s">
        <v>804</v>
      </c>
      <c r="N310" s="141">
        <v>1000</v>
      </c>
      <c r="O310" s="141" t="s">
        <v>1124</v>
      </c>
      <c r="P310" s="141" t="s">
        <v>804</v>
      </c>
      <c r="Q310" s="141">
        <v>8</v>
      </c>
      <c r="R310" s="141">
        <v>15</v>
      </c>
      <c r="S310" s="141">
        <v>8</v>
      </c>
      <c r="T310" s="236" t="s">
        <v>1206</v>
      </c>
      <c r="U310" s="141" t="s">
        <v>816</v>
      </c>
      <c r="V310" s="141" t="s">
        <v>1207</v>
      </c>
      <c r="W310" s="141" t="s">
        <v>804</v>
      </c>
      <c r="X310" s="141" t="s">
        <v>804</v>
      </c>
      <c r="Y310" s="141" t="s">
        <v>339</v>
      </c>
      <c r="Z310" s="141" t="s">
        <v>804</v>
      </c>
      <c r="AA310" s="141">
        <v>1</v>
      </c>
      <c r="AB310" s="141" t="s">
        <v>1201</v>
      </c>
      <c r="AC310" s="141" t="s">
        <v>1201</v>
      </c>
      <c r="AD310" s="141" t="s">
        <v>1201</v>
      </c>
      <c r="AE310" s="141" t="s">
        <v>1201</v>
      </c>
      <c r="AF310" s="141">
        <v>-40</v>
      </c>
      <c r="AG310" s="141">
        <v>-40</v>
      </c>
      <c r="AH310" s="141">
        <v>125</v>
      </c>
      <c r="AI310" s="141" t="s">
        <v>236</v>
      </c>
      <c r="AJ310" s="164" t="s">
        <v>2146</v>
      </c>
      <c r="AK310" s="141" t="s">
        <v>804</v>
      </c>
      <c r="AL310" s="141" t="s">
        <v>804</v>
      </c>
      <c r="AM310" s="141" t="s">
        <v>2640</v>
      </c>
      <c r="AN310" s="141"/>
      <c r="AO310" s="141"/>
      <c r="AP310" s="141"/>
      <c r="AQ310" s="141"/>
      <c r="AR310" s="141"/>
      <c r="AS310" s="141"/>
      <c r="AT310" s="141"/>
      <c r="AU310" s="141"/>
      <c r="AV310" s="141"/>
      <c r="AW310" s="205"/>
      <c r="AX310" s="206"/>
    </row>
    <row r="311" spans="1:54" s="207" customFormat="1" ht="30">
      <c r="A311" s="140" t="s">
        <v>6</v>
      </c>
      <c r="B311" s="129">
        <v>309</v>
      </c>
      <c r="C311" s="236" t="s">
        <v>1203</v>
      </c>
      <c r="D311" s="236" t="s">
        <v>3095</v>
      </c>
      <c r="E311" s="141" t="s">
        <v>1251</v>
      </c>
      <c r="F311" s="236" t="s">
        <v>609</v>
      </c>
      <c r="G311" s="141" t="s">
        <v>804</v>
      </c>
      <c r="H311" s="141" t="s">
        <v>1249</v>
      </c>
      <c r="I311" s="141" t="s">
        <v>639</v>
      </c>
      <c r="J311" s="141" t="s">
        <v>843</v>
      </c>
      <c r="K311" s="141" t="s">
        <v>843</v>
      </c>
      <c r="L311" s="141" t="s">
        <v>804</v>
      </c>
      <c r="M311" s="141" t="s">
        <v>804</v>
      </c>
      <c r="N311" s="141">
        <v>1000</v>
      </c>
      <c r="O311" s="141" t="s">
        <v>1124</v>
      </c>
      <c r="P311" s="141" t="s">
        <v>804</v>
      </c>
      <c r="Q311" s="141">
        <v>8</v>
      </c>
      <c r="R311" s="141">
        <v>23</v>
      </c>
      <c r="S311" s="141">
        <v>16</v>
      </c>
      <c r="T311" s="236" t="s">
        <v>1206</v>
      </c>
      <c r="U311" s="141" t="s">
        <v>816</v>
      </c>
      <c r="V311" s="141" t="s">
        <v>1207</v>
      </c>
      <c r="W311" s="141" t="s">
        <v>804</v>
      </c>
      <c r="X311" s="141" t="s">
        <v>804</v>
      </c>
      <c r="Y311" s="141" t="s">
        <v>339</v>
      </c>
      <c r="Z311" s="141" t="s">
        <v>804</v>
      </c>
      <c r="AA311" s="141">
        <v>1</v>
      </c>
      <c r="AB311" s="141" t="s">
        <v>1201</v>
      </c>
      <c r="AC311" s="141" t="s">
        <v>1201</v>
      </c>
      <c r="AD311" s="141" t="s">
        <v>1201</v>
      </c>
      <c r="AE311" s="141" t="s">
        <v>1201</v>
      </c>
      <c r="AF311" s="141">
        <v>-40</v>
      </c>
      <c r="AG311" s="141">
        <v>-40</v>
      </c>
      <c r="AH311" s="141">
        <v>125</v>
      </c>
      <c r="AI311" s="141" t="s">
        <v>236</v>
      </c>
      <c r="AJ311" s="164" t="s">
        <v>2146</v>
      </c>
      <c r="AK311" s="141" t="s">
        <v>804</v>
      </c>
      <c r="AL311" s="141" t="s">
        <v>804</v>
      </c>
      <c r="AM311" s="141" t="s">
        <v>2638</v>
      </c>
      <c r="AN311" s="141"/>
      <c r="AO311" s="141"/>
      <c r="AP311" s="141"/>
      <c r="AQ311" s="141"/>
      <c r="AR311" s="141"/>
      <c r="AS311" s="141"/>
      <c r="AT311" s="141"/>
      <c r="AU311" s="141"/>
      <c r="AV311" s="141"/>
      <c r="AW311" s="205"/>
      <c r="AX311" s="206"/>
    </row>
    <row r="312" spans="1:54" s="207" customFormat="1" ht="30">
      <c r="A312" s="140" t="s">
        <v>6</v>
      </c>
      <c r="B312" s="129">
        <v>310</v>
      </c>
      <c r="C312" s="236" t="s">
        <v>1203</v>
      </c>
      <c r="D312" s="236" t="s">
        <v>3095</v>
      </c>
      <c r="E312" s="141" t="s">
        <v>1252</v>
      </c>
      <c r="F312" s="236" t="s">
        <v>610</v>
      </c>
      <c r="G312" s="141" t="s">
        <v>804</v>
      </c>
      <c r="H312" s="141" t="s">
        <v>636</v>
      </c>
      <c r="I312" s="141" t="s">
        <v>639</v>
      </c>
      <c r="J312" s="141" t="s">
        <v>843</v>
      </c>
      <c r="K312" s="141" t="s">
        <v>843</v>
      </c>
      <c r="L312" s="141" t="s">
        <v>804</v>
      </c>
      <c r="M312" s="141" t="s">
        <v>804</v>
      </c>
      <c r="N312" s="141">
        <v>1000</v>
      </c>
      <c r="O312" s="141" t="s">
        <v>1124</v>
      </c>
      <c r="P312" s="141" t="s">
        <v>804</v>
      </c>
      <c r="Q312" s="141">
        <v>8</v>
      </c>
      <c r="R312" s="141">
        <v>31</v>
      </c>
      <c r="S312" s="141">
        <v>24</v>
      </c>
      <c r="T312" s="236" t="s">
        <v>1206</v>
      </c>
      <c r="U312" s="141" t="s">
        <v>816</v>
      </c>
      <c r="V312" s="141" t="s">
        <v>1207</v>
      </c>
      <c r="W312" s="141" t="s">
        <v>804</v>
      </c>
      <c r="X312" s="141" t="s">
        <v>804</v>
      </c>
      <c r="Y312" s="141" t="s">
        <v>339</v>
      </c>
      <c r="Z312" s="141" t="s">
        <v>804</v>
      </c>
      <c r="AA312" s="141">
        <v>1</v>
      </c>
      <c r="AB312" s="141" t="s">
        <v>1201</v>
      </c>
      <c r="AC312" s="141" t="s">
        <v>1201</v>
      </c>
      <c r="AD312" s="141" t="s">
        <v>1201</v>
      </c>
      <c r="AE312" s="141" t="s">
        <v>1201</v>
      </c>
      <c r="AF312" s="141">
        <v>-40</v>
      </c>
      <c r="AG312" s="141">
        <v>-40</v>
      </c>
      <c r="AH312" s="141">
        <v>125</v>
      </c>
      <c r="AI312" s="141" t="s">
        <v>236</v>
      </c>
      <c r="AJ312" s="164" t="s">
        <v>2146</v>
      </c>
      <c r="AK312" s="141" t="s">
        <v>804</v>
      </c>
      <c r="AL312" s="141" t="s">
        <v>804</v>
      </c>
      <c r="AM312" s="141" t="s">
        <v>2641</v>
      </c>
      <c r="AN312" s="141"/>
      <c r="AO312" s="141"/>
      <c r="AP312" s="141"/>
      <c r="AQ312" s="141"/>
      <c r="AR312" s="141"/>
      <c r="AS312" s="141"/>
      <c r="AT312" s="141"/>
      <c r="AU312" s="141"/>
      <c r="AV312" s="141"/>
      <c r="AW312" s="205"/>
      <c r="AX312" s="206"/>
    </row>
    <row r="313" spans="1:54" s="207" customFormat="1" ht="30">
      <c r="A313" s="140" t="s">
        <v>6</v>
      </c>
      <c r="B313" s="129">
        <v>311</v>
      </c>
      <c r="C313" s="236" t="s">
        <v>1203</v>
      </c>
      <c r="D313" s="236" t="s">
        <v>3095</v>
      </c>
      <c r="E313" s="141" t="s">
        <v>1253</v>
      </c>
      <c r="F313" s="236" t="s">
        <v>611</v>
      </c>
      <c r="G313" s="141" t="s">
        <v>804</v>
      </c>
      <c r="H313" s="141" t="s">
        <v>636</v>
      </c>
      <c r="I313" s="141" t="s">
        <v>639</v>
      </c>
      <c r="J313" s="141" t="s">
        <v>843</v>
      </c>
      <c r="K313" s="141" t="s">
        <v>843</v>
      </c>
      <c r="L313" s="141" t="s">
        <v>804</v>
      </c>
      <c r="M313" s="141" t="s">
        <v>804</v>
      </c>
      <c r="N313" s="141">
        <v>1000</v>
      </c>
      <c r="O313" s="141" t="s">
        <v>1124</v>
      </c>
      <c r="P313" s="141" t="s">
        <v>804</v>
      </c>
      <c r="Q313" s="141">
        <v>8</v>
      </c>
      <c r="R313" s="141">
        <v>39</v>
      </c>
      <c r="S313" s="141">
        <v>32</v>
      </c>
      <c r="T313" s="236" t="s">
        <v>1206</v>
      </c>
      <c r="U313" s="141" t="s">
        <v>816</v>
      </c>
      <c r="V313" s="141" t="s">
        <v>1207</v>
      </c>
      <c r="W313" s="141" t="s">
        <v>804</v>
      </c>
      <c r="X313" s="141" t="s">
        <v>804</v>
      </c>
      <c r="Y313" s="141" t="s">
        <v>339</v>
      </c>
      <c r="Z313" s="141" t="s">
        <v>804</v>
      </c>
      <c r="AA313" s="141">
        <v>1</v>
      </c>
      <c r="AB313" s="141" t="s">
        <v>1201</v>
      </c>
      <c r="AC313" s="141" t="s">
        <v>1201</v>
      </c>
      <c r="AD313" s="141" t="s">
        <v>1201</v>
      </c>
      <c r="AE313" s="141" t="s">
        <v>1201</v>
      </c>
      <c r="AF313" s="141">
        <v>-40</v>
      </c>
      <c r="AG313" s="141">
        <v>-40</v>
      </c>
      <c r="AH313" s="141">
        <v>125</v>
      </c>
      <c r="AI313" s="141" t="s">
        <v>236</v>
      </c>
      <c r="AJ313" s="164" t="s">
        <v>2146</v>
      </c>
      <c r="AK313" s="141" t="s">
        <v>804</v>
      </c>
      <c r="AL313" s="141" t="s">
        <v>804</v>
      </c>
      <c r="AM313" s="141" t="s">
        <v>2629</v>
      </c>
      <c r="AN313" s="141"/>
      <c r="AO313" s="141"/>
      <c r="AP313" s="141"/>
      <c r="AQ313" s="141"/>
      <c r="AR313" s="141"/>
      <c r="AS313" s="141"/>
      <c r="AT313" s="141"/>
      <c r="AU313" s="141"/>
      <c r="AV313" s="141"/>
      <c r="AW313" s="205"/>
      <c r="AX313" s="206"/>
    </row>
    <row r="314" spans="1:54" s="207" customFormat="1" ht="30">
      <c r="A314" s="140" t="s">
        <v>6</v>
      </c>
      <c r="B314" s="129">
        <v>312</v>
      </c>
      <c r="C314" s="236" t="s">
        <v>1203</v>
      </c>
      <c r="D314" s="236" t="s">
        <v>3095</v>
      </c>
      <c r="E314" s="141" t="s">
        <v>1254</v>
      </c>
      <c r="F314" s="236" t="s">
        <v>612</v>
      </c>
      <c r="G314" s="141" t="s">
        <v>804</v>
      </c>
      <c r="H314" s="141" t="s">
        <v>636</v>
      </c>
      <c r="I314" s="141" t="s">
        <v>639</v>
      </c>
      <c r="J314" s="141" t="s">
        <v>843</v>
      </c>
      <c r="K314" s="141" t="s">
        <v>843</v>
      </c>
      <c r="L314" s="141" t="s">
        <v>804</v>
      </c>
      <c r="M314" s="141" t="s">
        <v>804</v>
      </c>
      <c r="N314" s="141">
        <v>1000</v>
      </c>
      <c r="O314" s="141" t="s">
        <v>1124</v>
      </c>
      <c r="P314" s="141" t="s">
        <v>804</v>
      </c>
      <c r="Q314" s="141">
        <v>8</v>
      </c>
      <c r="R314" s="141">
        <v>47</v>
      </c>
      <c r="S314" s="141">
        <v>40</v>
      </c>
      <c r="T314" s="236" t="s">
        <v>1206</v>
      </c>
      <c r="U314" s="141" t="s">
        <v>816</v>
      </c>
      <c r="V314" s="141" t="s">
        <v>1207</v>
      </c>
      <c r="W314" s="141" t="s">
        <v>804</v>
      </c>
      <c r="X314" s="141" t="s">
        <v>804</v>
      </c>
      <c r="Y314" s="141" t="s">
        <v>339</v>
      </c>
      <c r="Z314" s="141" t="s">
        <v>804</v>
      </c>
      <c r="AA314" s="141">
        <v>1</v>
      </c>
      <c r="AB314" s="141" t="s">
        <v>1201</v>
      </c>
      <c r="AC314" s="141" t="s">
        <v>1201</v>
      </c>
      <c r="AD314" s="141" t="s">
        <v>1201</v>
      </c>
      <c r="AE314" s="141" t="s">
        <v>1201</v>
      </c>
      <c r="AF314" s="141">
        <v>-40</v>
      </c>
      <c r="AG314" s="141">
        <v>-40</v>
      </c>
      <c r="AH314" s="141">
        <v>125</v>
      </c>
      <c r="AI314" s="141" t="s">
        <v>236</v>
      </c>
      <c r="AJ314" s="164" t="s">
        <v>2146</v>
      </c>
      <c r="AK314" s="141" t="s">
        <v>2826</v>
      </c>
      <c r="AL314" s="141" t="s">
        <v>804</v>
      </c>
      <c r="AM314" s="141" t="s">
        <v>2642</v>
      </c>
      <c r="AN314" s="141"/>
      <c r="AO314" s="141"/>
      <c r="AP314" s="141"/>
      <c r="AQ314" s="141"/>
      <c r="AR314" s="141"/>
      <c r="AS314" s="141"/>
      <c r="AT314" s="141"/>
      <c r="AU314" s="141"/>
      <c r="AV314" s="141"/>
      <c r="AW314" s="205"/>
      <c r="AX314" s="206"/>
    </row>
    <row r="315" spans="1:54" s="207" customFormat="1" ht="30">
      <c r="A315" s="140" t="s">
        <v>6</v>
      </c>
      <c r="B315" s="129">
        <v>313</v>
      </c>
      <c r="C315" s="236" t="s">
        <v>1203</v>
      </c>
      <c r="D315" s="236" t="s">
        <v>3095</v>
      </c>
      <c r="E315" s="141" t="s">
        <v>1255</v>
      </c>
      <c r="F315" s="236" t="s">
        <v>613</v>
      </c>
      <c r="G315" s="141" t="s">
        <v>804</v>
      </c>
      <c r="H315" s="141" t="s">
        <v>636</v>
      </c>
      <c r="I315" s="141" t="s">
        <v>639</v>
      </c>
      <c r="J315" s="141" t="s">
        <v>843</v>
      </c>
      <c r="K315" s="141" t="s">
        <v>843</v>
      </c>
      <c r="L315" s="141" t="s">
        <v>804</v>
      </c>
      <c r="M315" s="141" t="s">
        <v>804</v>
      </c>
      <c r="N315" s="141">
        <v>1000</v>
      </c>
      <c r="O315" s="141" t="s">
        <v>1124</v>
      </c>
      <c r="P315" s="141" t="s">
        <v>804</v>
      </c>
      <c r="Q315" s="141">
        <v>8</v>
      </c>
      <c r="R315" s="141">
        <v>55</v>
      </c>
      <c r="S315" s="141">
        <v>48</v>
      </c>
      <c r="T315" s="236" t="s">
        <v>1206</v>
      </c>
      <c r="U315" s="141" t="s">
        <v>816</v>
      </c>
      <c r="V315" s="141" t="s">
        <v>1207</v>
      </c>
      <c r="W315" s="141" t="s">
        <v>804</v>
      </c>
      <c r="X315" s="141" t="s">
        <v>804</v>
      </c>
      <c r="Y315" s="141" t="s">
        <v>339</v>
      </c>
      <c r="Z315" s="141" t="s">
        <v>804</v>
      </c>
      <c r="AA315" s="141">
        <v>1</v>
      </c>
      <c r="AB315" s="141" t="s">
        <v>1201</v>
      </c>
      <c r="AC315" s="141" t="s">
        <v>1201</v>
      </c>
      <c r="AD315" s="141" t="s">
        <v>1201</v>
      </c>
      <c r="AE315" s="141" t="s">
        <v>1201</v>
      </c>
      <c r="AF315" s="141">
        <v>-40</v>
      </c>
      <c r="AG315" s="141">
        <v>-40</v>
      </c>
      <c r="AH315" s="141">
        <v>125</v>
      </c>
      <c r="AI315" s="141" t="s">
        <v>236</v>
      </c>
      <c r="AJ315" s="164" t="s">
        <v>2827</v>
      </c>
      <c r="AK315" s="141" t="s">
        <v>2826</v>
      </c>
      <c r="AL315" s="141" t="s">
        <v>804</v>
      </c>
      <c r="AM315" s="141" t="s">
        <v>2630</v>
      </c>
      <c r="AN315" s="141"/>
      <c r="AO315" s="141"/>
      <c r="AP315" s="141"/>
      <c r="AQ315" s="141"/>
      <c r="AR315" s="141"/>
      <c r="AS315" s="141"/>
      <c r="AT315" s="141"/>
      <c r="AU315" s="141"/>
      <c r="AV315" s="141"/>
      <c r="AW315" s="205"/>
      <c r="AX315" s="206"/>
    </row>
    <row r="316" spans="1:54" s="213" customFormat="1" ht="30">
      <c r="A316" s="140" t="s">
        <v>6</v>
      </c>
      <c r="B316" s="129">
        <v>314</v>
      </c>
      <c r="C316" s="236" t="s">
        <v>931</v>
      </c>
      <c r="D316" s="236" t="s">
        <v>3095</v>
      </c>
      <c r="E316" s="241" t="s">
        <v>1222</v>
      </c>
      <c r="F316" s="241" t="s">
        <v>452</v>
      </c>
      <c r="G316" s="141" t="s">
        <v>665</v>
      </c>
      <c r="H316" s="169" t="s">
        <v>2257</v>
      </c>
      <c r="I316" s="169" t="s">
        <v>2258</v>
      </c>
      <c r="J316" s="141" t="s">
        <v>815</v>
      </c>
      <c r="K316" s="141" t="s">
        <v>815</v>
      </c>
      <c r="L316" s="141" t="s">
        <v>665</v>
      </c>
      <c r="M316" s="141" t="s">
        <v>665</v>
      </c>
      <c r="N316" s="141">
        <v>1000</v>
      </c>
      <c r="O316" s="141" t="s">
        <v>930</v>
      </c>
      <c r="P316" s="141" t="s">
        <v>665</v>
      </c>
      <c r="Q316" s="141">
        <v>8</v>
      </c>
      <c r="R316" s="141">
        <v>7</v>
      </c>
      <c r="S316" s="141">
        <v>11</v>
      </c>
      <c r="T316" s="236">
        <v>13</v>
      </c>
      <c r="U316" s="141" t="s">
        <v>88</v>
      </c>
      <c r="V316" s="141" t="s">
        <v>91</v>
      </c>
      <c r="W316" s="141" t="s">
        <v>665</v>
      </c>
      <c r="X316" s="141" t="s">
        <v>665</v>
      </c>
      <c r="Y316" s="141" t="s">
        <v>339</v>
      </c>
      <c r="Z316" s="141" t="s">
        <v>665</v>
      </c>
      <c r="AA316" s="141">
        <v>1E-3</v>
      </c>
      <c r="AB316" s="141" t="s">
        <v>665</v>
      </c>
      <c r="AC316" s="141" t="s">
        <v>665</v>
      </c>
      <c r="AD316" s="141" t="s">
        <v>665</v>
      </c>
      <c r="AE316" s="141" t="s">
        <v>665</v>
      </c>
      <c r="AF316" s="236">
        <v>0</v>
      </c>
      <c r="AG316" s="236">
        <v>0</v>
      </c>
      <c r="AH316" s="236" t="s">
        <v>358</v>
      </c>
      <c r="AI316" s="236" t="s">
        <v>133</v>
      </c>
      <c r="AJ316" s="212" t="s">
        <v>2244</v>
      </c>
      <c r="AK316" s="141" t="s">
        <v>665</v>
      </c>
      <c r="AL316" s="141" t="s">
        <v>665</v>
      </c>
      <c r="AM316" s="141" t="s">
        <v>2643</v>
      </c>
      <c r="AN316" s="141" t="s">
        <v>1197</v>
      </c>
      <c r="AO316" s="143"/>
      <c r="AP316" s="143"/>
      <c r="AQ316" s="143"/>
      <c r="AR316" s="143"/>
      <c r="AS316" s="143"/>
      <c r="AT316" s="143"/>
      <c r="AU316" s="239"/>
      <c r="AV316" s="141"/>
      <c r="AW316" s="205"/>
      <c r="AX316" s="206"/>
      <c r="AY316" s="245"/>
      <c r="AZ316" s="245"/>
      <c r="BA316" s="245"/>
      <c r="BB316" s="245"/>
    </row>
    <row r="317" spans="1:54" s="213" customFormat="1" ht="30">
      <c r="A317" s="140" t="s">
        <v>6</v>
      </c>
      <c r="B317" s="129">
        <v>315</v>
      </c>
      <c r="C317" s="236" t="s">
        <v>931</v>
      </c>
      <c r="D317" s="236" t="s">
        <v>3095</v>
      </c>
      <c r="E317" s="241" t="s">
        <v>1223</v>
      </c>
      <c r="F317" s="241" t="s">
        <v>453</v>
      </c>
      <c r="G317" s="141" t="s">
        <v>665</v>
      </c>
      <c r="H317" s="169" t="s">
        <v>2257</v>
      </c>
      <c r="I317" s="169" t="s">
        <v>2258</v>
      </c>
      <c r="J317" s="141" t="s">
        <v>815</v>
      </c>
      <c r="K317" s="141" t="s">
        <v>815</v>
      </c>
      <c r="L317" s="141" t="s">
        <v>665</v>
      </c>
      <c r="M317" s="141" t="s">
        <v>665</v>
      </c>
      <c r="N317" s="141">
        <v>1000</v>
      </c>
      <c r="O317" s="141" t="s">
        <v>930</v>
      </c>
      <c r="P317" s="141" t="s">
        <v>665</v>
      </c>
      <c r="Q317" s="141">
        <v>8</v>
      </c>
      <c r="R317" s="141">
        <v>23</v>
      </c>
      <c r="S317" s="141">
        <v>27</v>
      </c>
      <c r="T317" s="236">
        <v>13</v>
      </c>
      <c r="U317" s="141" t="s">
        <v>88</v>
      </c>
      <c r="V317" s="141" t="s">
        <v>91</v>
      </c>
      <c r="W317" s="141" t="s">
        <v>665</v>
      </c>
      <c r="X317" s="141" t="s">
        <v>665</v>
      </c>
      <c r="Y317" s="141" t="s">
        <v>339</v>
      </c>
      <c r="Z317" s="141" t="s">
        <v>665</v>
      </c>
      <c r="AA317" s="141">
        <v>1E-3</v>
      </c>
      <c r="AB317" s="141" t="s">
        <v>665</v>
      </c>
      <c r="AC317" s="141" t="s">
        <v>665</v>
      </c>
      <c r="AD317" s="141" t="s">
        <v>665</v>
      </c>
      <c r="AE317" s="141" t="s">
        <v>665</v>
      </c>
      <c r="AF317" s="236">
        <v>0</v>
      </c>
      <c r="AG317" s="236">
        <v>0</v>
      </c>
      <c r="AH317" s="236" t="s">
        <v>358</v>
      </c>
      <c r="AI317" s="236" t="s">
        <v>133</v>
      </c>
      <c r="AJ317" s="212" t="s">
        <v>2244</v>
      </c>
      <c r="AK317" s="141" t="s">
        <v>665</v>
      </c>
      <c r="AL317" s="141" t="s">
        <v>665</v>
      </c>
      <c r="AM317" s="141" t="s">
        <v>2630</v>
      </c>
      <c r="AN317" s="141" t="s">
        <v>1197</v>
      </c>
      <c r="AO317" s="143"/>
      <c r="AP317" s="143"/>
      <c r="AQ317" s="143"/>
      <c r="AR317" s="143"/>
      <c r="AS317" s="143"/>
      <c r="AT317" s="143"/>
      <c r="AU317" s="239"/>
      <c r="AV317" s="141"/>
      <c r="AW317" s="205"/>
      <c r="AX317" s="206"/>
      <c r="AY317" s="245"/>
      <c r="AZ317" s="245"/>
      <c r="BA317" s="245"/>
      <c r="BB317" s="245"/>
    </row>
    <row r="318" spans="1:54" s="213" customFormat="1" ht="30">
      <c r="A318" s="140" t="s">
        <v>6</v>
      </c>
      <c r="B318" s="129">
        <v>316</v>
      </c>
      <c r="C318" s="236" t="s">
        <v>931</v>
      </c>
      <c r="D318" s="236" t="s">
        <v>3095</v>
      </c>
      <c r="E318" s="241" t="s">
        <v>454</v>
      </c>
      <c r="F318" s="241" t="s">
        <v>455</v>
      </c>
      <c r="G318" s="141" t="s">
        <v>665</v>
      </c>
      <c r="H318" s="169" t="s">
        <v>2257</v>
      </c>
      <c r="I318" s="169" t="s">
        <v>2258</v>
      </c>
      <c r="J318" s="141" t="s">
        <v>815</v>
      </c>
      <c r="K318" s="141" t="s">
        <v>815</v>
      </c>
      <c r="L318" s="141" t="s">
        <v>665</v>
      </c>
      <c r="M318" s="141" t="s">
        <v>665</v>
      </c>
      <c r="N318" s="141">
        <v>1000</v>
      </c>
      <c r="O318" s="141" t="s">
        <v>930</v>
      </c>
      <c r="P318" s="141" t="s">
        <v>665</v>
      </c>
      <c r="Q318" s="141">
        <v>8</v>
      </c>
      <c r="R318" s="141">
        <v>39</v>
      </c>
      <c r="S318" s="141">
        <v>43</v>
      </c>
      <c r="T318" s="236">
        <v>13</v>
      </c>
      <c r="U318" s="141" t="s">
        <v>88</v>
      </c>
      <c r="V318" s="141" t="s">
        <v>91</v>
      </c>
      <c r="W318" s="141" t="s">
        <v>665</v>
      </c>
      <c r="X318" s="141" t="s">
        <v>665</v>
      </c>
      <c r="Y318" s="141" t="s">
        <v>339</v>
      </c>
      <c r="Z318" s="141" t="s">
        <v>665</v>
      </c>
      <c r="AA318" s="141">
        <v>1E-3</v>
      </c>
      <c r="AB318" s="141" t="s">
        <v>665</v>
      </c>
      <c r="AC318" s="141" t="s">
        <v>665</v>
      </c>
      <c r="AD318" s="141" t="s">
        <v>665</v>
      </c>
      <c r="AE318" s="141" t="s">
        <v>665</v>
      </c>
      <c r="AF318" s="236">
        <v>0</v>
      </c>
      <c r="AG318" s="236">
        <v>0</v>
      </c>
      <c r="AH318" s="236" t="s">
        <v>358</v>
      </c>
      <c r="AI318" s="236" t="s">
        <v>133</v>
      </c>
      <c r="AJ318" s="212" t="s">
        <v>2244</v>
      </c>
      <c r="AK318" s="141" t="s">
        <v>665</v>
      </c>
      <c r="AL318" s="141" t="s">
        <v>665</v>
      </c>
      <c r="AM318" s="141" t="s">
        <v>693</v>
      </c>
      <c r="AN318" s="141" t="s">
        <v>1197</v>
      </c>
      <c r="AO318" s="143"/>
      <c r="AP318" s="143"/>
      <c r="AQ318" s="143"/>
      <c r="AR318" s="143"/>
      <c r="AS318" s="143"/>
      <c r="AT318" s="143"/>
      <c r="AU318" s="239"/>
      <c r="AV318" s="141"/>
      <c r="AW318" s="205"/>
      <c r="AX318" s="206"/>
      <c r="AY318" s="245"/>
      <c r="AZ318" s="245"/>
      <c r="BA318" s="245"/>
      <c r="BB318" s="245"/>
    </row>
    <row r="319" spans="1:54" s="213" customFormat="1" ht="30">
      <c r="A319" s="140" t="s">
        <v>6</v>
      </c>
      <c r="B319" s="129">
        <v>317</v>
      </c>
      <c r="C319" s="236" t="s">
        <v>931</v>
      </c>
      <c r="D319" s="236" t="s">
        <v>3095</v>
      </c>
      <c r="E319" s="241" t="s">
        <v>456</v>
      </c>
      <c r="F319" s="241" t="s">
        <v>457</v>
      </c>
      <c r="G319" s="141" t="s">
        <v>665</v>
      </c>
      <c r="H319" s="169" t="s">
        <v>2257</v>
      </c>
      <c r="I319" s="169" t="s">
        <v>2258</v>
      </c>
      <c r="J319" s="141" t="s">
        <v>815</v>
      </c>
      <c r="K319" s="141" t="s">
        <v>815</v>
      </c>
      <c r="L319" s="141" t="s">
        <v>665</v>
      </c>
      <c r="M319" s="141" t="s">
        <v>665</v>
      </c>
      <c r="N319" s="141">
        <v>1000</v>
      </c>
      <c r="O319" s="141" t="s">
        <v>930</v>
      </c>
      <c r="P319" s="141" t="s">
        <v>665</v>
      </c>
      <c r="Q319" s="141">
        <v>8</v>
      </c>
      <c r="R319" s="141">
        <v>55</v>
      </c>
      <c r="S319" s="141">
        <v>59</v>
      </c>
      <c r="T319" s="236">
        <v>13</v>
      </c>
      <c r="U319" s="141" t="s">
        <v>88</v>
      </c>
      <c r="V319" s="141" t="s">
        <v>91</v>
      </c>
      <c r="W319" s="141" t="s">
        <v>665</v>
      </c>
      <c r="X319" s="141" t="s">
        <v>665</v>
      </c>
      <c r="Y319" s="141" t="s">
        <v>339</v>
      </c>
      <c r="Z319" s="141" t="s">
        <v>665</v>
      </c>
      <c r="AA319" s="141">
        <v>1E-3</v>
      </c>
      <c r="AB319" s="141" t="s">
        <v>665</v>
      </c>
      <c r="AC319" s="141" t="s">
        <v>665</v>
      </c>
      <c r="AD319" s="141" t="s">
        <v>665</v>
      </c>
      <c r="AE319" s="141" t="s">
        <v>665</v>
      </c>
      <c r="AF319" s="236">
        <v>0</v>
      </c>
      <c r="AG319" s="236">
        <v>0</v>
      </c>
      <c r="AH319" s="236" t="s">
        <v>358</v>
      </c>
      <c r="AI319" s="236" t="s">
        <v>133</v>
      </c>
      <c r="AJ319" s="212" t="s">
        <v>2244</v>
      </c>
      <c r="AK319" s="141" t="s">
        <v>665</v>
      </c>
      <c r="AL319" s="141" t="s">
        <v>665</v>
      </c>
      <c r="AM319" s="141" t="s">
        <v>693</v>
      </c>
      <c r="AN319" s="141" t="s">
        <v>1197</v>
      </c>
      <c r="AO319" s="143"/>
      <c r="AP319" s="143"/>
      <c r="AQ319" s="143"/>
      <c r="AR319" s="143"/>
      <c r="AS319" s="143"/>
      <c r="AT319" s="143"/>
      <c r="AU319" s="239"/>
      <c r="AV319" s="141"/>
      <c r="AW319" s="205"/>
      <c r="AX319" s="206"/>
      <c r="AY319" s="245"/>
      <c r="AZ319" s="245"/>
      <c r="BA319" s="245"/>
      <c r="BB319" s="245"/>
    </row>
    <row r="320" spans="1:54" s="213" customFormat="1" ht="30">
      <c r="A320" s="140" t="s">
        <v>6</v>
      </c>
      <c r="B320" s="129">
        <v>318</v>
      </c>
      <c r="C320" s="236" t="s">
        <v>931</v>
      </c>
      <c r="D320" s="236" t="s">
        <v>3095</v>
      </c>
      <c r="E320" s="241" t="s">
        <v>458</v>
      </c>
      <c r="F320" s="241" t="s">
        <v>459</v>
      </c>
      <c r="G320" s="141" t="s">
        <v>665</v>
      </c>
      <c r="H320" s="169" t="s">
        <v>2259</v>
      </c>
      <c r="I320" s="169" t="s">
        <v>2260</v>
      </c>
      <c r="J320" s="141" t="s">
        <v>815</v>
      </c>
      <c r="K320" s="141" t="s">
        <v>815</v>
      </c>
      <c r="L320" s="141" t="s">
        <v>665</v>
      </c>
      <c r="M320" s="141" t="s">
        <v>665</v>
      </c>
      <c r="N320" s="141">
        <v>1000</v>
      </c>
      <c r="O320" s="141" t="s">
        <v>930</v>
      </c>
      <c r="P320" s="141" t="s">
        <v>665</v>
      </c>
      <c r="Q320" s="141">
        <v>8</v>
      </c>
      <c r="R320" s="141">
        <v>7</v>
      </c>
      <c r="S320" s="141">
        <v>11</v>
      </c>
      <c r="T320" s="236">
        <v>13</v>
      </c>
      <c r="U320" s="141" t="s">
        <v>88</v>
      </c>
      <c r="V320" s="141" t="s">
        <v>91</v>
      </c>
      <c r="W320" s="141" t="s">
        <v>665</v>
      </c>
      <c r="X320" s="141" t="s">
        <v>665</v>
      </c>
      <c r="Y320" s="141" t="s">
        <v>339</v>
      </c>
      <c r="Z320" s="141" t="s">
        <v>665</v>
      </c>
      <c r="AA320" s="141">
        <v>1E-3</v>
      </c>
      <c r="AB320" s="141" t="s">
        <v>665</v>
      </c>
      <c r="AC320" s="141" t="s">
        <v>665</v>
      </c>
      <c r="AD320" s="141" t="s">
        <v>665</v>
      </c>
      <c r="AE320" s="141" t="s">
        <v>665</v>
      </c>
      <c r="AF320" s="236">
        <v>0</v>
      </c>
      <c r="AG320" s="236">
        <v>0</v>
      </c>
      <c r="AH320" s="236" t="s">
        <v>358</v>
      </c>
      <c r="AI320" s="236" t="s">
        <v>133</v>
      </c>
      <c r="AJ320" s="212" t="s">
        <v>2244</v>
      </c>
      <c r="AK320" s="141" t="s">
        <v>665</v>
      </c>
      <c r="AL320" s="141" t="s">
        <v>665</v>
      </c>
      <c r="AM320" s="141" t="s">
        <v>693</v>
      </c>
      <c r="AN320" s="141" t="s">
        <v>1197</v>
      </c>
      <c r="AO320" s="143"/>
      <c r="AP320" s="143"/>
      <c r="AQ320" s="143"/>
      <c r="AR320" s="143"/>
      <c r="AS320" s="143"/>
      <c r="AT320" s="143"/>
      <c r="AU320" s="239"/>
      <c r="AV320" s="141"/>
      <c r="AW320" s="205"/>
      <c r="AX320" s="206"/>
      <c r="AY320" s="245"/>
      <c r="AZ320" s="245"/>
      <c r="BA320" s="245"/>
      <c r="BB320" s="245"/>
    </row>
    <row r="321" spans="1:54" s="213" customFormat="1" ht="30">
      <c r="A321" s="140" t="s">
        <v>6</v>
      </c>
      <c r="B321" s="129">
        <v>319</v>
      </c>
      <c r="C321" s="236" t="s">
        <v>931</v>
      </c>
      <c r="D321" s="236" t="s">
        <v>3095</v>
      </c>
      <c r="E321" s="241" t="s">
        <v>460</v>
      </c>
      <c r="F321" s="241" t="s">
        <v>461</v>
      </c>
      <c r="G321" s="141" t="s">
        <v>665</v>
      </c>
      <c r="H321" s="169" t="s">
        <v>2259</v>
      </c>
      <c r="I321" s="169" t="s">
        <v>2260</v>
      </c>
      <c r="J321" s="141" t="s">
        <v>815</v>
      </c>
      <c r="K321" s="141" t="s">
        <v>815</v>
      </c>
      <c r="L321" s="141" t="s">
        <v>665</v>
      </c>
      <c r="M321" s="141" t="s">
        <v>665</v>
      </c>
      <c r="N321" s="141">
        <v>1000</v>
      </c>
      <c r="O321" s="141" t="s">
        <v>930</v>
      </c>
      <c r="P321" s="141" t="s">
        <v>665</v>
      </c>
      <c r="Q321" s="141">
        <v>8</v>
      </c>
      <c r="R321" s="141">
        <v>23</v>
      </c>
      <c r="S321" s="141">
        <v>27</v>
      </c>
      <c r="T321" s="236">
        <v>13</v>
      </c>
      <c r="U321" s="141" t="s">
        <v>88</v>
      </c>
      <c r="V321" s="141" t="s">
        <v>91</v>
      </c>
      <c r="W321" s="141" t="s">
        <v>665</v>
      </c>
      <c r="X321" s="141" t="s">
        <v>665</v>
      </c>
      <c r="Y321" s="141" t="s">
        <v>339</v>
      </c>
      <c r="Z321" s="141" t="s">
        <v>665</v>
      </c>
      <c r="AA321" s="141">
        <v>1E-3</v>
      </c>
      <c r="AB321" s="141" t="s">
        <v>665</v>
      </c>
      <c r="AC321" s="141" t="s">
        <v>665</v>
      </c>
      <c r="AD321" s="141" t="s">
        <v>665</v>
      </c>
      <c r="AE321" s="141" t="s">
        <v>665</v>
      </c>
      <c r="AF321" s="236">
        <v>0</v>
      </c>
      <c r="AG321" s="236">
        <v>0</v>
      </c>
      <c r="AH321" s="236" t="s">
        <v>358</v>
      </c>
      <c r="AI321" s="236" t="s">
        <v>133</v>
      </c>
      <c r="AJ321" s="212" t="s">
        <v>2244</v>
      </c>
      <c r="AK321" s="141" t="s">
        <v>665</v>
      </c>
      <c r="AL321" s="141" t="s">
        <v>665</v>
      </c>
      <c r="AM321" s="141" t="s">
        <v>693</v>
      </c>
      <c r="AN321" s="141" t="s">
        <v>1197</v>
      </c>
      <c r="AO321" s="143"/>
      <c r="AP321" s="143"/>
      <c r="AQ321" s="143"/>
      <c r="AR321" s="143"/>
      <c r="AS321" s="143"/>
      <c r="AT321" s="143"/>
      <c r="AU321" s="239"/>
      <c r="AV321" s="141"/>
      <c r="AW321" s="205"/>
      <c r="AX321" s="206"/>
      <c r="AY321" s="245"/>
      <c r="AZ321" s="245"/>
      <c r="BA321" s="245"/>
      <c r="BB321" s="245"/>
    </row>
    <row r="322" spans="1:54" s="213" customFormat="1" ht="30">
      <c r="A322" s="140" t="s">
        <v>6</v>
      </c>
      <c r="B322" s="129">
        <v>320</v>
      </c>
      <c r="C322" s="236" t="s">
        <v>931</v>
      </c>
      <c r="D322" s="236" t="s">
        <v>3095</v>
      </c>
      <c r="E322" s="241" t="s">
        <v>462</v>
      </c>
      <c r="F322" s="241" t="s">
        <v>463</v>
      </c>
      <c r="G322" s="141" t="s">
        <v>665</v>
      </c>
      <c r="H322" s="169" t="s">
        <v>2259</v>
      </c>
      <c r="I322" s="169" t="s">
        <v>2260</v>
      </c>
      <c r="J322" s="141" t="s">
        <v>815</v>
      </c>
      <c r="K322" s="141" t="s">
        <v>815</v>
      </c>
      <c r="L322" s="141" t="s">
        <v>665</v>
      </c>
      <c r="M322" s="141" t="s">
        <v>665</v>
      </c>
      <c r="N322" s="141">
        <v>1000</v>
      </c>
      <c r="O322" s="141" t="s">
        <v>930</v>
      </c>
      <c r="P322" s="141" t="s">
        <v>665</v>
      </c>
      <c r="Q322" s="141">
        <v>8</v>
      </c>
      <c r="R322" s="141">
        <v>39</v>
      </c>
      <c r="S322" s="141">
        <v>43</v>
      </c>
      <c r="T322" s="236">
        <v>13</v>
      </c>
      <c r="U322" s="141" t="s">
        <v>88</v>
      </c>
      <c r="V322" s="141" t="s">
        <v>91</v>
      </c>
      <c r="W322" s="141" t="s">
        <v>665</v>
      </c>
      <c r="X322" s="141" t="s">
        <v>665</v>
      </c>
      <c r="Y322" s="141" t="s">
        <v>339</v>
      </c>
      <c r="Z322" s="141" t="s">
        <v>665</v>
      </c>
      <c r="AA322" s="141">
        <v>1E-3</v>
      </c>
      <c r="AB322" s="141" t="s">
        <v>665</v>
      </c>
      <c r="AC322" s="141" t="s">
        <v>665</v>
      </c>
      <c r="AD322" s="141" t="s">
        <v>665</v>
      </c>
      <c r="AE322" s="141" t="s">
        <v>665</v>
      </c>
      <c r="AF322" s="236">
        <v>0</v>
      </c>
      <c r="AG322" s="236">
        <v>0</v>
      </c>
      <c r="AH322" s="236" t="s">
        <v>358</v>
      </c>
      <c r="AI322" s="236" t="s">
        <v>133</v>
      </c>
      <c r="AJ322" s="212" t="s">
        <v>2244</v>
      </c>
      <c r="AK322" s="141" t="s">
        <v>665</v>
      </c>
      <c r="AL322" s="141" t="s">
        <v>665</v>
      </c>
      <c r="AM322" s="141" t="s">
        <v>693</v>
      </c>
      <c r="AN322" s="141" t="s">
        <v>1197</v>
      </c>
      <c r="AO322" s="143"/>
      <c r="AP322" s="143"/>
      <c r="AQ322" s="143"/>
      <c r="AR322" s="143"/>
      <c r="AS322" s="143"/>
      <c r="AT322" s="143"/>
      <c r="AU322" s="239"/>
      <c r="AV322" s="141"/>
      <c r="AW322" s="205"/>
      <c r="AX322" s="206"/>
      <c r="AY322" s="245"/>
      <c r="AZ322" s="245"/>
      <c r="BA322" s="245"/>
      <c r="BB322" s="245"/>
    </row>
    <row r="323" spans="1:54" s="213" customFormat="1" ht="30">
      <c r="A323" s="140" t="s">
        <v>6</v>
      </c>
      <c r="B323" s="129">
        <v>321</v>
      </c>
      <c r="C323" s="236" t="s">
        <v>931</v>
      </c>
      <c r="D323" s="236" t="s">
        <v>3095</v>
      </c>
      <c r="E323" s="241" t="s">
        <v>464</v>
      </c>
      <c r="F323" s="241" t="s">
        <v>465</v>
      </c>
      <c r="G323" s="141" t="s">
        <v>665</v>
      </c>
      <c r="H323" s="169" t="s">
        <v>2259</v>
      </c>
      <c r="I323" s="169" t="s">
        <v>2260</v>
      </c>
      <c r="J323" s="141" t="s">
        <v>815</v>
      </c>
      <c r="K323" s="141" t="s">
        <v>815</v>
      </c>
      <c r="L323" s="141" t="s">
        <v>665</v>
      </c>
      <c r="M323" s="141" t="s">
        <v>665</v>
      </c>
      <c r="N323" s="141">
        <v>1000</v>
      </c>
      <c r="O323" s="141" t="s">
        <v>930</v>
      </c>
      <c r="P323" s="141" t="s">
        <v>665</v>
      </c>
      <c r="Q323" s="141">
        <v>8</v>
      </c>
      <c r="R323" s="141">
        <v>55</v>
      </c>
      <c r="S323" s="141">
        <v>59</v>
      </c>
      <c r="T323" s="236">
        <v>13</v>
      </c>
      <c r="U323" s="141" t="s">
        <v>88</v>
      </c>
      <c r="V323" s="141" t="s">
        <v>91</v>
      </c>
      <c r="W323" s="141" t="s">
        <v>665</v>
      </c>
      <c r="X323" s="141" t="s">
        <v>665</v>
      </c>
      <c r="Y323" s="141" t="s">
        <v>339</v>
      </c>
      <c r="Z323" s="141" t="s">
        <v>665</v>
      </c>
      <c r="AA323" s="141">
        <v>1E-3</v>
      </c>
      <c r="AB323" s="141" t="s">
        <v>665</v>
      </c>
      <c r="AC323" s="141" t="s">
        <v>665</v>
      </c>
      <c r="AD323" s="141" t="s">
        <v>665</v>
      </c>
      <c r="AE323" s="141" t="s">
        <v>665</v>
      </c>
      <c r="AF323" s="236">
        <v>0</v>
      </c>
      <c r="AG323" s="236">
        <v>0</v>
      </c>
      <c r="AH323" s="236" t="s">
        <v>358</v>
      </c>
      <c r="AI323" s="236" t="s">
        <v>133</v>
      </c>
      <c r="AJ323" s="212" t="s">
        <v>2244</v>
      </c>
      <c r="AK323" s="141" t="s">
        <v>665</v>
      </c>
      <c r="AL323" s="141" t="s">
        <v>665</v>
      </c>
      <c r="AM323" s="141" t="s">
        <v>693</v>
      </c>
      <c r="AN323" s="141" t="s">
        <v>1197</v>
      </c>
      <c r="AO323" s="143"/>
      <c r="AP323" s="143"/>
      <c r="AQ323" s="143"/>
      <c r="AR323" s="143"/>
      <c r="AS323" s="143"/>
      <c r="AT323" s="143"/>
      <c r="AU323" s="239"/>
      <c r="AV323" s="141"/>
      <c r="AW323" s="205"/>
      <c r="AX323" s="206"/>
      <c r="AY323" s="245"/>
      <c r="AZ323" s="245"/>
      <c r="BA323" s="245"/>
      <c r="BB323" s="245"/>
    </row>
    <row r="324" spans="1:54" s="213" customFormat="1" ht="30">
      <c r="A324" s="140" t="s">
        <v>6</v>
      </c>
      <c r="B324" s="129">
        <v>322</v>
      </c>
      <c r="C324" s="236" t="s">
        <v>931</v>
      </c>
      <c r="D324" s="236" t="s">
        <v>3095</v>
      </c>
      <c r="E324" s="241" t="s">
        <v>1224</v>
      </c>
      <c r="F324" s="241" t="s">
        <v>466</v>
      </c>
      <c r="G324" s="141" t="s">
        <v>665</v>
      </c>
      <c r="H324" s="169" t="s">
        <v>2261</v>
      </c>
      <c r="I324" s="169" t="s">
        <v>2262</v>
      </c>
      <c r="J324" s="141" t="s">
        <v>815</v>
      </c>
      <c r="K324" s="141" t="s">
        <v>815</v>
      </c>
      <c r="L324" s="141" t="s">
        <v>665</v>
      </c>
      <c r="M324" s="141" t="s">
        <v>665</v>
      </c>
      <c r="N324" s="141">
        <v>1000</v>
      </c>
      <c r="O324" s="141" t="s">
        <v>930</v>
      </c>
      <c r="P324" s="141" t="s">
        <v>665</v>
      </c>
      <c r="Q324" s="141">
        <v>8</v>
      </c>
      <c r="R324" s="141">
        <v>7</v>
      </c>
      <c r="S324" s="141">
        <v>11</v>
      </c>
      <c r="T324" s="236">
        <v>13</v>
      </c>
      <c r="U324" s="141" t="s">
        <v>88</v>
      </c>
      <c r="V324" s="141" t="s">
        <v>91</v>
      </c>
      <c r="W324" s="141" t="s">
        <v>665</v>
      </c>
      <c r="X324" s="141" t="s">
        <v>665</v>
      </c>
      <c r="Y324" s="141" t="s">
        <v>339</v>
      </c>
      <c r="Z324" s="141" t="s">
        <v>665</v>
      </c>
      <c r="AA324" s="141">
        <v>1E-3</v>
      </c>
      <c r="AB324" s="141" t="s">
        <v>665</v>
      </c>
      <c r="AC324" s="141" t="s">
        <v>665</v>
      </c>
      <c r="AD324" s="141" t="s">
        <v>665</v>
      </c>
      <c r="AE324" s="141" t="s">
        <v>665</v>
      </c>
      <c r="AF324" s="236">
        <v>0</v>
      </c>
      <c r="AG324" s="236">
        <v>0</v>
      </c>
      <c r="AH324" s="236" t="s">
        <v>358</v>
      </c>
      <c r="AI324" s="236" t="s">
        <v>133</v>
      </c>
      <c r="AJ324" s="212" t="s">
        <v>2244</v>
      </c>
      <c r="AK324" s="141" t="s">
        <v>665</v>
      </c>
      <c r="AL324" s="141" t="s">
        <v>665</v>
      </c>
      <c r="AM324" s="141" t="s">
        <v>693</v>
      </c>
      <c r="AN324" s="141" t="s">
        <v>1197</v>
      </c>
      <c r="AO324" s="143"/>
      <c r="AP324" s="143"/>
      <c r="AQ324" s="143"/>
      <c r="AR324" s="143"/>
      <c r="AS324" s="143"/>
      <c r="AT324" s="143"/>
      <c r="AU324" s="239"/>
      <c r="AV324" s="141"/>
      <c r="AW324" s="205"/>
      <c r="AX324" s="206"/>
      <c r="AY324" s="245"/>
      <c r="AZ324" s="245"/>
      <c r="BA324" s="245"/>
      <c r="BB324" s="245"/>
    </row>
    <row r="325" spans="1:54" s="213" customFormat="1" ht="30">
      <c r="A325" s="140" t="s">
        <v>6</v>
      </c>
      <c r="B325" s="129">
        <v>323</v>
      </c>
      <c r="C325" s="236" t="s">
        <v>931</v>
      </c>
      <c r="D325" s="236" t="s">
        <v>3095</v>
      </c>
      <c r="E325" s="241" t="s">
        <v>467</v>
      </c>
      <c r="F325" s="241" t="s">
        <v>468</v>
      </c>
      <c r="G325" s="141" t="s">
        <v>665</v>
      </c>
      <c r="H325" s="169" t="s">
        <v>2261</v>
      </c>
      <c r="I325" s="169" t="s">
        <v>2262</v>
      </c>
      <c r="J325" s="141" t="s">
        <v>815</v>
      </c>
      <c r="K325" s="141" t="s">
        <v>815</v>
      </c>
      <c r="L325" s="141" t="s">
        <v>665</v>
      </c>
      <c r="M325" s="141" t="s">
        <v>665</v>
      </c>
      <c r="N325" s="141">
        <v>1000</v>
      </c>
      <c r="O325" s="141" t="s">
        <v>930</v>
      </c>
      <c r="P325" s="141" t="s">
        <v>665</v>
      </c>
      <c r="Q325" s="141">
        <v>8</v>
      </c>
      <c r="R325" s="141">
        <v>23</v>
      </c>
      <c r="S325" s="141">
        <v>27</v>
      </c>
      <c r="T325" s="236">
        <v>13</v>
      </c>
      <c r="U325" s="141" t="s">
        <v>88</v>
      </c>
      <c r="V325" s="141" t="s">
        <v>91</v>
      </c>
      <c r="W325" s="141" t="s">
        <v>665</v>
      </c>
      <c r="X325" s="141" t="s">
        <v>665</v>
      </c>
      <c r="Y325" s="141" t="s">
        <v>339</v>
      </c>
      <c r="Z325" s="141" t="s">
        <v>665</v>
      </c>
      <c r="AA325" s="141">
        <v>1E-3</v>
      </c>
      <c r="AB325" s="141" t="s">
        <v>665</v>
      </c>
      <c r="AC325" s="141" t="s">
        <v>665</v>
      </c>
      <c r="AD325" s="141" t="s">
        <v>665</v>
      </c>
      <c r="AE325" s="141" t="s">
        <v>665</v>
      </c>
      <c r="AF325" s="236">
        <v>0</v>
      </c>
      <c r="AG325" s="236">
        <v>0</v>
      </c>
      <c r="AH325" s="236" t="s">
        <v>358</v>
      </c>
      <c r="AI325" s="236" t="s">
        <v>133</v>
      </c>
      <c r="AJ325" s="212" t="s">
        <v>2244</v>
      </c>
      <c r="AK325" s="141" t="s">
        <v>665</v>
      </c>
      <c r="AL325" s="141" t="s">
        <v>665</v>
      </c>
      <c r="AM325" s="141" t="s">
        <v>2628</v>
      </c>
      <c r="AN325" s="141" t="s">
        <v>1197</v>
      </c>
      <c r="AO325" s="143"/>
      <c r="AP325" s="143"/>
      <c r="AQ325" s="143"/>
      <c r="AR325" s="143"/>
      <c r="AS325" s="143"/>
      <c r="AT325" s="143"/>
      <c r="AU325" s="239"/>
      <c r="AV325" s="141"/>
      <c r="AW325" s="205"/>
      <c r="AX325" s="206"/>
      <c r="AY325" s="245"/>
      <c r="AZ325" s="245"/>
      <c r="BA325" s="245"/>
      <c r="BB325" s="245"/>
    </row>
    <row r="326" spans="1:54" s="213" customFormat="1" ht="30">
      <c r="A326" s="140" t="s">
        <v>6</v>
      </c>
      <c r="B326" s="129">
        <v>324</v>
      </c>
      <c r="C326" s="236" t="s">
        <v>931</v>
      </c>
      <c r="D326" s="236" t="s">
        <v>3095</v>
      </c>
      <c r="E326" s="241" t="s">
        <v>469</v>
      </c>
      <c r="F326" s="241" t="s">
        <v>470</v>
      </c>
      <c r="G326" s="141" t="s">
        <v>665</v>
      </c>
      <c r="H326" s="169" t="s">
        <v>2261</v>
      </c>
      <c r="I326" s="169" t="s">
        <v>2262</v>
      </c>
      <c r="J326" s="141" t="s">
        <v>815</v>
      </c>
      <c r="K326" s="141" t="s">
        <v>815</v>
      </c>
      <c r="L326" s="141" t="s">
        <v>665</v>
      </c>
      <c r="M326" s="141" t="s">
        <v>665</v>
      </c>
      <c r="N326" s="141">
        <v>1000</v>
      </c>
      <c r="O326" s="141" t="s">
        <v>930</v>
      </c>
      <c r="P326" s="141" t="s">
        <v>665</v>
      </c>
      <c r="Q326" s="141">
        <v>8</v>
      </c>
      <c r="R326" s="141">
        <v>39</v>
      </c>
      <c r="S326" s="141">
        <v>43</v>
      </c>
      <c r="T326" s="236">
        <v>13</v>
      </c>
      <c r="U326" s="141" t="s">
        <v>88</v>
      </c>
      <c r="V326" s="141" t="s">
        <v>91</v>
      </c>
      <c r="W326" s="141" t="s">
        <v>665</v>
      </c>
      <c r="X326" s="141" t="s">
        <v>665</v>
      </c>
      <c r="Y326" s="141" t="s">
        <v>339</v>
      </c>
      <c r="Z326" s="141" t="s">
        <v>665</v>
      </c>
      <c r="AA326" s="141">
        <v>1E-3</v>
      </c>
      <c r="AB326" s="141" t="s">
        <v>665</v>
      </c>
      <c r="AC326" s="141" t="s">
        <v>665</v>
      </c>
      <c r="AD326" s="141" t="s">
        <v>665</v>
      </c>
      <c r="AE326" s="141" t="s">
        <v>665</v>
      </c>
      <c r="AF326" s="236">
        <v>0</v>
      </c>
      <c r="AG326" s="236">
        <v>0</v>
      </c>
      <c r="AH326" s="236" t="s">
        <v>358</v>
      </c>
      <c r="AI326" s="236" t="s">
        <v>133</v>
      </c>
      <c r="AJ326" s="212" t="s">
        <v>2244</v>
      </c>
      <c r="AK326" s="141" t="s">
        <v>665</v>
      </c>
      <c r="AL326" s="141" t="s">
        <v>665</v>
      </c>
      <c r="AM326" s="141" t="s">
        <v>2628</v>
      </c>
      <c r="AN326" s="141" t="s">
        <v>1197</v>
      </c>
      <c r="AO326" s="143"/>
      <c r="AP326" s="143"/>
      <c r="AQ326" s="143"/>
      <c r="AR326" s="143"/>
      <c r="AS326" s="143"/>
      <c r="AT326" s="143"/>
      <c r="AU326" s="239"/>
      <c r="AV326" s="141"/>
      <c r="AW326" s="205"/>
      <c r="AX326" s="206"/>
      <c r="AY326" s="245"/>
      <c r="AZ326" s="245"/>
      <c r="BA326" s="245"/>
      <c r="BB326" s="245"/>
    </row>
    <row r="327" spans="1:54" s="213" customFormat="1" ht="30">
      <c r="A327" s="140" t="s">
        <v>6</v>
      </c>
      <c r="B327" s="129">
        <v>325</v>
      </c>
      <c r="C327" s="236" t="s">
        <v>931</v>
      </c>
      <c r="D327" s="236" t="s">
        <v>3095</v>
      </c>
      <c r="E327" s="241" t="s">
        <v>471</v>
      </c>
      <c r="F327" s="241" t="s">
        <v>472</v>
      </c>
      <c r="G327" s="141" t="s">
        <v>665</v>
      </c>
      <c r="H327" s="169" t="s">
        <v>2261</v>
      </c>
      <c r="I327" s="169" t="s">
        <v>2262</v>
      </c>
      <c r="J327" s="141" t="s">
        <v>815</v>
      </c>
      <c r="K327" s="141" t="s">
        <v>815</v>
      </c>
      <c r="L327" s="141" t="s">
        <v>665</v>
      </c>
      <c r="M327" s="141" t="s">
        <v>665</v>
      </c>
      <c r="N327" s="141">
        <v>1000</v>
      </c>
      <c r="O327" s="141" t="s">
        <v>930</v>
      </c>
      <c r="P327" s="141" t="s">
        <v>665</v>
      </c>
      <c r="Q327" s="141">
        <v>8</v>
      </c>
      <c r="R327" s="141">
        <v>55</v>
      </c>
      <c r="S327" s="141">
        <v>59</v>
      </c>
      <c r="T327" s="236">
        <v>13</v>
      </c>
      <c r="U327" s="141" t="s">
        <v>88</v>
      </c>
      <c r="V327" s="141" t="s">
        <v>91</v>
      </c>
      <c r="W327" s="141" t="s">
        <v>665</v>
      </c>
      <c r="X327" s="141" t="s">
        <v>665</v>
      </c>
      <c r="Y327" s="141" t="s">
        <v>339</v>
      </c>
      <c r="Z327" s="141" t="s">
        <v>665</v>
      </c>
      <c r="AA327" s="141">
        <v>1E-3</v>
      </c>
      <c r="AB327" s="141" t="s">
        <v>665</v>
      </c>
      <c r="AC327" s="141" t="s">
        <v>665</v>
      </c>
      <c r="AD327" s="141" t="s">
        <v>665</v>
      </c>
      <c r="AE327" s="141" t="s">
        <v>665</v>
      </c>
      <c r="AF327" s="236">
        <v>0</v>
      </c>
      <c r="AG327" s="236">
        <v>0</v>
      </c>
      <c r="AH327" s="236" t="s">
        <v>358</v>
      </c>
      <c r="AI327" s="236" t="s">
        <v>133</v>
      </c>
      <c r="AJ327" s="212" t="s">
        <v>2244</v>
      </c>
      <c r="AK327" s="141" t="s">
        <v>665</v>
      </c>
      <c r="AL327" s="141" t="s">
        <v>665</v>
      </c>
      <c r="AM327" s="141" t="s">
        <v>2628</v>
      </c>
      <c r="AN327" s="141" t="s">
        <v>1197</v>
      </c>
      <c r="AO327" s="143"/>
      <c r="AP327" s="143"/>
      <c r="AQ327" s="143"/>
      <c r="AR327" s="143"/>
      <c r="AS327" s="143"/>
      <c r="AT327" s="143"/>
      <c r="AU327" s="239"/>
      <c r="AV327" s="141"/>
      <c r="AW327" s="205"/>
      <c r="AX327" s="206"/>
      <c r="AY327" s="245"/>
      <c r="AZ327" s="245"/>
      <c r="BA327" s="245"/>
      <c r="BB327" s="245"/>
    </row>
    <row r="328" spans="1:54" s="213" customFormat="1" ht="30">
      <c r="A328" s="140" t="s">
        <v>6</v>
      </c>
      <c r="B328" s="129">
        <v>326</v>
      </c>
      <c r="C328" s="236" t="s">
        <v>931</v>
      </c>
      <c r="D328" s="236" t="s">
        <v>3095</v>
      </c>
      <c r="E328" s="241" t="s">
        <v>473</v>
      </c>
      <c r="F328" s="241" t="s">
        <v>474</v>
      </c>
      <c r="G328" s="141" t="s">
        <v>665</v>
      </c>
      <c r="H328" s="169" t="s">
        <v>2263</v>
      </c>
      <c r="I328" s="169" t="s">
        <v>2264</v>
      </c>
      <c r="J328" s="141" t="s">
        <v>815</v>
      </c>
      <c r="K328" s="141" t="s">
        <v>815</v>
      </c>
      <c r="L328" s="141" t="s">
        <v>665</v>
      </c>
      <c r="M328" s="141" t="s">
        <v>665</v>
      </c>
      <c r="N328" s="141">
        <v>1000</v>
      </c>
      <c r="O328" s="141" t="s">
        <v>930</v>
      </c>
      <c r="P328" s="141" t="s">
        <v>665</v>
      </c>
      <c r="Q328" s="141">
        <v>8</v>
      </c>
      <c r="R328" s="141">
        <v>7</v>
      </c>
      <c r="S328" s="141">
        <v>11</v>
      </c>
      <c r="T328" s="236">
        <v>13</v>
      </c>
      <c r="U328" s="141" t="s">
        <v>88</v>
      </c>
      <c r="V328" s="141" t="s">
        <v>91</v>
      </c>
      <c r="W328" s="141" t="s">
        <v>665</v>
      </c>
      <c r="X328" s="141" t="s">
        <v>665</v>
      </c>
      <c r="Y328" s="141" t="s">
        <v>339</v>
      </c>
      <c r="Z328" s="141" t="s">
        <v>665</v>
      </c>
      <c r="AA328" s="141">
        <v>1E-3</v>
      </c>
      <c r="AB328" s="141" t="s">
        <v>665</v>
      </c>
      <c r="AC328" s="141" t="s">
        <v>665</v>
      </c>
      <c r="AD328" s="141" t="s">
        <v>665</v>
      </c>
      <c r="AE328" s="141" t="s">
        <v>665</v>
      </c>
      <c r="AF328" s="236">
        <v>0</v>
      </c>
      <c r="AG328" s="236">
        <v>0</v>
      </c>
      <c r="AH328" s="236" t="s">
        <v>358</v>
      </c>
      <c r="AI328" s="236" t="s">
        <v>133</v>
      </c>
      <c r="AJ328" s="212" t="s">
        <v>2244</v>
      </c>
      <c r="AK328" s="141" t="s">
        <v>665</v>
      </c>
      <c r="AL328" s="141" t="s">
        <v>665</v>
      </c>
      <c r="AM328" s="141" t="s">
        <v>2628</v>
      </c>
      <c r="AN328" s="141" t="s">
        <v>1197</v>
      </c>
      <c r="AO328" s="143"/>
      <c r="AP328" s="143"/>
      <c r="AQ328" s="143"/>
      <c r="AR328" s="143"/>
      <c r="AS328" s="143"/>
      <c r="AT328" s="143"/>
      <c r="AU328" s="239"/>
      <c r="AV328" s="141"/>
      <c r="AW328" s="205"/>
      <c r="AX328" s="206"/>
      <c r="AY328" s="245"/>
      <c r="AZ328" s="245"/>
      <c r="BA328" s="245"/>
      <c r="BB328" s="245"/>
    </row>
    <row r="329" spans="1:54" s="213" customFormat="1" ht="30">
      <c r="A329" s="140" t="s">
        <v>6</v>
      </c>
      <c r="B329" s="129">
        <v>327</v>
      </c>
      <c r="C329" s="236" t="s">
        <v>931</v>
      </c>
      <c r="D329" s="236" t="s">
        <v>3095</v>
      </c>
      <c r="E329" s="241" t="s">
        <v>475</v>
      </c>
      <c r="F329" s="241" t="s">
        <v>476</v>
      </c>
      <c r="G329" s="141" t="s">
        <v>665</v>
      </c>
      <c r="H329" s="169" t="s">
        <v>2263</v>
      </c>
      <c r="I329" s="169" t="s">
        <v>2264</v>
      </c>
      <c r="J329" s="141" t="s">
        <v>815</v>
      </c>
      <c r="K329" s="141" t="s">
        <v>815</v>
      </c>
      <c r="L329" s="141" t="s">
        <v>665</v>
      </c>
      <c r="M329" s="141" t="s">
        <v>665</v>
      </c>
      <c r="N329" s="141">
        <v>1000</v>
      </c>
      <c r="O329" s="141" t="s">
        <v>930</v>
      </c>
      <c r="P329" s="141" t="s">
        <v>665</v>
      </c>
      <c r="Q329" s="141">
        <v>8</v>
      </c>
      <c r="R329" s="141">
        <v>23</v>
      </c>
      <c r="S329" s="141">
        <v>27</v>
      </c>
      <c r="T329" s="236">
        <v>13</v>
      </c>
      <c r="U329" s="141" t="s">
        <v>88</v>
      </c>
      <c r="V329" s="141" t="s">
        <v>91</v>
      </c>
      <c r="W329" s="141" t="s">
        <v>665</v>
      </c>
      <c r="X329" s="141" t="s">
        <v>665</v>
      </c>
      <c r="Y329" s="141" t="s">
        <v>339</v>
      </c>
      <c r="Z329" s="141" t="s">
        <v>665</v>
      </c>
      <c r="AA329" s="141">
        <v>1E-3</v>
      </c>
      <c r="AB329" s="141" t="s">
        <v>665</v>
      </c>
      <c r="AC329" s="141" t="s">
        <v>665</v>
      </c>
      <c r="AD329" s="141" t="s">
        <v>665</v>
      </c>
      <c r="AE329" s="141" t="s">
        <v>665</v>
      </c>
      <c r="AF329" s="236">
        <v>0</v>
      </c>
      <c r="AG329" s="236">
        <v>0</v>
      </c>
      <c r="AH329" s="236" t="s">
        <v>358</v>
      </c>
      <c r="AI329" s="236" t="s">
        <v>133</v>
      </c>
      <c r="AJ329" s="212" t="s">
        <v>2244</v>
      </c>
      <c r="AK329" s="141" t="s">
        <v>665</v>
      </c>
      <c r="AL329" s="141" t="s">
        <v>665</v>
      </c>
      <c r="AM329" s="141" t="s">
        <v>693</v>
      </c>
      <c r="AN329" s="141" t="s">
        <v>1197</v>
      </c>
      <c r="AO329" s="143"/>
      <c r="AP329" s="143"/>
      <c r="AQ329" s="143"/>
      <c r="AR329" s="143"/>
      <c r="AS329" s="143"/>
      <c r="AT329" s="143"/>
      <c r="AU329" s="239"/>
      <c r="AV329" s="141"/>
      <c r="AW329" s="205"/>
      <c r="AX329" s="206"/>
      <c r="AY329" s="245"/>
      <c r="AZ329" s="245"/>
      <c r="BA329" s="245"/>
      <c r="BB329" s="245"/>
    </row>
    <row r="330" spans="1:54" s="213" customFormat="1" ht="30">
      <c r="A330" s="140" t="s">
        <v>6</v>
      </c>
      <c r="B330" s="129">
        <v>328</v>
      </c>
      <c r="C330" s="236" t="s">
        <v>931</v>
      </c>
      <c r="D330" s="236" t="s">
        <v>3095</v>
      </c>
      <c r="E330" s="241" t="s">
        <v>477</v>
      </c>
      <c r="F330" s="241" t="s">
        <v>478</v>
      </c>
      <c r="G330" s="141" t="s">
        <v>665</v>
      </c>
      <c r="H330" s="169" t="s">
        <v>2263</v>
      </c>
      <c r="I330" s="169" t="s">
        <v>2264</v>
      </c>
      <c r="J330" s="141" t="s">
        <v>815</v>
      </c>
      <c r="K330" s="141" t="s">
        <v>815</v>
      </c>
      <c r="L330" s="141" t="s">
        <v>665</v>
      </c>
      <c r="M330" s="141" t="s">
        <v>665</v>
      </c>
      <c r="N330" s="141">
        <v>1000</v>
      </c>
      <c r="O330" s="141" t="s">
        <v>930</v>
      </c>
      <c r="P330" s="141" t="s">
        <v>665</v>
      </c>
      <c r="Q330" s="141">
        <v>8</v>
      </c>
      <c r="R330" s="141">
        <v>39</v>
      </c>
      <c r="S330" s="141">
        <v>43</v>
      </c>
      <c r="T330" s="236">
        <v>13</v>
      </c>
      <c r="U330" s="141" t="s">
        <v>88</v>
      </c>
      <c r="V330" s="141" t="s">
        <v>91</v>
      </c>
      <c r="W330" s="141" t="s">
        <v>665</v>
      </c>
      <c r="X330" s="141" t="s">
        <v>665</v>
      </c>
      <c r="Y330" s="141" t="s">
        <v>339</v>
      </c>
      <c r="Z330" s="141" t="s">
        <v>665</v>
      </c>
      <c r="AA330" s="141">
        <v>1E-3</v>
      </c>
      <c r="AB330" s="141" t="s">
        <v>665</v>
      </c>
      <c r="AC330" s="141" t="s">
        <v>665</v>
      </c>
      <c r="AD330" s="141" t="s">
        <v>665</v>
      </c>
      <c r="AE330" s="141" t="s">
        <v>665</v>
      </c>
      <c r="AF330" s="236">
        <v>0</v>
      </c>
      <c r="AG330" s="236">
        <v>0</v>
      </c>
      <c r="AH330" s="236" t="s">
        <v>358</v>
      </c>
      <c r="AI330" s="236" t="s">
        <v>133</v>
      </c>
      <c r="AJ330" s="212" t="s">
        <v>2244</v>
      </c>
      <c r="AK330" s="141" t="s">
        <v>665</v>
      </c>
      <c r="AL330" s="141" t="s">
        <v>665</v>
      </c>
      <c r="AM330" s="141" t="s">
        <v>693</v>
      </c>
      <c r="AN330" s="141" t="s">
        <v>1197</v>
      </c>
      <c r="AO330" s="143"/>
      <c r="AP330" s="143"/>
      <c r="AQ330" s="143"/>
      <c r="AR330" s="143"/>
      <c r="AS330" s="143"/>
      <c r="AT330" s="143"/>
      <c r="AU330" s="239"/>
      <c r="AV330" s="141"/>
      <c r="AW330" s="205"/>
      <c r="AX330" s="206"/>
      <c r="AY330" s="245"/>
      <c r="AZ330" s="245"/>
      <c r="BA330" s="245"/>
      <c r="BB330" s="245"/>
    </row>
    <row r="331" spans="1:54" s="213" customFormat="1" ht="30">
      <c r="A331" s="140" t="s">
        <v>6</v>
      </c>
      <c r="B331" s="129">
        <v>329</v>
      </c>
      <c r="C331" s="236" t="s">
        <v>931</v>
      </c>
      <c r="D331" s="236" t="s">
        <v>3095</v>
      </c>
      <c r="E331" s="241" t="s">
        <v>479</v>
      </c>
      <c r="F331" s="241" t="s">
        <v>480</v>
      </c>
      <c r="G331" s="141" t="s">
        <v>665</v>
      </c>
      <c r="H331" s="169" t="s">
        <v>2263</v>
      </c>
      <c r="I331" s="169" t="s">
        <v>2264</v>
      </c>
      <c r="J331" s="141" t="s">
        <v>815</v>
      </c>
      <c r="K331" s="141" t="s">
        <v>815</v>
      </c>
      <c r="L331" s="141" t="s">
        <v>665</v>
      </c>
      <c r="M331" s="141" t="s">
        <v>665</v>
      </c>
      <c r="N331" s="141">
        <v>1000</v>
      </c>
      <c r="O331" s="141" t="s">
        <v>930</v>
      </c>
      <c r="P331" s="141" t="s">
        <v>665</v>
      </c>
      <c r="Q331" s="141">
        <v>8</v>
      </c>
      <c r="R331" s="141">
        <v>55</v>
      </c>
      <c r="S331" s="141">
        <v>59</v>
      </c>
      <c r="T331" s="236">
        <v>13</v>
      </c>
      <c r="U331" s="141" t="s">
        <v>88</v>
      </c>
      <c r="V331" s="141" t="s">
        <v>91</v>
      </c>
      <c r="W331" s="141" t="s">
        <v>665</v>
      </c>
      <c r="X331" s="141" t="s">
        <v>665</v>
      </c>
      <c r="Y331" s="141" t="s">
        <v>339</v>
      </c>
      <c r="Z331" s="141" t="s">
        <v>665</v>
      </c>
      <c r="AA331" s="141">
        <v>1E-3</v>
      </c>
      <c r="AB331" s="141" t="s">
        <v>665</v>
      </c>
      <c r="AC331" s="141" t="s">
        <v>665</v>
      </c>
      <c r="AD331" s="141" t="s">
        <v>665</v>
      </c>
      <c r="AE331" s="141" t="s">
        <v>665</v>
      </c>
      <c r="AF331" s="236">
        <v>0</v>
      </c>
      <c r="AG331" s="236">
        <v>0</v>
      </c>
      <c r="AH331" s="236" t="s">
        <v>358</v>
      </c>
      <c r="AI331" s="236" t="s">
        <v>133</v>
      </c>
      <c r="AJ331" s="212" t="s">
        <v>2244</v>
      </c>
      <c r="AK331" s="141" t="s">
        <v>665</v>
      </c>
      <c r="AL331" s="141" t="s">
        <v>665</v>
      </c>
      <c r="AM331" s="141" t="s">
        <v>693</v>
      </c>
      <c r="AN331" s="141" t="s">
        <v>1197</v>
      </c>
      <c r="AO331" s="143"/>
      <c r="AP331" s="143"/>
      <c r="AQ331" s="143"/>
      <c r="AR331" s="143"/>
      <c r="AS331" s="143"/>
      <c r="AT331" s="143"/>
      <c r="AU331" s="239"/>
      <c r="AV331" s="141"/>
      <c r="AW331" s="205"/>
      <c r="AX331" s="206"/>
      <c r="AY331" s="245"/>
      <c r="AZ331" s="245"/>
      <c r="BA331" s="245"/>
      <c r="BB331" s="245"/>
    </row>
    <row r="332" spans="1:54" s="213" customFormat="1" ht="30">
      <c r="A332" s="140" t="s">
        <v>6</v>
      </c>
      <c r="B332" s="129">
        <v>330</v>
      </c>
      <c r="C332" s="236" t="s">
        <v>931</v>
      </c>
      <c r="D332" s="236" t="s">
        <v>3095</v>
      </c>
      <c r="E332" s="241" t="s">
        <v>1225</v>
      </c>
      <c r="F332" s="241" t="s">
        <v>481</v>
      </c>
      <c r="G332" s="141" t="s">
        <v>665</v>
      </c>
      <c r="H332" s="169" t="s">
        <v>2265</v>
      </c>
      <c r="I332" s="141" t="s">
        <v>1237</v>
      </c>
      <c r="J332" s="141" t="s">
        <v>815</v>
      </c>
      <c r="K332" s="141" t="s">
        <v>815</v>
      </c>
      <c r="L332" s="141" t="s">
        <v>665</v>
      </c>
      <c r="M332" s="141" t="s">
        <v>665</v>
      </c>
      <c r="N332" s="141">
        <v>1000</v>
      </c>
      <c r="O332" s="141" t="s">
        <v>930</v>
      </c>
      <c r="P332" s="141" t="s">
        <v>665</v>
      </c>
      <c r="Q332" s="141">
        <v>8</v>
      </c>
      <c r="R332" s="141">
        <v>7</v>
      </c>
      <c r="S332" s="141">
        <v>11</v>
      </c>
      <c r="T332" s="236">
        <v>13</v>
      </c>
      <c r="U332" s="141" t="s">
        <v>88</v>
      </c>
      <c r="V332" s="141" t="s">
        <v>91</v>
      </c>
      <c r="W332" s="141" t="s">
        <v>665</v>
      </c>
      <c r="X332" s="141" t="s">
        <v>665</v>
      </c>
      <c r="Y332" s="141" t="s">
        <v>339</v>
      </c>
      <c r="Z332" s="141" t="s">
        <v>665</v>
      </c>
      <c r="AA332" s="141">
        <v>1E-3</v>
      </c>
      <c r="AB332" s="141" t="s">
        <v>665</v>
      </c>
      <c r="AC332" s="141" t="s">
        <v>665</v>
      </c>
      <c r="AD332" s="141" t="s">
        <v>665</v>
      </c>
      <c r="AE332" s="141" t="s">
        <v>665</v>
      </c>
      <c r="AF332" s="236">
        <v>0</v>
      </c>
      <c r="AG332" s="236">
        <v>0</v>
      </c>
      <c r="AH332" s="236" t="s">
        <v>358</v>
      </c>
      <c r="AI332" s="236" t="s">
        <v>133</v>
      </c>
      <c r="AJ332" s="212" t="s">
        <v>2244</v>
      </c>
      <c r="AK332" s="141" t="s">
        <v>665</v>
      </c>
      <c r="AL332" s="141" t="s">
        <v>665</v>
      </c>
      <c r="AM332" s="141" t="s">
        <v>693</v>
      </c>
      <c r="AN332" s="141" t="s">
        <v>1197</v>
      </c>
      <c r="AO332" s="143"/>
      <c r="AP332" s="143"/>
      <c r="AQ332" s="143"/>
      <c r="AR332" s="143"/>
      <c r="AS332" s="143"/>
      <c r="AT332" s="143"/>
      <c r="AU332" s="239"/>
      <c r="AV332" s="141"/>
      <c r="AW332" s="205"/>
      <c r="AX332" s="206"/>
      <c r="AY332" s="245"/>
      <c r="AZ332" s="245"/>
      <c r="BA332" s="245"/>
      <c r="BB332" s="245"/>
    </row>
    <row r="333" spans="1:54" s="213" customFormat="1" ht="30">
      <c r="A333" s="140" t="s">
        <v>6</v>
      </c>
      <c r="B333" s="129">
        <v>331</v>
      </c>
      <c r="C333" s="236" t="s">
        <v>931</v>
      </c>
      <c r="D333" s="236" t="s">
        <v>3095</v>
      </c>
      <c r="E333" s="241" t="s">
        <v>1226</v>
      </c>
      <c r="F333" s="241" t="s">
        <v>482</v>
      </c>
      <c r="G333" s="141" t="s">
        <v>665</v>
      </c>
      <c r="H333" s="169" t="s">
        <v>2265</v>
      </c>
      <c r="I333" s="141" t="s">
        <v>1237</v>
      </c>
      <c r="J333" s="141" t="s">
        <v>815</v>
      </c>
      <c r="K333" s="141" t="s">
        <v>815</v>
      </c>
      <c r="L333" s="141" t="s">
        <v>665</v>
      </c>
      <c r="M333" s="141" t="s">
        <v>665</v>
      </c>
      <c r="N333" s="141">
        <v>1000</v>
      </c>
      <c r="O333" s="141" t="s">
        <v>930</v>
      </c>
      <c r="P333" s="141" t="s">
        <v>665</v>
      </c>
      <c r="Q333" s="141">
        <v>8</v>
      </c>
      <c r="R333" s="141">
        <v>23</v>
      </c>
      <c r="S333" s="141">
        <v>27</v>
      </c>
      <c r="T333" s="236">
        <v>13</v>
      </c>
      <c r="U333" s="141" t="s">
        <v>88</v>
      </c>
      <c r="V333" s="141" t="s">
        <v>91</v>
      </c>
      <c r="W333" s="141" t="s">
        <v>665</v>
      </c>
      <c r="X333" s="141" t="s">
        <v>665</v>
      </c>
      <c r="Y333" s="141" t="s">
        <v>339</v>
      </c>
      <c r="Z333" s="141" t="s">
        <v>665</v>
      </c>
      <c r="AA333" s="141">
        <v>1E-3</v>
      </c>
      <c r="AB333" s="141" t="s">
        <v>665</v>
      </c>
      <c r="AC333" s="141" t="s">
        <v>665</v>
      </c>
      <c r="AD333" s="141" t="s">
        <v>665</v>
      </c>
      <c r="AE333" s="141" t="s">
        <v>665</v>
      </c>
      <c r="AF333" s="236">
        <v>0</v>
      </c>
      <c r="AG333" s="236">
        <v>0</v>
      </c>
      <c r="AH333" s="236" t="s">
        <v>358</v>
      </c>
      <c r="AI333" s="236" t="s">
        <v>133</v>
      </c>
      <c r="AJ333" s="212" t="s">
        <v>2244</v>
      </c>
      <c r="AK333" s="141" t="s">
        <v>665</v>
      </c>
      <c r="AL333" s="141" t="s">
        <v>665</v>
      </c>
      <c r="AM333" s="141" t="s">
        <v>693</v>
      </c>
      <c r="AN333" s="141" t="s">
        <v>1197</v>
      </c>
      <c r="AO333" s="143"/>
      <c r="AP333" s="143"/>
      <c r="AQ333" s="143"/>
      <c r="AR333" s="143"/>
      <c r="AS333" s="143"/>
      <c r="AT333" s="143"/>
      <c r="AU333" s="239"/>
      <c r="AV333" s="141"/>
      <c r="AW333" s="205"/>
      <c r="AX333" s="206"/>
      <c r="AY333" s="245"/>
      <c r="AZ333" s="245"/>
      <c r="BA333" s="245"/>
      <c r="BB333" s="245"/>
    </row>
    <row r="334" spans="1:54" s="213" customFormat="1" ht="30">
      <c r="A334" s="140" t="s">
        <v>6</v>
      </c>
      <c r="B334" s="129">
        <v>332</v>
      </c>
      <c r="C334" s="236" t="s">
        <v>931</v>
      </c>
      <c r="D334" s="236" t="s">
        <v>3095</v>
      </c>
      <c r="E334" s="241" t="s">
        <v>483</v>
      </c>
      <c r="F334" s="241" t="s">
        <v>484</v>
      </c>
      <c r="G334" s="141" t="s">
        <v>665</v>
      </c>
      <c r="H334" s="169" t="s">
        <v>2265</v>
      </c>
      <c r="I334" s="141" t="s">
        <v>1237</v>
      </c>
      <c r="J334" s="141" t="s">
        <v>815</v>
      </c>
      <c r="K334" s="141" t="s">
        <v>815</v>
      </c>
      <c r="L334" s="141" t="s">
        <v>665</v>
      </c>
      <c r="M334" s="141" t="s">
        <v>665</v>
      </c>
      <c r="N334" s="141">
        <v>1000</v>
      </c>
      <c r="O334" s="141" t="s">
        <v>930</v>
      </c>
      <c r="P334" s="141" t="s">
        <v>665</v>
      </c>
      <c r="Q334" s="141">
        <v>8</v>
      </c>
      <c r="R334" s="141">
        <v>39</v>
      </c>
      <c r="S334" s="141">
        <v>43</v>
      </c>
      <c r="T334" s="236">
        <v>13</v>
      </c>
      <c r="U334" s="141" t="s">
        <v>88</v>
      </c>
      <c r="V334" s="141" t="s">
        <v>91</v>
      </c>
      <c r="W334" s="141" t="s">
        <v>665</v>
      </c>
      <c r="X334" s="141" t="s">
        <v>665</v>
      </c>
      <c r="Y334" s="141" t="s">
        <v>339</v>
      </c>
      <c r="Z334" s="141" t="s">
        <v>665</v>
      </c>
      <c r="AA334" s="141">
        <v>1E-3</v>
      </c>
      <c r="AB334" s="141" t="s">
        <v>665</v>
      </c>
      <c r="AC334" s="141" t="s">
        <v>665</v>
      </c>
      <c r="AD334" s="141" t="s">
        <v>665</v>
      </c>
      <c r="AE334" s="141" t="s">
        <v>665</v>
      </c>
      <c r="AF334" s="236">
        <v>0</v>
      </c>
      <c r="AG334" s="236">
        <v>0</v>
      </c>
      <c r="AH334" s="236" t="s">
        <v>358</v>
      </c>
      <c r="AI334" s="236" t="s">
        <v>133</v>
      </c>
      <c r="AJ334" s="212" t="s">
        <v>2244</v>
      </c>
      <c r="AK334" s="141" t="s">
        <v>665</v>
      </c>
      <c r="AL334" s="141" t="s">
        <v>665</v>
      </c>
      <c r="AM334" s="141" t="s">
        <v>693</v>
      </c>
      <c r="AN334" s="141" t="s">
        <v>1197</v>
      </c>
      <c r="AO334" s="143"/>
      <c r="AP334" s="143"/>
      <c r="AQ334" s="143"/>
      <c r="AR334" s="143"/>
      <c r="AS334" s="143"/>
      <c r="AT334" s="143"/>
      <c r="AU334" s="239"/>
      <c r="AV334" s="141"/>
      <c r="AW334" s="205"/>
      <c r="AX334" s="206"/>
      <c r="AY334" s="245"/>
      <c r="AZ334" s="245"/>
      <c r="BA334" s="245"/>
      <c r="BB334" s="245"/>
    </row>
    <row r="335" spans="1:54" s="213" customFormat="1" ht="30">
      <c r="A335" s="140" t="s">
        <v>6</v>
      </c>
      <c r="B335" s="129">
        <v>333</v>
      </c>
      <c r="C335" s="236" t="s">
        <v>931</v>
      </c>
      <c r="D335" s="236" t="s">
        <v>3095</v>
      </c>
      <c r="E335" s="241" t="s">
        <v>485</v>
      </c>
      <c r="F335" s="241" t="s">
        <v>486</v>
      </c>
      <c r="G335" s="141" t="s">
        <v>665</v>
      </c>
      <c r="H335" s="169" t="s">
        <v>2265</v>
      </c>
      <c r="I335" s="141" t="s">
        <v>1237</v>
      </c>
      <c r="J335" s="141" t="s">
        <v>815</v>
      </c>
      <c r="K335" s="141" t="s">
        <v>815</v>
      </c>
      <c r="L335" s="141" t="s">
        <v>665</v>
      </c>
      <c r="M335" s="141" t="s">
        <v>665</v>
      </c>
      <c r="N335" s="141">
        <v>1000</v>
      </c>
      <c r="O335" s="141" t="s">
        <v>930</v>
      </c>
      <c r="P335" s="141" t="s">
        <v>665</v>
      </c>
      <c r="Q335" s="141">
        <v>8</v>
      </c>
      <c r="R335" s="141">
        <v>55</v>
      </c>
      <c r="S335" s="141">
        <v>59</v>
      </c>
      <c r="T335" s="236">
        <v>13</v>
      </c>
      <c r="U335" s="141" t="s">
        <v>88</v>
      </c>
      <c r="V335" s="141" t="s">
        <v>91</v>
      </c>
      <c r="W335" s="141" t="s">
        <v>665</v>
      </c>
      <c r="X335" s="141" t="s">
        <v>665</v>
      </c>
      <c r="Y335" s="141" t="s">
        <v>339</v>
      </c>
      <c r="Z335" s="141" t="s">
        <v>665</v>
      </c>
      <c r="AA335" s="141">
        <v>1E-3</v>
      </c>
      <c r="AB335" s="141" t="s">
        <v>665</v>
      </c>
      <c r="AC335" s="141" t="s">
        <v>665</v>
      </c>
      <c r="AD335" s="141" t="s">
        <v>665</v>
      </c>
      <c r="AE335" s="141" t="s">
        <v>665</v>
      </c>
      <c r="AF335" s="236">
        <v>0</v>
      </c>
      <c r="AG335" s="236">
        <v>0</v>
      </c>
      <c r="AH335" s="236" t="s">
        <v>358</v>
      </c>
      <c r="AI335" s="236" t="s">
        <v>133</v>
      </c>
      <c r="AJ335" s="212" t="s">
        <v>2244</v>
      </c>
      <c r="AK335" s="141" t="s">
        <v>665</v>
      </c>
      <c r="AL335" s="141" t="s">
        <v>665</v>
      </c>
      <c r="AM335" s="141" t="s">
        <v>693</v>
      </c>
      <c r="AN335" s="141" t="s">
        <v>1197</v>
      </c>
      <c r="AO335" s="143"/>
      <c r="AP335" s="143"/>
      <c r="AQ335" s="143"/>
      <c r="AR335" s="143"/>
      <c r="AS335" s="143"/>
      <c r="AT335" s="143"/>
      <c r="AU335" s="239"/>
      <c r="AV335" s="141"/>
      <c r="AW335" s="205"/>
      <c r="AX335" s="206"/>
      <c r="AY335" s="245"/>
      <c r="AZ335" s="245"/>
      <c r="BA335" s="245"/>
      <c r="BB335" s="245"/>
    </row>
    <row r="336" spans="1:54" s="213" customFormat="1" ht="30">
      <c r="A336" s="140" t="s">
        <v>6</v>
      </c>
      <c r="B336" s="129">
        <v>334</v>
      </c>
      <c r="C336" s="236" t="s">
        <v>931</v>
      </c>
      <c r="D336" s="236" t="s">
        <v>3095</v>
      </c>
      <c r="E336" s="241" t="s">
        <v>487</v>
      </c>
      <c r="F336" s="241" t="s">
        <v>488</v>
      </c>
      <c r="G336" s="141" t="s">
        <v>665</v>
      </c>
      <c r="H336" s="169" t="s">
        <v>2266</v>
      </c>
      <c r="I336" s="141" t="s">
        <v>637</v>
      </c>
      <c r="J336" s="141" t="s">
        <v>815</v>
      </c>
      <c r="K336" s="141" t="s">
        <v>815</v>
      </c>
      <c r="L336" s="141" t="s">
        <v>665</v>
      </c>
      <c r="M336" s="141" t="s">
        <v>665</v>
      </c>
      <c r="N336" s="141">
        <v>1000</v>
      </c>
      <c r="O336" s="141" t="s">
        <v>930</v>
      </c>
      <c r="P336" s="141" t="s">
        <v>665</v>
      </c>
      <c r="Q336" s="141">
        <v>8</v>
      </c>
      <c r="R336" s="141">
        <v>7</v>
      </c>
      <c r="S336" s="141">
        <v>11</v>
      </c>
      <c r="T336" s="236">
        <v>13</v>
      </c>
      <c r="U336" s="141" t="s">
        <v>88</v>
      </c>
      <c r="V336" s="141" t="s">
        <v>91</v>
      </c>
      <c r="W336" s="141" t="s">
        <v>665</v>
      </c>
      <c r="X336" s="141" t="s">
        <v>665</v>
      </c>
      <c r="Y336" s="141" t="s">
        <v>339</v>
      </c>
      <c r="Z336" s="141" t="s">
        <v>665</v>
      </c>
      <c r="AA336" s="141">
        <v>1E-3</v>
      </c>
      <c r="AB336" s="141" t="s">
        <v>665</v>
      </c>
      <c r="AC336" s="141" t="s">
        <v>665</v>
      </c>
      <c r="AD336" s="141" t="s">
        <v>665</v>
      </c>
      <c r="AE336" s="141" t="s">
        <v>665</v>
      </c>
      <c r="AF336" s="236">
        <v>0</v>
      </c>
      <c r="AG336" s="236">
        <v>0</v>
      </c>
      <c r="AH336" s="236" t="s">
        <v>358</v>
      </c>
      <c r="AI336" s="236" t="s">
        <v>133</v>
      </c>
      <c r="AJ336" s="212" t="s">
        <v>2244</v>
      </c>
      <c r="AK336" s="141" t="s">
        <v>665</v>
      </c>
      <c r="AL336" s="141" t="s">
        <v>665</v>
      </c>
      <c r="AM336" s="141" t="s">
        <v>693</v>
      </c>
      <c r="AN336" s="141" t="s">
        <v>1197</v>
      </c>
      <c r="AO336" s="143"/>
      <c r="AP336" s="143"/>
      <c r="AQ336" s="143"/>
      <c r="AR336" s="143"/>
      <c r="AS336" s="143"/>
      <c r="AT336" s="143"/>
      <c r="AU336" s="239"/>
      <c r="AV336" s="141"/>
      <c r="AW336" s="205"/>
      <c r="AX336" s="206"/>
      <c r="AY336" s="245"/>
      <c r="AZ336" s="245"/>
      <c r="BA336" s="245"/>
      <c r="BB336" s="245"/>
    </row>
    <row r="337" spans="1:54" s="213" customFormat="1" ht="30">
      <c r="A337" s="140" t="s">
        <v>6</v>
      </c>
      <c r="B337" s="129">
        <v>335</v>
      </c>
      <c r="C337" s="236" t="s">
        <v>931</v>
      </c>
      <c r="D337" s="236" t="s">
        <v>3095</v>
      </c>
      <c r="E337" s="241" t="s">
        <v>489</v>
      </c>
      <c r="F337" s="241" t="s">
        <v>490</v>
      </c>
      <c r="G337" s="141" t="s">
        <v>665</v>
      </c>
      <c r="H337" s="169" t="s">
        <v>2266</v>
      </c>
      <c r="I337" s="141" t="s">
        <v>637</v>
      </c>
      <c r="J337" s="141" t="s">
        <v>815</v>
      </c>
      <c r="K337" s="141" t="s">
        <v>815</v>
      </c>
      <c r="L337" s="141" t="s">
        <v>665</v>
      </c>
      <c r="M337" s="141" t="s">
        <v>665</v>
      </c>
      <c r="N337" s="141">
        <v>1000</v>
      </c>
      <c r="O337" s="141" t="s">
        <v>930</v>
      </c>
      <c r="P337" s="141" t="s">
        <v>665</v>
      </c>
      <c r="Q337" s="141">
        <v>8</v>
      </c>
      <c r="R337" s="141">
        <v>23</v>
      </c>
      <c r="S337" s="141">
        <v>27</v>
      </c>
      <c r="T337" s="236">
        <v>13</v>
      </c>
      <c r="U337" s="141" t="s">
        <v>88</v>
      </c>
      <c r="V337" s="141" t="s">
        <v>91</v>
      </c>
      <c r="W337" s="141" t="s">
        <v>665</v>
      </c>
      <c r="X337" s="141" t="s">
        <v>665</v>
      </c>
      <c r="Y337" s="141" t="s">
        <v>339</v>
      </c>
      <c r="Z337" s="141" t="s">
        <v>665</v>
      </c>
      <c r="AA337" s="141">
        <v>1E-3</v>
      </c>
      <c r="AB337" s="141" t="s">
        <v>665</v>
      </c>
      <c r="AC337" s="141" t="s">
        <v>665</v>
      </c>
      <c r="AD337" s="141" t="s">
        <v>665</v>
      </c>
      <c r="AE337" s="141" t="s">
        <v>665</v>
      </c>
      <c r="AF337" s="236">
        <v>0</v>
      </c>
      <c r="AG337" s="236">
        <v>0</v>
      </c>
      <c r="AH337" s="236" t="s">
        <v>358</v>
      </c>
      <c r="AI337" s="236" t="s">
        <v>133</v>
      </c>
      <c r="AJ337" s="212" t="s">
        <v>2244</v>
      </c>
      <c r="AK337" s="141" t="s">
        <v>665</v>
      </c>
      <c r="AL337" s="141" t="s">
        <v>665</v>
      </c>
      <c r="AM337" s="141" t="s">
        <v>693</v>
      </c>
      <c r="AN337" s="141" t="s">
        <v>1197</v>
      </c>
      <c r="AO337" s="143"/>
      <c r="AP337" s="143"/>
      <c r="AQ337" s="143"/>
      <c r="AR337" s="143"/>
      <c r="AS337" s="143"/>
      <c r="AT337" s="143"/>
      <c r="AU337" s="239"/>
      <c r="AV337" s="141"/>
      <c r="AW337" s="205"/>
      <c r="AX337" s="206"/>
      <c r="AY337" s="245"/>
      <c r="AZ337" s="245"/>
      <c r="BA337" s="245"/>
      <c r="BB337" s="245"/>
    </row>
    <row r="338" spans="1:54" s="213" customFormat="1" ht="30">
      <c r="A338" s="140" t="s">
        <v>6</v>
      </c>
      <c r="B338" s="129">
        <v>336</v>
      </c>
      <c r="C338" s="236" t="s">
        <v>931</v>
      </c>
      <c r="D338" s="236" t="s">
        <v>3095</v>
      </c>
      <c r="E338" s="241" t="s">
        <v>491</v>
      </c>
      <c r="F338" s="241" t="s">
        <v>492</v>
      </c>
      <c r="G338" s="141" t="s">
        <v>665</v>
      </c>
      <c r="H338" s="169" t="s">
        <v>2266</v>
      </c>
      <c r="I338" s="141" t="s">
        <v>637</v>
      </c>
      <c r="J338" s="141" t="s">
        <v>815</v>
      </c>
      <c r="K338" s="141" t="s">
        <v>815</v>
      </c>
      <c r="L338" s="141" t="s">
        <v>665</v>
      </c>
      <c r="M338" s="141" t="s">
        <v>665</v>
      </c>
      <c r="N338" s="141">
        <v>1000</v>
      </c>
      <c r="O338" s="141" t="s">
        <v>930</v>
      </c>
      <c r="P338" s="141" t="s">
        <v>665</v>
      </c>
      <c r="Q338" s="141">
        <v>8</v>
      </c>
      <c r="R338" s="141">
        <v>39</v>
      </c>
      <c r="S338" s="141">
        <v>43</v>
      </c>
      <c r="T338" s="236">
        <v>13</v>
      </c>
      <c r="U338" s="141" t="s">
        <v>88</v>
      </c>
      <c r="V338" s="141" t="s">
        <v>91</v>
      </c>
      <c r="W338" s="141" t="s">
        <v>665</v>
      </c>
      <c r="X338" s="141" t="s">
        <v>665</v>
      </c>
      <c r="Y338" s="141" t="s">
        <v>339</v>
      </c>
      <c r="Z338" s="141" t="s">
        <v>665</v>
      </c>
      <c r="AA338" s="141">
        <v>1E-3</v>
      </c>
      <c r="AB338" s="141" t="s">
        <v>665</v>
      </c>
      <c r="AC338" s="141" t="s">
        <v>665</v>
      </c>
      <c r="AD338" s="141" t="s">
        <v>665</v>
      </c>
      <c r="AE338" s="141" t="s">
        <v>665</v>
      </c>
      <c r="AF338" s="236">
        <v>0</v>
      </c>
      <c r="AG338" s="236">
        <v>0</v>
      </c>
      <c r="AH338" s="236" t="s">
        <v>358</v>
      </c>
      <c r="AI338" s="236" t="s">
        <v>133</v>
      </c>
      <c r="AJ338" s="212" t="s">
        <v>2244</v>
      </c>
      <c r="AK338" s="141" t="s">
        <v>665</v>
      </c>
      <c r="AL338" s="141" t="s">
        <v>665</v>
      </c>
      <c r="AM338" s="141" t="s">
        <v>693</v>
      </c>
      <c r="AN338" s="141" t="s">
        <v>1197</v>
      </c>
      <c r="AO338" s="143"/>
      <c r="AP338" s="143"/>
      <c r="AQ338" s="143"/>
      <c r="AR338" s="143"/>
      <c r="AS338" s="143"/>
      <c r="AT338" s="143"/>
      <c r="AU338" s="239"/>
      <c r="AV338" s="141"/>
      <c r="AW338" s="205"/>
      <c r="AX338" s="206"/>
      <c r="AY338" s="245"/>
      <c r="AZ338" s="245"/>
      <c r="BA338" s="245"/>
      <c r="BB338" s="245"/>
    </row>
    <row r="339" spans="1:54" s="213" customFormat="1" ht="30">
      <c r="A339" s="140" t="s">
        <v>6</v>
      </c>
      <c r="B339" s="129">
        <v>337</v>
      </c>
      <c r="C339" s="236" t="s">
        <v>931</v>
      </c>
      <c r="D339" s="236" t="s">
        <v>3095</v>
      </c>
      <c r="E339" s="241" t="s">
        <v>493</v>
      </c>
      <c r="F339" s="241" t="s">
        <v>494</v>
      </c>
      <c r="G339" s="141" t="s">
        <v>665</v>
      </c>
      <c r="H339" s="169" t="s">
        <v>2266</v>
      </c>
      <c r="I339" s="141" t="s">
        <v>637</v>
      </c>
      <c r="J339" s="141" t="s">
        <v>815</v>
      </c>
      <c r="K339" s="141" t="s">
        <v>815</v>
      </c>
      <c r="L339" s="141" t="s">
        <v>665</v>
      </c>
      <c r="M339" s="141" t="s">
        <v>665</v>
      </c>
      <c r="N339" s="141">
        <v>1000</v>
      </c>
      <c r="O339" s="141" t="s">
        <v>930</v>
      </c>
      <c r="P339" s="141" t="s">
        <v>665</v>
      </c>
      <c r="Q339" s="141">
        <v>8</v>
      </c>
      <c r="R339" s="141">
        <v>55</v>
      </c>
      <c r="S339" s="141">
        <v>59</v>
      </c>
      <c r="T339" s="236">
        <v>13</v>
      </c>
      <c r="U339" s="141" t="s">
        <v>88</v>
      </c>
      <c r="V339" s="141" t="s">
        <v>91</v>
      </c>
      <c r="W339" s="141" t="s">
        <v>665</v>
      </c>
      <c r="X339" s="141" t="s">
        <v>665</v>
      </c>
      <c r="Y339" s="141" t="s">
        <v>339</v>
      </c>
      <c r="Z339" s="141" t="s">
        <v>665</v>
      </c>
      <c r="AA339" s="141">
        <v>1E-3</v>
      </c>
      <c r="AB339" s="141" t="s">
        <v>665</v>
      </c>
      <c r="AC339" s="141" t="s">
        <v>665</v>
      </c>
      <c r="AD339" s="141" t="s">
        <v>665</v>
      </c>
      <c r="AE339" s="141" t="s">
        <v>665</v>
      </c>
      <c r="AF339" s="236">
        <v>0</v>
      </c>
      <c r="AG339" s="236">
        <v>0</v>
      </c>
      <c r="AH339" s="236" t="s">
        <v>358</v>
      </c>
      <c r="AI339" s="236" t="s">
        <v>133</v>
      </c>
      <c r="AJ339" s="212" t="s">
        <v>2244</v>
      </c>
      <c r="AK339" s="141" t="s">
        <v>665</v>
      </c>
      <c r="AL339" s="141" t="s">
        <v>665</v>
      </c>
      <c r="AM339" s="141" t="s">
        <v>693</v>
      </c>
      <c r="AN339" s="141" t="s">
        <v>1197</v>
      </c>
      <c r="AO339" s="143"/>
      <c r="AP339" s="143"/>
      <c r="AQ339" s="143"/>
      <c r="AR339" s="143"/>
      <c r="AS339" s="143"/>
      <c r="AT339" s="143"/>
      <c r="AU339" s="239"/>
      <c r="AV339" s="141"/>
      <c r="AW339" s="205"/>
      <c r="AX339" s="206"/>
      <c r="AY339" s="245"/>
      <c r="AZ339" s="245"/>
      <c r="BA339" s="245"/>
      <c r="BB339" s="245"/>
    </row>
    <row r="340" spans="1:54" s="249" customFormat="1" ht="30">
      <c r="A340" s="140" t="s">
        <v>6</v>
      </c>
      <c r="B340" s="129">
        <v>338</v>
      </c>
      <c r="C340" s="236" t="s">
        <v>931</v>
      </c>
      <c r="D340" s="236" t="s">
        <v>3095</v>
      </c>
      <c r="E340" s="241" t="s">
        <v>1227</v>
      </c>
      <c r="F340" s="241" t="s">
        <v>495</v>
      </c>
      <c r="G340" s="141" t="s">
        <v>665</v>
      </c>
      <c r="H340" s="169" t="s">
        <v>2267</v>
      </c>
      <c r="I340" s="169" t="s">
        <v>2268</v>
      </c>
      <c r="J340" s="141" t="s">
        <v>815</v>
      </c>
      <c r="K340" s="141" t="s">
        <v>815</v>
      </c>
      <c r="L340" s="141" t="s">
        <v>665</v>
      </c>
      <c r="M340" s="141" t="s">
        <v>665</v>
      </c>
      <c r="N340" s="141">
        <v>1000</v>
      </c>
      <c r="O340" s="141" t="s">
        <v>930</v>
      </c>
      <c r="P340" s="141" t="s">
        <v>665</v>
      </c>
      <c r="Q340" s="141">
        <v>8</v>
      </c>
      <c r="R340" s="141">
        <v>7</v>
      </c>
      <c r="S340" s="141">
        <v>11</v>
      </c>
      <c r="T340" s="236">
        <v>13</v>
      </c>
      <c r="U340" s="141" t="s">
        <v>88</v>
      </c>
      <c r="V340" s="141" t="s">
        <v>91</v>
      </c>
      <c r="W340" s="141" t="s">
        <v>665</v>
      </c>
      <c r="X340" s="141" t="s">
        <v>665</v>
      </c>
      <c r="Y340" s="141" t="s">
        <v>339</v>
      </c>
      <c r="Z340" s="141" t="s">
        <v>665</v>
      </c>
      <c r="AA340" s="141">
        <v>1E-3</v>
      </c>
      <c r="AB340" s="141" t="s">
        <v>665</v>
      </c>
      <c r="AC340" s="141" t="s">
        <v>665</v>
      </c>
      <c r="AD340" s="141" t="s">
        <v>665</v>
      </c>
      <c r="AE340" s="141" t="s">
        <v>665</v>
      </c>
      <c r="AF340" s="236">
        <v>0</v>
      </c>
      <c r="AG340" s="236">
        <v>0</v>
      </c>
      <c r="AH340" s="236" t="s">
        <v>358</v>
      </c>
      <c r="AI340" s="236" t="s">
        <v>133</v>
      </c>
      <c r="AJ340" s="212" t="s">
        <v>2244</v>
      </c>
      <c r="AK340" s="141" t="s">
        <v>665</v>
      </c>
      <c r="AL340" s="141" t="s">
        <v>665</v>
      </c>
      <c r="AM340" s="141" t="s">
        <v>693</v>
      </c>
      <c r="AN340" s="141" t="s">
        <v>1197</v>
      </c>
      <c r="AO340" s="143"/>
      <c r="AP340" s="143"/>
      <c r="AQ340" s="143"/>
      <c r="AR340" s="143"/>
      <c r="AS340" s="143"/>
      <c r="AT340" s="246"/>
      <c r="AU340" s="247"/>
      <c r="AV340" s="141"/>
      <c r="AW340" s="205"/>
      <c r="AX340" s="206"/>
      <c r="AY340" s="248"/>
      <c r="AZ340" s="248"/>
      <c r="BA340" s="248"/>
      <c r="BB340" s="248"/>
    </row>
    <row r="341" spans="1:54" s="213" customFormat="1" ht="30">
      <c r="A341" s="140" t="s">
        <v>6</v>
      </c>
      <c r="B341" s="129">
        <v>339</v>
      </c>
      <c r="C341" s="236" t="s">
        <v>931</v>
      </c>
      <c r="D341" s="236" t="s">
        <v>3095</v>
      </c>
      <c r="E341" s="241" t="s">
        <v>496</v>
      </c>
      <c r="F341" s="241" t="s">
        <v>497</v>
      </c>
      <c r="G341" s="141" t="s">
        <v>665</v>
      </c>
      <c r="H341" s="169" t="s">
        <v>2267</v>
      </c>
      <c r="I341" s="169" t="s">
        <v>2268</v>
      </c>
      <c r="J341" s="141" t="s">
        <v>815</v>
      </c>
      <c r="K341" s="141" t="s">
        <v>815</v>
      </c>
      <c r="L341" s="141" t="s">
        <v>665</v>
      </c>
      <c r="M341" s="141" t="s">
        <v>665</v>
      </c>
      <c r="N341" s="141">
        <v>1000</v>
      </c>
      <c r="O341" s="141" t="s">
        <v>930</v>
      </c>
      <c r="P341" s="141" t="s">
        <v>665</v>
      </c>
      <c r="Q341" s="141">
        <v>8</v>
      </c>
      <c r="R341" s="141">
        <v>23</v>
      </c>
      <c r="S341" s="141">
        <v>27</v>
      </c>
      <c r="T341" s="236">
        <v>13</v>
      </c>
      <c r="U341" s="141" t="s">
        <v>88</v>
      </c>
      <c r="V341" s="141" t="s">
        <v>91</v>
      </c>
      <c r="W341" s="141" t="s">
        <v>665</v>
      </c>
      <c r="X341" s="141" t="s">
        <v>665</v>
      </c>
      <c r="Y341" s="141" t="s">
        <v>339</v>
      </c>
      <c r="Z341" s="141" t="s">
        <v>665</v>
      </c>
      <c r="AA341" s="141">
        <v>1E-3</v>
      </c>
      <c r="AB341" s="141" t="s">
        <v>665</v>
      </c>
      <c r="AC341" s="141" t="s">
        <v>665</v>
      </c>
      <c r="AD341" s="141" t="s">
        <v>665</v>
      </c>
      <c r="AE341" s="141" t="s">
        <v>665</v>
      </c>
      <c r="AF341" s="236">
        <v>0</v>
      </c>
      <c r="AG341" s="236">
        <v>0</v>
      </c>
      <c r="AH341" s="236" t="s">
        <v>358</v>
      </c>
      <c r="AI341" s="236" t="s">
        <v>133</v>
      </c>
      <c r="AJ341" s="212" t="s">
        <v>2244</v>
      </c>
      <c r="AK341" s="141" t="s">
        <v>665</v>
      </c>
      <c r="AL341" s="141" t="s">
        <v>665</v>
      </c>
      <c r="AM341" s="141" t="s">
        <v>693</v>
      </c>
      <c r="AN341" s="141" t="s">
        <v>1197</v>
      </c>
      <c r="AO341" s="143"/>
      <c r="AP341" s="143"/>
      <c r="AQ341" s="143"/>
      <c r="AR341" s="143"/>
      <c r="AS341" s="143"/>
      <c r="AT341" s="143"/>
      <c r="AU341" s="143"/>
      <c r="AV341" s="141"/>
      <c r="AW341" s="205"/>
      <c r="AX341" s="206"/>
      <c r="AY341" s="245"/>
      <c r="AZ341" s="245"/>
      <c r="BA341" s="245"/>
      <c r="BB341" s="245"/>
    </row>
    <row r="342" spans="1:54" s="213" customFormat="1" ht="30">
      <c r="A342" s="140" t="s">
        <v>6</v>
      </c>
      <c r="B342" s="129">
        <v>340</v>
      </c>
      <c r="C342" s="236" t="s">
        <v>931</v>
      </c>
      <c r="D342" s="236" t="s">
        <v>3095</v>
      </c>
      <c r="E342" s="241" t="s">
        <v>498</v>
      </c>
      <c r="F342" s="241" t="s">
        <v>499</v>
      </c>
      <c r="G342" s="141" t="s">
        <v>665</v>
      </c>
      <c r="H342" s="169" t="s">
        <v>2267</v>
      </c>
      <c r="I342" s="169" t="s">
        <v>2268</v>
      </c>
      <c r="J342" s="141" t="s">
        <v>815</v>
      </c>
      <c r="K342" s="141" t="s">
        <v>815</v>
      </c>
      <c r="L342" s="141" t="s">
        <v>665</v>
      </c>
      <c r="M342" s="141" t="s">
        <v>665</v>
      </c>
      <c r="N342" s="141">
        <v>1000</v>
      </c>
      <c r="O342" s="141" t="s">
        <v>930</v>
      </c>
      <c r="P342" s="141" t="s">
        <v>665</v>
      </c>
      <c r="Q342" s="141">
        <v>8</v>
      </c>
      <c r="R342" s="141">
        <v>39</v>
      </c>
      <c r="S342" s="141">
        <v>43</v>
      </c>
      <c r="T342" s="236">
        <v>13</v>
      </c>
      <c r="U342" s="141" t="s">
        <v>88</v>
      </c>
      <c r="V342" s="141" t="s">
        <v>91</v>
      </c>
      <c r="W342" s="141" t="s">
        <v>665</v>
      </c>
      <c r="X342" s="141" t="s">
        <v>665</v>
      </c>
      <c r="Y342" s="141" t="s">
        <v>339</v>
      </c>
      <c r="Z342" s="141" t="s">
        <v>665</v>
      </c>
      <c r="AA342" s="141">
        <v>1E-3</v>
      </c>
      <c r="AB342" s="141" t="s">
        <v>665</v>
      </c>
      <c r="AC342" s="141" t="s">
        <v>665</v>
      </c>
      <c r="AD342" s="141" t="s">
        <v>665</v>
      </c>
      <c r="AE342" s="141" t="s">
        <v>665</v>
      </c>
      <c r="AF342" s="236">
        <v>0</v>
      </c>
      <c r="AG342" s="236">
        <v>0</v>
      </c>
      <c r="AH342" s="236" t="s">
        <v>358</v>
      </c>
      <c r="AI342" s="236" t="s">
        <v>133</v>
      </c>
      <c r="AJ342" s="212" t="s">
        <v>2244</v>
      </c>
      <c r="AK342" s="141" t="s">
        <v>665</v>
      </c>
      <c r="AL342" s="141" t="s">
        <v>665</v>
      </c>
      <c r="AM342" s="141" t="s">
        <v>693</v>
      </c>
      <c r="AN342" s="141" t="s">
        <v>1197</v>
      </c>
      <c r="AO342" s="143"/>
      <c r="AP342" s="143"/>
      <c r="AQ342" s="143"/>
      <c r="AR342" s="143"/>
      <c r="AS342" s="143"/>
      <c r="AT342" s="143"/>
      <c r="AU342" s="143"/>
      <c r="AV342" s="141"/>
      <c r="AW342" s="205"/>
      <c r="AX342" s="206"/>
      <c r="AY342" s="245"/>
      <c r="AZ342" s="245"/>
      <c r="BA342" s="245"/>
      <c r="BB342" s="245"/>
    </row>
    <row r="343" spans="1:54" s="213" customFormat="1" ht="30">
      <c r="A343" s="140" t="s">
        <v>6</v>
      </c>
      <c r="B343" s="129">
        <v>341</v>
      </c>
      <c r="C343" s="236" t="s">
        <v>931</v>
      </c>
      <c r="D343" s="236" t="s">
        <v>3095</v>
      </c>
      <c r="E343" s="241" t="s">
        <v>500</v>
      </c>
      <c r="F343" s="241" t="s">
        <v>501</v>
      </c>
      <c r="G343" s="141" t="s">
        <v>665</v>
      </c>
      <c r="H343" s="169" t="s">
        <v>2267</v>
      </c>
      <c r="I343" s="169" t="s">
        <v>2268</v>
      </c>
      <c r="J343" s="141" t="s">
        <v>815</v>
      </c>
      <c r="K343" s="141" t="s">
        <v>815</v>
      </c>
      <c r="L343" s="141" t="s">
        <v>665</v>
      </c>
      <c r="M343" s="141" t="s">
        <v>665</v>
      </c>
      <c r="N343" s="141">
        <v>1000</v>
      </c>
      <c r="O343" s="141" t="s">
        <v>930</v>
      </c>
      <c r="P343" s="141" t="s">
        <v>665</v>
      </c>
      <c r="Q343" s="141">
        <v>8</v>
      </c>
      <c r="R343" s="141">
        <v>55</v>
      </c>
      <c r="S343" s="141">
        <v>59</v>
      </c>
      <c r="T343" s="236">
        <v>13</v>
      </c>
      <c r="U343" s="141" t="s">
        <v>88</v>
      </c>
      <c r="V343" s="141" t="s">
        <v>91</v>
      </c>
      <c r="W343" s="141" t="s">
        <v>665</v>
      </c>
      <c r="X343" s="141" t="s">
        <v>665</v>
      </c>
      <c r="Y343" s="141" t="s">
        <v>339</v>
      </c>
      <c r="Z343" s="141" t="s">
        <v>665</v>
      </c>
      <c r="AA343" s="141">
        <v>1E-3</v>
      </c>
      <c r="AB343" s="141" t="s">
        <v>665</v>
      </c>
      <c r="AC343" s="141" t="s">
        <v>665</v>
      </c>
      <c r="AD343" s="141" t="s">
        <v>665</v>
      </c>
      <c r="AE343" s="141" t="s">
        <v>665</v>
      </c>
      <c r="AF343" s="236">
        <v>0</v>
      </c>
      <c r="AG343" s="236">
        <v>0</v>
      </c>
      <c r="AH343" s="236" t="s">
        <v>358</v>
      </c>
      <c r="AI343" s="236" t="s">
        <v>133</v>
      </c>
      <c r="AJ343" s="212" t="s">
        <v>2244</v>
      </c>
      <c r="AK343" s="141" t="s">
        <v>665</v>
      </c>
      <c r="AL343" s="141" t="s">
        <v>665</v>
      </c>
      <c r="AM343" s="141" t="s">
        <v>693</v>
      </c>
      <c r="AN343" s="141" t="s">
        <v>1197</v>
      </c>
      <c r="AO343" s="143"/>
      <c r="AP343" s="143"/>
      <c r="AQ343" s="143"/>
      <c r="AR343" s="143"/>
      <c r="AS343" s="143"/>
      <c r="AT343" s="143"/>
      <c r="AU343" s="143"/>
      <c r="AV343" s="141"/>
      <c r="AW343" s="205"/>
      <c r="AX343" s="206"/>
      <c r="AY343" s="245"/>
      <c r="AZ343" s="245"/>
      <c r="BA343" s="245"/>
      <c r="BB343" s="245"/>
    </row>
    <row r="344" spans="1:54" s="213" customFormat="1" ht="30">
      <c r="A344" s="140" t="s">
        <v>6</v>
      </c>
      <c r="B344" s="129">
        <v>342</v>
      </c>
      <c r="C344" s="236" t="s">
        <v>931</v>
      </c>
      <c r="D344" s="236" t="s">
        <v>3095</v>
      </c>
      <c r="E344" s="241" t="s">
        <v>502</v>
      </c>
      <c r="F344" s="241" t="s">
        <v>503</v>
      </c>
      <c r="G344" s="141" t="s">
        <v>665</v>
      </c>
      <c r="H344" s="169" t="s">
        <v>2269</v>
      </c>
      <c r="I344" s="169" t="s">
        <v>2270</v>
      </c>
      <c r="J344" s="141" t="s">
        <v>815</v>
      </c>
      <c r="K344" s="141" t="s">
        <v>815</v>
      </c>
      <c r="L344" s="141" t="s">
        <v>665</v>
      </c>
      <c r="M344" s="141" t="s">
        <v>665</v>
      </c>
      <c r="N344" s="141">
        <v>1000</v>
      </c>
      <c r="O344" s="141" t="s">
        <v>930</v>
      </c>
      <c r="P344" s="141" t="s">
        <v>665</v>
      </c>
      <c r="Q344" s="141">
        <v>8</v>
      </c>
      <c r="R344" s="141">
        <v>7</v>
      </c>
      <c r="S344" s="141">
        <v>11</v>
      </c>
      <c r="T344" s="236">
        <v>13</v>
      </c>
      <c r="U344" s="141" t="s">
        <v>88</v>
      </c>
      <c r="V344" s="141" t="s">
        <v>91</v>
      </c>
      <c r="W344" s="141" t="s">
        <v>665</v>
      </c>
      <c r="X344" s="141" t="s">
        <v>665</v>
      </c>
      <c r="Y344" s="141" t="s">
        <v>339</v>
      </c>
      <c r="Z344" s="141" t="s">
        <v>665</v>
      </c>
      <c r="AA344" s="141">
        <v>1E-3</v>
      </c>
      <c r="AB344" s="141" t="s">
        <v>665</v>
      </c>
      <c r="AC344" s="141" t="s">
        <v>665</v>
      </c>
      <c r="AD344" s="141" t="s">
        <v>665</v>
      </c>
      <c r="AE344" s="141" t="s">
        <v>665</v>
      </c>
      <c r="AF344" s="236">
        <v>0</v>
      </c>
      <c r="AG344" s="236">
        <v>0</v>
      </c>
      <c r="AH344" s="236" t="s">
        <v>358</v>
      </c>
      <c r="AI344" s="236" t="s">
        <v>133</v>
      </c>
      <c r="AJ344" s="212" t="s">
        <v>2244</v>
      </c>
      <c r="AK344" s="141" t="s">
        <v>665</v>
      </c>
      <c r="AL344" s="141" t="s">
        <v>665</v>
      </c>
      <c r="AM344" s="141" t="s">
        <v>693</v>
      </c>
      <c r="AN344" s="141" t="s">
        <v>1197</v>
      </c>
      <c r="AO344" s="143"/>
      <c r="AP344" s="143"/>
      <c r="AQ344" s="143"/>
      <c r="AR344" s="143"/>
      <c r="AS344" s="143"/>
      <c r="AT344" s="143"/>
      <c r="AU344" s="143"/>
      <c r="AV344" s="141"/>
      <c r="AW344" s="205"/>
      <c r="AX344" s="206"/>
      <c r="AY344" s="245"/>
      <c r="AZ344" s="245"/>
      <c r="BA344" s="245"/>
      <c r="BB344" s="245"/>
    </row>
    <row r="345" spans="1:54" s="213" customFormat="1" ht="30">
      <c r="A345" s="140" t="s">
        <v>6</v>
      </c>
      <c r="B345" s="129">
        <v>343</v>
      </c>
      <c r="C345" s="236" t="s">
        <v>931</v>
      </c>
      <c r="D345" s="236" t="s">
        <v>3095</v>
      </c>
      <c r="E345" s="241" t="s">
        <v>504</v>
      </c>
      <c r="F345" s="241" t="s">
        <v>505</v>
      </c>
      <c r="G345" s="141" t="s">
        <v>665</v>
      </c>
      <c r="H345" s="169" t="s">
        <v>2269</v>
      </c>
      <c r="I345" s="169" t="s">
        <v>2270</v>
      </c>
      <c r="J345" s="141" t="s">
        <v>815</v>
      </c>
      <c r="K345" s="141" t="s">
        <v>815</v>
      </c>
      <c r="L345" s="141" t="s">
        <v>665</v>
      </c>
      <c r="M345" s="141" t="s">
        <v>665</v>
      </c>
      <c r="N345" s="141">
        <v>1000</v>
      </c>
      <c r="O345" s="141" t="s">
        <v>930</v>
      </c>
      <c r="P345" s="141" t="s">
        <v>665</v>
      </c>
      <c r="Q345" s="141">
        <v>8</v>
      </c>
      <c r="R345" s="141">
        <v>23</v>
      </c>
      <c r="S345" s="141">
        <v>27</v>
      </c>
      <c r="T345" s="236">
        <v>13</v>
      </c>
      <c r="U345" s="141" t="s">
        <v>88</v>
      </c>
      <c r="V345" s="141" t="s">
        <v>91</v>
      </c>
      <c r="W345" s="141" t="s">
        <v>665</v>
      </c>
      <c r="X345" s="141" t="s">
        <v>665</v>
      </c>
      <c r="Y345" s="141" t="s">
        <v>339</v>
      </c>
      <c r="Z345" s="141" t="s">
        <v>665</v>
      </c>
      <c r="AA345" s="141">
        <v>1E-3</v>
      </c>
      <c r="AB345" s="141" t="s">
        <v>665</v>
      </c>
      <c r="AC345" s="141" t="s">
        <v>665</v>
      </c>
      <c r="AD345" s="141" t="s">
        <v>665</v>
      </c>
      <c r="AE345" s="141" t="s">
        <v>665</v>
      </c>
      <c r="AF345" s="236">
        <v>0</v>
      </c>
      <c r="AG345" s="236">
        <v>0</v>
      </c>
      <c r="AH345" s="236" t="s">
        <v>358</v>
      </c>
      <c r="AI345" s="236" t="s">
        <v>133</v>
      </c>
      <c r="AJ345" s="212" t="s">
        <v>2244</v>
      </c>
      <c r="AK345" s="141" t="s">
        <v>665</v>
      </c>
      <c r="AL345" s="141" t="s">
        <v>665</v>
      </c>
      <c r="AM345" s="141" t="s">
        <v>693</v>
      </c>
      <c r="AN345" s="141" t="s">
        <v>1197</v>
      </c>
      <c r="AO345" s="143"/>
      <c r="AP345" s="143"/>
      <c r="AQ345" s="143"/>
      <c r="AR345" s="143"/>
      <c r="AS345" s="143"/>
      <c r="AT345" s="143"/>
      <c r="AU345" s="143"/>
      <c r="AV345" s="141"/>
      <c r="AW345" s="205"/>
      <c r="AX345" s="206"/>
      <c r="AY345" s="245"/>
      <c r="AZ345" s="245"/>
      <c r="BA345" s="245"/>
      <c r="BB345" s="245"/>
    </row>
    <row r="346" spans="1:54" s="213" customFormat="1" ht="30">
      <c r="A346" s="140" t="s">
        <v>6</v>
      </c>
      <c r="B346" s="129">
        <v>344</v>
      </c>
      <c r="C346" s="236" t="s">
        <v>931</v>
      </c>
      <c r="D346" s="236" t="s">
        <v>3095</v>
      </c>
      <c r="E346" s="241" t="s">
        <v>506</v>
      </c>
      <c r="F346" s="241" t="s">
        <v>507</v>
      </c>
      <c r="G346" s="141" t="s">
        <v>665</v>
      </c>
      <c r="H346" s="169" t="s">
        <v>2269</v>
      </c>
      <c r="I346" s="169" t="s">
        <v>2270</v>
      </c>
      <c r="J346" s="141" t="s">
        <v>815</v>
      </c>
      <c r="K346" s="141" t="s">
        <v>815</v>
      </c>
      <c r="L346" s="141" t="s">
        <v>665</v>
      </c>
      <c r="M346" s="141" t="s">
        <v>665</v>
      </c>
      <c r="N346" s="141">
        <v>1000</v>
      </c>
      <c r="O346" s="141" t="s">
        <v>930</v>
      </c>
      <c r="P346" s="141" t="s">
        <v>665</v>
      </c>
      <c r="Q346" s="141">
        <v>8</v>
      </c>
      <c r="R346" s="141">
        <v>39</v>
      </c>
      <c r="S346" s="141">
        <v>43</v>
      </c>
      <c r="T346" s="236">
        <v>13</v>
      </c>
      <c r="U346" s="141" t="s">
        <v>88</v>
      </c>
      <c r="V346" s="141" t="s">
        <v>91</v>
      </c>
      <c r="W346" s="141" t="s">
        <v>665</v>
      </c>
      <c r="X346" s="141" t="s">
        <v>665</v>
      </c>
      <c r="Y346" s="141" t="s">
        <v>339</v>
      </c>
      <c r="Z346" s="141" t="s">
        <v>665</v>
      </c>
      <c r="AA346" s="141">
        <v>1E-3</v>
      </c>
      <c r="AB346" s="141" t="s">
        <v>665</v>
      </c>
      <c r="AC346" s="141" t="s">
        <v>665</v>
      </c>
      <c r="AD346" s="141" t="s">
        <v>665</v>
      </c>
      <c r="AE346" s="141" t="s">
        <v>665</v>
      </c>
      <c r="AF346" s="236">
        <v>0</v>
      </c>
      <c r="AG346" s="236">
        <v>0</v>
      </c>
      <c r="AH346" s="236" t="s">
        <v>358</v>
      </c>
      <c r="AI346" s="236" t="s">
        <v>133</v>
      </c>
      <c r="AJ346" s="212" t="s">
        <v>2244</v>
      </c>
      <c r="AK346" s="141" t="s">
        <v>665</v>
      </c>
      <c r="AL346" s="141" t="s">
        <v>665</v>
      </c>
      <c r="AM346" s="141" t="s">
        <v>693</v>
      </c>
      <c r="AN346" s="141" t="s">
        <v>1197</v>
      </c>
      <c r="AO346" s="143"/>
      <c r="AP346" s="143"/>
      <c r="AQ346" s="143"/>
      <c r="AR346" s="143"/>
      <c r="AS346" s="143"/>
      <c r="AT346" s="143"/>
      <c r="AU346" s="143"/>
      <c r="AV346" s="141"/>
      <c r="AW346" s="205"/>
      <c r="AX346" s="206"/>
      <c r="AY346" s="245"/>
      <c r="AZ346" s="245"/>
      <c r="BA346" s="245"/>
      <c r="BB346" s="245"/>
    </row>
    <row r="347" spans="1:54" s="213" customFormat="1" ht="30">
      <c r="A347" s="140" t="s">
        <v>6</v>
      </c>
      <c r="B347" s="129">
        <v>345</v>
      </c>
      <c r="C347" s="250" t="s">
        <v>931</v>
      </c>
      <c r="D347" s="250" t="s">
        <v>3095</v>
      </c>
      <c r="E347" s="241" t="s">
        <v>508</v>
      </c>
      <c r="F347" s="251" t="s">
        <v>509</v>
      </c>
      <c r="G347" s="141" t="s">
        <v>665</v>
      </c>
      <c r="H347" s="169" t="s">
        <v>2269</v>
      </c>
      <c r="I347" s="169" t="s">
        <v>2270</v>
      </c>
      <c r="J347" s="141" t="s">
        <v>815</v>
      </c>
      <c r="K347" s="250" t="s">
        <v>815</v>
      </c>
      <c r="L347" s="141" t="s">
        <v>665</v>
      </c>
      <c r="M347" s="141" t="s">
        <v>665</v>
      </c>
      <c r="N347" s="141">
        <v>1000</v>
      </c>
      <c r="O347" s="250" t="s">
        <v>930</v>
      </c>
      <c r="P347" s="141" t="s">
        <v>665</v>
      </c>
      <c r="Q347" s="141">
        <v>8</v>
      </c>
      <c r="R347" s="141">
        <v>55</v>
      </c>
      <c r="S347" s="141">
        <v>59</v>
      </c>
      <c r="T347" s="236">
        <v>13</v>
      </c>
      <c r="U347" s="250" t="s">
        <v>88</v>
      </c>
      <c r="V347" s="250" t="s">
        <v>91</v>
      </c>
      <c r="W347" s="141" t="s">
        <v>665</v>
      </c>
      <c r="X347" s="141" t="s">
        <v>665</v>
      </c>
      <c r="Y347" s="141" t="s">
        <v>339</v>
      </c>
      <c r="Z347" s="141" t="s">
        <v>665</v>
      </c>
      <c r="AA347" s="141">
        <v>1E-3</v>
      </c>
      <c r="AB347" s="141" t="s">
        <v>665</v>
      </c>
      <c r="AC347" s="141" t="s">
        <v>665</v>
      </c>
      <c r="AD347" s="141" t="s">
        <v>665</v>
      </c>
      <c r="AE347" s="141" t="s">
        <v>665</v>
      </c>
      <c r="AF347" s="236">
        <v>0</v>
      </c>
      <c r="AG347" s="236">
        <v>0</v>
      </c>
      <c r="AH347" s="236" t="s">
        <v>358</v>
      </c>
      <c r="AI347" s="236" t="s">
        <v>133</v>
      </c>
      <c r="AJ347" s="212" t="s">
        <v>2244</v>
      </c>
      <c r="AK347" s="141" t="s">
        <v>665</v>
      </c>
      <c r="AL347" s="141" t="s">
        <v>665</v>
      </c>
      <c r="AM347" s="141" t="s">
        <v>693</v>
      </c>
      <c r="AN347" s="141" t="s">
        <v>1197</v>
      </c>
      <c r="AO347" s="246"/>
      <c r="AP347" s="246"/>
      <c r="AQ347" s="246"/>
      <c r="AR347" s="246"/>
      <c r="AS347" s="246"/>
      <c r="AT347" s="143"/>
      <c r="AU347" s="143"/>
      <c r="AV347" s="141"/>
      <c r="AW347" s="205"/>
      <c r="AX347" s="206"/>
      <c r="AY347" s="138"/>
      <c r="AZ347" s="138"/>
      <c r="BA347" s="138"/>
      <c r="BB347" s="138"/>
    </row>
    <row r="348" spans="1:54" s="213" customFormat="1" ht="30">
      <c r="A348" s="140" t="s">
        <v>6</v>
      </c>
      <c r="B348" s="129">
        <v>346</v>
      </c>
      <c r="C348" s="236" t="s">
        <v>931</v>
      </c>
      <c r="D348" s="236" t="s">
        <v>3095</v>
      </c>
      <c r="E348" s="241" t="s">
        <v>1230</v>
      </c>
      <c r="F348" s="241" t="s">
        <v>576</v>
      </c>
      <c r="G348" s="141" t="s">
        <v>665</v>
      </c>
      <c r="H348" s="169" t="s">
        <v>2271</v>
      </c>
      <c r="I348" s="169" t="s">
        <v>2272</v>
      </c>
      <c r="J348" s="141" t="s">
        <v>668</v>
      </c>
      <c r="K348" s="141" t="s">
        <v>668</v>
      </c>
      <c r="L348" s="141" t="s">
        <v>930</v>
      </c>
      <c r="M348" s="141" t="s">
        <v>930</v>
      </c>
      <c r="N348" s="141">
        <v>1000</v>
      </c>
      <c r="O348" s="141" t="s">
        <v>930</v>
      </c>
      <c r="P348" s="141" t="s">
        <v>930</v>
      </c>
      <c r="Q348" s="141">
        <v>8</v>
      </c>
      <c r="R348" s="141">
        <v>7</v>
      </c>
      <c r="S348" s="141">
        <v>11</v>
      </c>
      <c r="T348" s="236">
        <v>13</v>
      </c>
      <c r="U348" s="141" t="s">
        <v>88</v>
      </c>
      <c r="V348" s="141" t="s">
        <v>91</v>
      </c>
      <c r="W348" s="141" t="s">
        <v>193</v>
      </c>
      <c r="X348" s="141" t="s">
        <v>930</v>
      </c>
      <c r="Y348" s="141" t="s">
        <v>339</v>
      </c>
      <c r="Z348" s="141" t="s">
        <v>193</v>
      </c>
      <c r="AA348" s="141">
        <v>1E-3</v>
      </c>
      <c r="AB348" s="141" t="s">
        <v>665</v>
      </c>
      <c r="AC348" s="141" t="s">
        <v>665</v>
      </c>
      <c r="AD348" s="141" t="s">
        <v>665</v>
      </c>
      <c r="AE348" s="141" t="s">
        <v>665</v>
      </c>
      <c r="AF348" s="236">
        <v>0</v>
      </c>
      <c r="AG348" s="236">
        <v>0</v>
      </c>
      <c r="AH348" s="236" t="s">
        <v>358</v>
      </c>
      <c r="AI348" s="236" t="s">
        <v>133</v>
      </c>
      <c r="AJ348" s="212" t="s">
        <v>2244</v>
      </c>
      <c r="AK348" s="141" t="s">
        <v>2825</v>
      </c>
      <c r="AL348" s="141" t="s">
        <v>930</v>
      </c>
      <c r="AM348" s="143" t="s">
        <v>693</v>
      </c>
      <c r="AN348" s="143"/>
      <c r="AO348" s="143"/>
      <c r="AP348" s="143"/>
      <c r="AQ348" s="143"/>
      <c r="AR348" s="143"/>
      <c r="AS348" s="143"/>
      <c r="AT348" s="143"/>
      <c r="AU348" s="143"/>
      <c r="AV348" s="141"/>
      <c r="AW348" s="205"/>
      <c r="AX348" s="206"/>
      <c r="AY348" s="138"/>
      <c r="AZ348" s="138"/>
      <c r="BA348" s="138"/>
      <c r="BB348" s="138"/>
    </row>
    <row r="349" spans="1:54" s="213" customFormat="1" ht="30">
      <c r="A349" s="140" t="s">
        <v>6</v>
      </c>
      <c r="B349" s="129">
        <v>347</v>
      </c>
      <c r="C349" s="236" t="s">
        <v>931</v>
      </c>
      <c r="D349" s="236" t="s">
        <v>3095</v>
      </c>
      <c r="E349" s="241" t="s">
        <v>577</v>
      </c>
      <c r="F349" s="241" t="s">
        <v>578</v>
      </c>
      <c r="G349" s="141" t="s">
        <v>665</v>
      </c>
      <c r="H349" s="169" t="s">
        <v>2271</v>
      </c>
      <c r="I349" s="169" t="s">
        <v>2272</v>
      </c>
      <c r="J349" s="141" t="s">
        <v>668</v>
      </c>
      <c r="K349" s="141" t="s">
        <v>668</v>
      </c>
      <c r="L349" s="141" t="s">
        <v>930</v>
      </c>
      <c r="M349" s="141" t="s">
        <v>930</v>
      </c>
      <c r="N349" s="141">
        <v>1000</v>
      </c>
      <c r="O349" s="141" t="s">
        <v>930</v>
      </c>
      <c r="P349" s="141" t="s">
        <v>930</v>
      </c>
      <c r="Q349" s="141">
        <v>8</v>
      </c>
      <c r="R349" s="141">
        <v>23</v>
      </c>
      <c r="S349" s="141">
        <v>27</v>
      </c>
      <c r="T349" s="236">
        <v>13</v>
      </c>
      <c r="U349" s="141" t="s">
        <v>88</v>
      </c>
      <c r="V349" s="141" t="s">
        <v>91</v>
      </c>
      <c r="W349" s="141" t="s">
        <v>193</v>
      </c>
      <c r="X349" s="141" t="s">
        <v>930</v>
      </c>
      <c r="Y349" s="141" t="s">
        <v>339</v>
      </c>
      <c r="Z349" s="141" t="s">
        <v>193</v>
      </c>
      <c r="AA349" s="141">
        <v>1E-3</v>
      </c>
      <c r="AB349" s="141" t="s">
        <v>665</v>
      </c>
      <c r="AC349" s="141" t="s">
        <v>665</v>
      </c>
      <c r="AD349" s="141" t="s">
        <v>665</v>
      </c>
      <c r="AE349" s="141" t="s">
        <v>665</v>
      </c>
      <c r="AF349" s="236">
        <v>0</v>
      </c>
      <c r="AG349" s="236">
        <v>0</v>
      </c>
      <c r="AH349" s="236" t="s">
        <v>358</v>
      </c>
      <c r="AI349" s="236" t="s">
        <v>133</v>
      </c>
      <c r="AJ349" s="212" t="s">
        <v>2244</v>
      </c>
      <c r="AK349" s="141" t="s">
        <v>2825</v>
      </c>
      <c r="AL349" s="141" t="s">
        <v>930</v>
      </c>
      <c r="AM349" s="143" t="s">
        <v>693</v>
      </c>
      <c r="AN349" s="143"/>
      <c r="AO349" s="143"/>
      <c r="AP349" s="143"/>
      <c r="AQ349" s="143"/>
      <c r="AR349" s="143"/>
      <c r="AS349" s="143"/>
      <c r="AT349" s="143"/>
      <c r="AU349" s="143"/>
      <c r="AV349" s="141"/>
      <c r="AW349" s="205"/>
      <c r="AX349" s="206"/>
      <c r="AY349" s="138"/>
      <c r="AZ349" s="138"/>
      <c r="BA349" s="138"/>
      <c r="BB349" s="138"/>
    </row>
    <row r="350" spans="1:54" s="213" customFormat="1" ht="30">
      <c r="A350" s="140" t="s">
        <v>6</v>
      </c>
      <c r="B350" s="129">
        <v>348</v>
      </c>
      <c r="C350" s="236" t="s">
        <v>931</v>
      </c>
      <c r="D350" s="236" t="s">
        <v>3095</v>
      </c>
      <c r="E350" s="241" t="s">
        <v>579</v>
      </c>
      <c r="F350" s="241" t="s">
        <v>580</v>
      </c>
      <c r="G350" s="141" t="s">
        <v>665</v>
      </c>
      <c r="H350" s="169" t="s">
        <v>2271</v>
      </c>
      <c r="I350" s="169" t="s">
        <v>2272</v>
      </c>
      <c r="J350" s="141" t="s">
        <v>668</v>
      </c>
      <c r="K350" s="141" t="s">
        <v>668</v>
      </c>
      <c r="L350" s="141" t="s">
        <v>930</v>
      </c>
      <c r="M350" s="141" t="s">
        <v>930</v>
      </c>
      <c r="N350" s="141">
        <v>1000</v>
      </c>
      <c r="O350" s="141" t="s">
        <v>930</v>
      </c>
      <c r="P350" s="141" t="s">
        <v>930</v>
      </c>
      <c r="Q350" s="141">
        <v>8</v>
      </c>
      <c r="R350" s="141">
        <v>39</v>
      </c>
      <c r="S350" s="141">
        <v>43</v>
      </c>
      <c r="T350" s="236">
        <v>13</v>
      </c>
      <c r="U350" s="141" t="s">
        <v>88</v>
      </c>
      <c r="V350" s="141" t="s">
        <v>91</v>
      </c>
      <c r="W350" s="141" t="s">
        <v>193</v>
      </c>
      <c r="X350" s="141" t="s">
        <v>930</v>
      </c>
      <c r="Y350" s="141" t="s">
        <v>339</v>
      </c>
      <c r="Z350" s="141" t="s">
        <v>193</v>
      </c>
      <c r="AA350" s="141">
        <v>1E-3</v>
      </c>
      <c r="AB350" s="141" t="s">
        <v>665</v>
      </c>
      <c r="AC350" s="141" t="s">
        <v>665</v>
      </c>
      <c r="AD350" s="141" t="s">
        <v>665</v>
      </c>
      <c r="AE350" s="141" t="s">
        <v>665</v>
      </c>
      <c r="AF350" s="236">
        <v>0</v>
      </c>
      <c r="AG350" s="236">
        <v>0</v>
      </c>
      <c r="AH350" s="236" t="s">
        <v>358</v>
      </c>
      <c r="AI350" s="236" t="s">
        <v>133</v>
      </c>
      <c r="AJ350" s="212" t="s">
        <v>2244</v>
      </c>
      <c r="AK350" s="141" t="s">
        <v>2825</v>
      </c>
      <c r="AL350" s="141" t="s">
        <v>930</v>
      </c>
      <c r="AM350" s="143" t="s">
        <v>693</v>
      </c>
      <c r="AN350" s="143"/>
      <c r="AO350" s="143"/>
      <c r="AP350" s="143"/>
      <c r="AQ350" s="143"/>
      <c r="AR350" s="143"/>
      <c r="AS350" s="143"/>
      <c r="AT350" s="143"/>
      <c r="AU350" s="143"/>
      <c r="AV350" s="141"/>
      <c r="AW350" s="205"/>
      <c r="AX350" s="206"/>
      <c r="AY350" s="138"/>
      <c r="AZ350" s="138"/>
      <c r="BA350" s="138"/>
      <c r="BB350" s="138"/>
    </row>
    <row r="351" spans="1:54" s="213" customFormat="1" ht="30">
      <c r="A351" s="140" t="s">
        <v>6</v>
      </c>
      <c r="B351" s="129">
        <v>349</v>
      </c>
      <c r="C351" s="141" t="s">
        <v>937</v>
      </c>
      <c r="D351" s="236" t="s">
        <v>3095</v>
      </c>
      <c r="E351" s="241" t="s">
        <v>1235</v>
      </c>
      <c r="F351" s="241" t="s">
        <v>614</v>
      </c>
      <c r="G351" s="141" t="s">
        <v>665</v>
      </c>
      <c r="H351" s="169" t="s">
        <v>2271</v>
      </c>
      <c r="I351" s="169" t="s">
        <v>2272</v>
      </c>
      <c r="J351" s="129" t="s">
        <v>815</v>
      </c>
      <c r="K351" s="129" t="s">
        <v>815</v>
      </c>
      <c r="L351" s="129" t="s">
        <v>665</v>
      </c>
      <c r="M351" s="129" t="s">
        <v>665</v>
      </c>
      <c r="N351" s="141">
        <v>1000</v>
      </c>
      <c r="O351" s="141" t="s">
        <v>930</v>
      </c>
      <c r="P351" s="141" t="s">
        <v>665</v>
      </c>
      <c r="Q351" s="141">
        <v>8</v>
      </c>
      <c r="R351" s="141">
        <v>55</v>
      </c>
      <c r="S351" s="141">
        <v>59</v>
      </c>
      <c r="T351" s="236">
        <v>13</v>
      </c>
      <c r="U351" s="141" t="s">
        <v>670</v>
      </c>
      <c r="V351" s="141" t="s">
        <v>671</v>
      </c>
      <c r="W351" s="141" t="s">
        <v>665</v>
      </c>
      <c r="X351" s="141" t="s">
        <v>665</v>
      </c>
      <c r="Y351" s="141" t="s">
        <v>339</v>
      </c>
      <c r="Z351" s="141" t="s">
        <v>665</v>
      </c>
      <c r="AA351" s="141">
        <v>1E-3</v>
      </c>
      <c r="AB351" s="129" t="s">
        <v>665</v>
      </c>
      <c r="AC351" s="141" t="s">
        <v>665</v>
      </c>
      <c r="AD351" s="129" t="s">
        <v>665</v>
      </c>
      <c r="AE351" s="141" t="s">
        <v>665</v>
      </c>
      <c r="AF351" s="236">
        <v>0</v>
      </c>
      <c r="AG351" s="236">
        <v>0</v>
      </c>
      <c r="AH351" s="236" t="s">
        <v>358</v>
      </c>
      <c r="AI351" s="236" t="s">
        <v>133</v>
      </c>
      <c r="AJ351" s="212" t="s">
        <v>2244</v>
      </c>
      <c r="AK351" s="141" t="s">
        <v>2825</v>
      </c>
      <c r="AL351" s="141"/>
      <c r="AM351" s="143" t="s">
        <v>693</v>
      </c>
      <c r="AN351" s="143"/>
      <c r="AO351" s="143"/>
      <c r="AP351" s="143"/>
      <c r="AQ351" s="143"/>
      <c r="AR351" s="143"/>
      <c r="AS351" s="143"/>
      <c r="AT351" s="143"/>
      <c r="AU351" s="143"/>
      <c r="AV351" s="141"/>
      <c r="AW351" s="205"/>
      <c r="AX351" s="206"/>
      <c r="AY351" s="138"/>
      <c r="AZ351" s="138"/>
      <c r="BA351" s="138"/>
      <c r="BB351" s="138"/>
    </row>
    <row r="352" spans="1:54" s="213" customFormat="1" ht="30">
      <c r="A352" s="140" t="s">
        <v>6</v>
      </c>
      <c r="B352" s="129">
        <v>350</v>
      </c>
      <c r="C352" s="141" t="s">
        <v>937</v>
      </c>
      <c r="D352" s="236" t="s">
        <v>3095</v>
      </c>
      <c r="E352" s="241" t="s">
        <v>625</v>
      </c>
      <c r="F352" s="241" t="s">
        <v>615</v>
      </c>
      <c r="G352" s="141" t="s">
        <v>665</v>
      </c>
      <c r="H352" s="169" t="s">
        <v>2273</v>
      </c>
      <c r="I352" s="169" t="s">
        <v>2274</v>
      </c>
      <c r="J352" s="129" t="s">
        <v>815</v>
      </c>
      <c r="K352" s="129" t="s">
        <v>815</v>
      </c>
      <c r="L352" s="129" t="s">
        <v>665</v>
      </c>
      <c r="M352" s="129" t="s">
        <v>665</v>
      </c>
      <c r="N352" s="141">
        <v>1000</v>
      </c>
      <c r="O352" s="141" t="s">
        <v>930</v>
      </c>
      <c r="P352" s="141" t="s">
        <v>665</v>
      </c>
      <c r="Q352" s="141">
        <v>8</v>
      </c>
      <c r="R352" s="141">
        <v>7</v>
      </c>
      <c r="S352" s="141">
        <v>11</v>
      </c>
      <c r="T352" s="236">
        <v>13</v>
      </c>
      <c r="U352" s="141" t="s">
        <v>670</v>
      </c>
      <c r="V352" s="141" t="s">
        <v>671</v>
      </c>
      <c r="W352" s="141" t="s">
        <v>665</v>
      </c>
      <c r="X352" s="141" t="s">
        <v>665</v>
      </c>
      <c r="Y352" s="141" t="s">
        <v>339</v>
      </c>
      <c r="Z352" s="141" t="s">
        <v>665</v>
      </c>
      <c r="AA352" s="141">
        <v>1E-3</v>
      </c>
      <c r="AB352" s="129" t="s">
        <v>665</v>
      </c>
      <c r="AC352" s="141" t="s">
        <v>665</v>
      </c>
      <c r="AD352" s="129" t="s">
        <v>665</v>
      </c>
      <c r="AE352" s="141" t="s">
        <v>665</v>
      </c>
      <c r="AF352" s="236">
        <v>0</v>
      </c>
      <c r="AG352" s="236">
        <v>0</v>
      </c>
      <c r="AH352" s="236" t="s">
        <v>358</v>
      </c>
      <c r="AI352" s="236" t="s">
        <v>133</v>
      </c>
      <c r="AJ352" s="212" t="s">
        <v>2244</v>
      </c>
      <c r="AK352" s="141" t="s">
        <v>2825</v>
      </c>
      <c r="AL352" s="141"/>
      <c r="AM352" s="143" t="s">
        <v>693</v>
      </c>
      <c r="AN352" s="143"/>
      <c r="AO352" s="143"/>
      <c r="AP352" s="143"/>
      <c r="AQ352" s="143"/>
      <c r="AR352" s="143"/>
      <c r="AS352" s="143"/>
      <c r="AT352" s="160"/>
      <c r="AU352" s="143"/>
      <c r="AV352" s="141"/>
      <c r="AW352" s="205"/>
      <c r="AX352" s="206"/>
      <c r="AY352" s="138"/>
      <c r="AZ352" s="138"/>
      <c r="BA352" s="138"/>
      <c r="BB352" s="138"/>
    </row>
    <row r="353" spans="1:57" s="213" customFormat="1" ht="30">
      <c r="A353" s="140" t="s">
        <v>6</v>
      </c>
      <c r="B353" s="129">
        <v>351</v>
      </c>
      <c r="C353" s="141" t="s">
        <v>937</v>
      </c>
      <c r="D353" s="236" t="s">
        <v>3095</v>
      </c>
      <c r="E353" s="241" t="s">
        <v>626</v>
      </c>
      <c r="F353" s="241" t="s">
        <v>616</v>
      </c>
      <c r="G353" s="141" t="s">
        <v>665</v>
      </c>
      <c r="H353" s="169" t="s">
        <v>2273</v>
      </c>
      <c r="I353" s="169" t="s">
        <v>2274</v>
      </c>
      <c r="J353" s="129" t="s">
        <v>815</v>
      </c>
      <c r="K353" s="129" t="s">
        <v>815</v>
      </c>
      <c r="L353" s="129" t="s">
        <v>665</v>
      </c>
      <c r="M353" s="129" t="s">
        <v>665</v>
      </c>
      <c r="N353" s="141">
        <v>1000</v>
      </c>
      <c r="O353" s="141" t="s">
        <v>930</v>
      </c>
      <c r="P353" s="141" t="s">
        <v>665</v>
      </c>
      <c r="Q353" s="141">
        <v>8</v>
      </c>
      <c r="R353" s="141">
        <v>23</v>
      </c>
      <c r="S353" s="141">
        <v>27</v>
      </c>
      <c r="T353" s="236">
        <v>13</v>
      </c>
      <c r="U353" s="141" t="s">
        <v>670</v>
      </c>
      <c r="V353" s="141" t="s">
        <v>671</v>
      </c>
      <c r="W353" s="141" t="s">
        <v>665</v>
      </c>
      <c r="X353" s="141" t="s">
        <v>665</v>
      </c>
      <c r="Y353" s="141" t="s">
        <v>339</v>
      </c>
      <c r="Z353" s="141" t="s">
        <v>665</v>
      </c>
      <c r="AA353" s="141">
        <v>1E-3</v>
      </c>
      <c r="AB353" s="129" t="s">
        <v>665</v>
      </c>
      <c r="AC353" s="141" t="s">
        <v>665</v>
      </c>
      <c r="AD353" s="129" t="s">
        <v>665</v>
      </c>
      <c r="AE353" s="141" t="s">
        <v>665</v>
      </c>
      <c r="AF353" s="236">
        <v>0</v>
      </c>
      <c r="AG353" s="236">
        <v>0</v>
      </c>
      <c r="AH353" s="236" t="s">
        <v>358</v>
      </c>
      <c r="AI353" s="236" t="s">
        <v>133</v>
      </c>
      <c r="AJ353" s="212" t="s">
        <v>2244</v>
      </c>
      <c r="AK353" s="141" t="s">
        <v>2825</v>
      </c>
      <c r="AL353" s="141"/>
      <c r="AM353" s="143" t="s">
        <v>693</v>
      </c>
      <c r="AN353" s="143"/>
      <c r="AO353" s="143"/>
      <c r="AP353" s="143"/>
      <c r="AQ353" s="143"/>
      <c r="AR353" s="143"/>
      <c r="AS353" s="143"/>
      <c r="AT353" s="143"/>
      <c r="AU353" s="143"/>
      <c r="AV353" s="141"/>
      <c r="AW353" s="205"/>
      <c r="AX353" s="206"/>
      <c r="AY353" s="138"/>
      <c r="AZ353" s="138"/>
      <c r="BA353" s="138"/>
      <c r="BB353" s="138"/>
    </row>
    <row r="354" spans="1:57" s="213" customFormat="1" ht="30">
      <c r="A354" s="140" t="s">
        <v>6</v>
      </c>
      <c r="B354" s="129">
        <v>352</v>
      </c>
      <c r="C354" s="141" t="s">
        <v>937</v>
      </c>
      <c r="D354" s="236" t="s">
        <v>3095</v>
      </c>
      <c r="E354" s="241" t="s">
        <v>627</v>
      </c>
      <c r="F354" s="241" t="s">
        <v>617</v>
      </c>
      <c r="G354" s="141" t="s">
        <v>665</v>
      </c>
      <c r="H354" s="169" t="s">
        <v>2273</v>
      </c>
      <c r="I354" s="169" t="s">
        <v>2274</v>
      </c>
      <c r="J354" s="129" t="s">
        <v>815</v>
      </c>
      <c r="K354" s="129" t="s">
        <v>815</v>
      </c>
      <c r="L354" s="129" t="s">
        <v>665</v>
      </c>
      <c r="M354" s="129" t="s">
        <v>665</v>
      </c>
      <c r="N354" s="141">
        <v>1000</v>
      </c>
      <c r="O354" s="141" t="s">
        <v>930</v>
      </c>
      <c r="P354" s="141" t="s">
        <v>665</v>
      </c>
      <c r="Q354" s="141">
        <v>8</v>
      </c>
      <c r="R354" s="141">
        <v>39</v>
      </c>
      <c r="S354" s="141">
        <v>43</v>
      </c>
      <c r="T354" s="236">
        <v>13</v>
      </c>
      <c r="U354" s="141" t="s">
        <v>670</v>
      </c>
      <c r="V354" s="141" t="s">
        <v>671</v>
      </c>
      <c r="W354" s="141" t="s">
        <v>665</v>
      </c>
      <c r="X354" s="141" t="s">
        <v>665</v>
      </c>
      <c r="Y354" s="141" t="s">
        <v>339</v>
      </c>
      <c r="Z354" s="141" t="s">
        <v>665</v>
      </c>
      <c r="AA354" s="141">
        <v>1E-3</v>
      </c>
      <c r="AB354" s="129" t="s">
        <v>665</v>
      </c>
      <c r="AC354" s="141" t="s">
        <v>665</v>
      </c>
      <c r="AD354" s="129" t="s">
        <v>665</v>
      </c>
      <c r="AE354" s="141" t="s">
        <v>665</v>
      </c>
      <c r="AF354" s="236">
        <v>0</v>
      </c>
      <c r="AG354" s="236">
        <v>0</v>
      </c>
      <c r="AH354" s="236" t="s">
        <v>358</v>
      </c>
      <c r="AI354" s="236" t="s">
        <v>133</v>
      </c>
      <c r="AJ354" s="212" t="s">
        <v>2244</v>
      </c>
      <c r="AK354" s="141" t="s">
        <v>2825</v>
      </c>
      <c r="AL354" s="141"/>
      <c r="AM354" s="143" t="s">
        <v>2631</v>
      </c>
      <c r="AN354" s="143"/>
      <c r="AO354" s="143"/>
      <c r="AP354" s="143"/>
      <c r="AQ354" s="143"/>
      <c r="AR354" s="143"/>
      <c r="AS354" s="143"/>
      <c r="AT354" s="143"/>
      <c r="AU354" s="143"/>
      <c r="AV354" s="141"/>
      <c r="AW354" s="205"/>
      <c r="AX354" s="206"/>
      <c r="AY354" s="138"/>
      <c r="AZ354" s="138"/>
      <c r="BA354" s="138"/>
      <c r="BB354" s="138"/>
    </row>
    <row r="355" spans="1:57" s="213" customFormat="1" ht="30">
      <c r="A355" s="140" t="s">
        <v>6</v>
      </c>
      <c r="B355" s="129">
        <v>353</v>
      </c>
      <c r="C355" s="141" t="s">
        <v>937</v>
      </c>
      <c r="D355" s="236" t="s">
        <v>3095</v>
      </c>
      <c r="E355" s="241" t="s">
        <v>628</v>
      </c>
      <c r="F355" s="241" t="s">
        <v>618</v>
      </c>
      <c r="G355" s="141" t="s">
        <v>665</v>
      </c>
      <c r="H355" s="169" t="s">
        <v>2273</v>
      </c>
      <c r="I355" s="169" t="s">
        <v>2274</v>
      </c>
      <c r="J355" s="129" t="s">
        <v>815</v>
      </c>
      <c r="K355" s="129" t="s">
        <v>815</v>
      </c>
      <c r="L355" s="129" t="s">
        <v>665</v>
      </c>
      <c r="M355" s="129" t="s">
        <v>665</v>
      </c>
      <c r="N355" s="141">
        <v>1000</v>
      </c>
      <c r="O355" s="141" t="s">
        <v>930</v>
      </c>
      <c r="P355" s="141" t="s">
        <v>665</v>
      </c>
      <c r="Q355" s="141">
        <v>8</v>
      </c>
      <c r="R355" s="141">
        <v>55</v>
      </c>
      <c r="S355" s="141">
        <v>59</v>
      </c>
      <c r="T355" s="236">
        <v>13</v>
      </c>
      <c r="U355" s="141" t="s">
        <v>670</v>
      </c>
      <c r="V355" s="141" t="s">
        <v>671</v>
      </c>
      <c r="W355" s="141" t="s">
        <v>665</v>
      </c>
      <c r="X355" s="141" t="s">
        <v>665</v>
      </c>
      <c r="Y355" s="141" t="s">
        <v>339</v>
      </c>
      <c r="Z355" s="141" t="s">
        <v>665</v>
      </c>
      <c r="AA355" s="141">
        <v>1E-3</v>
      </c>
      <c r="AB355" s="129" t="s">
        <v>665</v>
      </c>
      <c r="AC355" s="141" t="s">
        <v>665</v>
      </c>
      <c r="AD355" s="129" t="s">
        <v>665</v>
      </c>
      <c r="AE355" s="141" t="s">
        <v>665</v>
      </c>
      <c r="AF355" s="236">
        <v>0</v>
      </c>
      <c r="AG355" s="236">
        <v>0</v>
      </c>
      <c r="AH355" s="236" t="s">
        <v>358</v>
      </c>
      <c r="AI355" s="236" t="s">
        <v>133</v>
      </c>
      <c r="AJ355" s="212" t="s">
        <v>2244</v>
      </c>
      <c r="AK355" s="141" t="s">
        <v>2825</v>
      </c>
      <c r="AL355" s="141"/>
      <c r="AM355" s="143" t="s">
        <v>2631</v>
      </c>
      <c r="AN355" s="143"/>
      <c r="AO355" s="143"/>
      <c r="AP355" s="143"/>
      <c r="AQ355" s="143"/>
      <c r="AR355" s="143"/>
      <c r="AS355" s="143"/>
      <c r="AT355" s="143"/>
      <c r="AU355" s="143"/>
      <c r="AV355" s="141"/>
      <c r="AW355" s="205"/>
      <c r="AX355" s="206"/>
      <c r="AY355" s="138"/>
      <c r="AZ355" s="138"/>
      <c r="BA355" s="138"/>
      <c r="BB355" s="138"/>
    </row>
    <row r="356" spans="1:57" s="213" customFormat="1" ht="30">
      <c r="A356" s="140" t="s">
        <v>6</v>
      </c>
      <c r="B356" s="129">
        <v>354</v>
      </c>
      <c r="C356" s="141" t="s">
        <v>937</v>
      </c>
      <c r="D356" s="236" t="s">
        <v>3095</v>
      </c>
      <c r="E356" s="241" t="s">
        <v>629</v>
      </c>
      <c r="F356" s="241" t="s">
        <v>619</v>
      </c>
      <c r="G356" s="141" t="s">
        <v>665</v>
      </c>
      <c r="H356" s="169" t="s">
        <v>2275</v>
      </c>
      <c r="I356" s="169" t="s">
        <v>2276</v>
      </c>
      <c r="J356" s="129" t="s">
        <v>815</v>
      </c>
      <c r="K356" s="129" t="s">
        <v>815</v>
      </c>
      <c r="L356" s="129" t="s">
        <v>665</v>
      </c>
      <c r="M356" s="129" t="s">
        <v>665</v>
      </c>
      <c r="N356" s="141">
        <v>1000</v>
      </c>
      <c r="O356" s="141" t="s">
        <v>930</v>
      </c>
      <c r="P356" s="141" t="s">
        <v>665</v>
      </c>
      <c r="Q356" s="141">
        <v>8</v>
      </c>
      <c r="R356" s="141">
        <v>7</v>
      </c>
      <c r="S356" s="141">
        <v>11</v>
      </c>
      <c r="T356" s="236">
        <v>13</v>
      </c>
      <c r="U356" s="141" t="s">
        <v>670</v>
      </c>
      <c r="V356" s="141" t="s">
        <v>671</v>
      </c>
      <c r="W356" s="141" t="s">
        <v>665</v>
      </c>
      <c r="X356" s="141" t="s">
        <v>665</v>
      </c>
      <c r="Y356" s="141" t="s">
        <v>339</v>
      </c>
      <c r="Z356" s="141" t="s">
        <v>665</v>
      </c>
      <c r="AA356" s="141">
        <v>1E-3</v>
      </c>
      <c r="AB356" s="129" t="s">
        <v>665</v>
      </c>
      <c r="AC356" s="141" t="s">
        <v>665</v>
      </c>
      <c r="AD356" s="129" t="s">
        <v>665</v>
      </c>
      <c r="AE356" s="141" t="s">
        <v>665</v>
      </c>
      <c r="AF356" s="236">
        <v>0</v>
      </c>
      <c r="AG356" s="236">
        <v>0</v>
      </c>
      <c r="AH356" s="236" t="s">
        <v>358</v>
      </c>
      <c r="AI356" s="236" t="s">
        <v>133</v>
      </c>
      <c r="AJ356" s="212" t="s">
        <v>2244</v>
      </c>
      <c r="AK356" s="141" t="s">
        <v>2825</v>
      </c>
      <c r="AL356" s="141"/>
      <c r="AM356" s="143" t="s">
        <v>693</v>
      </c>
      <c r="AN356" s="143"/>
      <c r="AO356" s="143"/>
      <c r="AP356" s="143"/>
      <c r="AQ356" s="143"/>
      <c r="AR356" s="143"/>
      <c r="AS356" s="143"/>
      <c r="AT356" s="143"/>
      <c r="AU356" s="143"/>
      <c r="AV356" s="141"/>
      <c r="AW356" s="205"/>
      <c r="AX356" s="206"/>
      <c r="AY356" s="138"/>
      <c r="AZ356" s="138"/>
      <c r="BA356" s="138"/>
      <c r="BB356" s="138"/>
    </row>
    <row r="357" spans="1:57" s="213" customFormat="1" ht="30">
      <c r="A357" s="140" t="s">
        <v>6</v>
      </c>
      <c r="B357" s="129">
        <v>355</v>
      </c>
      <c r="C357" s="141" t="s">
        <v>937</v>
      </c>
      <c r="D357" s="236" t="s">
        <v>3095</v>
      </c>
      <c r="E357" s="241" t="s">
        <v>630</v>
      </c>
      <c r="F357" s="241" t="s">
        <v>620</v>
      </c>
      <c r="G357" s="141" t="s">
        <v>665</v>
      </c>
      <c r="H357" s="169" t="s">
        <v>2275</v>
      </c>
      <c r="I357" s="169" t="s">
        <v>2276</v>
      </c>
      <c r="J357" s="129" t="s">
        <v>815</v>
      </c>
      <c r="K357" s="129" t="s">
        <v>815</v>
      </c>
      <c r="L357" s="129" t="s">
        <v>665</v>
      </c>
      <c r="M357" s="129" t="s">
        <v>665</v>
      </c>
      <c r="N357" s="141">
        <v>1000</v>
      </c>
      <c r="O357" s="141" t="s">
        <v>930</v>
      </c>
      <c r="P357" s="141" t="s">
        <v>665</v>
      </c>
      <c r="Q357" s="141">
        <v>8</v>
      </c>
      <c r="R357" s="141">
        <v>23</v>
      </c>
      <c r="S357" s="141">
        <v>27</v>
      </c>
      <c r="T357" s="236">
        <v>13</v>
      </c>
      <c r="U357" s="141" t="s">
        <v>670</v>
      </c>
      <c r="V357" s="141" t="s">
        <v>671</v>
      </c>
      <c r="W357" s="141" t="s">
        <v>665</v>
      </c>
      <c r="X357" s="141" t="s">
        <v>665</v>
      </c>
      <c r="Y357" s="141" t="s">
        <v>339</v>
      </c>
      <c r="Z357" s="141" t="s">
        <v>665</v>
      </c>
      <c r="AA357" s="141">
        <v>1E-3</v>
      </c>
      <c r="AB357" s="129" t="s">
        <v>665</v>
      </c>
      <c r="AC357" s="141" t="s">
        <v>665</v>
      </c>
      <c r="AD357" s="129" t="s">
        <v>665</v>
      </c>
      <c r="AE357" s="141" t="s">
        <v>665</v>
      </c>
      <c r="AF357" s="236">
        <v>0</v>
      </c>
      <c r="AG357" s="236">
        <v>0</v>
      </c>
      <c r="AH357" s="236" t="s">
        <v>358</v>
      </c>
      <c r="AI357" s="236" t="s">
        <v>133</v>
      </c>
      <c r="AJ357" s="212" t="s">
        <v>2244</v>
      </c>
      <c r="AK357" s="141" t="s">
        <v>2825</v>
      </c>
      <c r="AL357" s="141"/>
      <c r="AM357" s="143" t="s">
        <v>2631</v>
      </c>
      <c r="AN357" s="143"/>
      <c r="AO357" s="143"/>
      <c r="AP357" s="143"/>
      <c r="AQ357" s="143"/>
      <c r="AR357" s="143"/>
      <c r="AS357" s="143"/>
      <c r="AT357" s="143"/>
      <c r="AU357" s="143"/>
      <c r="AV357" s="141"/>
      <c r="AW357" s="205"/>
      <c r="AX357" s="206"/>
      <c r="AY357" s="138"/>
      <c r="AZ357" s="138"/>
      <c r="BA357" s="138"/>
      <c r="BB357" s="138"/>
    </row>
    <row r="358" spans="1:57" s="213" customFormat="1" ht="30">
      <c r="A358" s="140" t="s">
        <v>6</v>
      </c>
      <c r="B358" s="129">
        <v>356</v>
      </c>
      <c r="C358" s="141" t="s">
        <v>937</v>
      </c>
      <c r="D358" s="236" t="s">
        <v>3095</v>
      </c>
      <c r="E358" s="241" t="s">
        <v>631</v>
      </c>
      <c r="F358" s="241" t="s">
        <v>621</v>
      </c>
      <c r="G358" s="141" t="s">
        <v>665</v>
      </c>
      <c r="H358" s="169" t="s">
        <v>2275</v>
      </c>
      <c r="I358" s="169" t="s">
        <v>2276</v>
      </c>
      <c r="J358" s="129" t="s">
        <v>815</v>
      </c>
      <c r="K358" s="129" t="s">
        <v>815</v>
      </c>
      <c r="L358" s="129" t="s">
        <v>665</v>
      </c>
      <c r="M358" s="129" t="s">
        <v>665</v>
      </c>
      <c r="N358" s="141">
        <v>1000</v>
      </c>
      <c r="O358" s="141" t="s">
        <v>930</v>
      </c>
      <c r="P358" s="141" t="s">
        <v>665</v>
      </c>
      <c r="Q358" s="141">
        <v>8</v>
      </c>
      <c r="R358" s="141">
        <v>39</v>
      </c>
      <c r="S358" s="141">
        <v>43</v>
      </c>
      <c r="T358" s="236">
        <v>13</v>
      </c>
      <c r="U358" s="141" t="s">
        <v>670</v>
      </c>
      <c r="V358" s="141" t="s">
        <v>671</v>
      </c>
      <c r="W358" s="141" t="s">
        <v>665</v>
      </c>
      <c r="X358" s="141" t="s">
        <v>665</v>
      </c>
      <c r="Y358" s="141" t="s">
        <v>339</v>
      </c>
      <c r="Z358" s="141" t="s">
        <v>665</v>
      </c>
      <c r="AA358" s="141">
        <v>1E-3</v>
      </c>
      <c r="AB358" s="129" t="s">
        <v>665</v>
      </c>
      <c r="AC358" s="141" t="s">
        <v>665</v>
      </c>
      <c r="AD358" s="129" t="s">
        <v>665</v>
      </c>
      <c r="AE358" s="141" t="s">
        <v>665</v>
      </c>
      <c r="AF358" s="236">
        <v>0</v>
      </c>
      <c r="AG358" s="236">
        <v>0</v>
      </c>
      <c r="AH358" s="236" t="s">
        <v>358</v>
      </c>
      <c r="AI358" s="236" t="s">
        <v>133</v>
      </c>
      <c r="AJ358" s="212" t="s">
        <v>2244</v>
      </c>
      <c r="AK358" s="141" t="s">
        <v>2825</v>
      </c>
      <c r="AL358" s="141"/>
      <c r="AM358" s="143" t="s">
        <v>2631</v>
      </c>
      <c r="AN358" s="143"/>
      <c r="AO358" s="143"/>
      <c r="AP358" s="143"/>
      <c r="AQ358" s="143"/>
      <c r="AR358" s="143"/>
      <c r="AS358" s="143"/>
      <c r="AT358" s="143"/>
      <c r="AU358" s="143"/>
      <c r="AV358" s="141"/>
      <c r="AW358" s="205"/>
      <c r="AX358" s="206"/>
      <c r="AY358" s="138"/>
      <c r="AZ358" s="138"/>
      <c r="BA358" s="138"/>
      <c r="BB358" s="138"/>
    </row>
    <row r="359" spans="1:57" s="213" customFormat="1" ht="30">
      <c r="A359" s="140" t="s">
        <v>6</v>
      </c>
      <c r="B359" s="129">
        <v>357</v>
      </c>
      <c r="C359" s="141" t="s">
        <v>937</v>
      </c>
      <c r="D359" s="236" t="s">
        <v>3095</v>
      </c>
      <c r="E359" s="241" t="s">
        <v>632</v>
      </c>
      <c r="F359" s="241" t="s">
        <v>622</v>
      </c>
      <c r="G359" s="141" t="s">
        <v>665</v>
      </c>
      <c r="H359" s="169" t="s">
        <v>2275</v>
      </c>
      <c r="I359" s="169" t="s">
        <v>2276</v>
      </c>
      <c r="J359" s="129" t="s">
        <v>815</v>
      </c>
      <c r="K359" s="129" t="s">
        <v>815</v>
      </c>
      <c r="L359" s="129" t="s">
        <v>665</v>
      </c>
      <c r="M359" s="129" t="s">
        <v>665</v>
      </c>
      <c r="N359" s="141">
        <v>1000</v>
      </c>
      <c r="O359" s="141" t="s">
        <v>930</v>
      </c>
      <c r="P359" s="141" t="s">
        <v>665</v>
      </c>
      <c r="Q359" s="141">
        <v>8</v>
      </c>
      <c r="R359" s="141">
        <v>55</v>
      </c>
      <c r="S359" s="141">
        <v>59</v>
      </c>
      <c r="T359" s="236">
        <v>13</v>
      </c>
      <c r="U359" s="141" t="s">
        <v>670</v>
      </c>
      <c r="V359" s="141" t="s">
        <v>671</v>
      </c>
      <c r="W359" s="141" t="s">
        <v>665</v>
      </c>
      <c r="X359" s="141" t="s">
        <v>665</v>
      </c>
      <c r="Y359" s="141" t="s">
        <v>339</v>
      </c>
      <c r="Z359" s="141" t="s">
        <v>665</v>
      </c>
      <c r="AA359" s="141">
        <v>1E-3</v>
      </c>
      <c r="AB359" s="129" t="s">
        <v>665</v>
      </c>
      <c r="AC359" s="141" t="s">
        <v>665</v>
      </c>
      <c r="AD359" s="129" t="s">
        <v>665</v>
      </c>
      <c r="AE359" s="141" t="s">
        <v>665</v>
      </c>
      <c r="AF359" s="236">
        <v>0</v>
      </c>
      <c r="AG359" s="236">
        <v>0</v>
      </c>
      <c r="AH359" s="236" t="s">
        <v>358</v>
      </c>
      <c r="AI359" s="236" t="s">
        <v>133</v>
      </c>
      <c r="AJ359" s="212" t="s">
        <v>2244</v>
      </c>
      <c r="AK359" s="141" t="s">
        <v>2825</v>
      </c>
      <c r="AL359" s="141"/>
      <c r="AM359" s="143" t="s">
        <v>693</v>
      </c>
      <c r="AN359" s="143"/>
      <c r="AO359" s="143"/>
      <c r="AP359" s="143"/>
      <c r="AQ359" s="143"/>
      <c r="AR359" s="143"/>
      <c r="AS359" s="143"/>
      <c r="AT359" s="143"/>
      <c r="AU359" s="143"/>
      <c r="AV359" s="141"/>
      <c r="AW359" s="205"/>
      <c r="AX359" s="206"/>
      <c r="AY359" s="138"/>
      <c r="AZ359" s="138"/>
      <c r="BA359" s="138"/>
      <c r="BB359" s="138"/>
    </row>
    <row r="360" spans="1:57" s="213" customFormat="1" ht="30">
      <c r="A360" s="140" t="s">
        <v>6</v>
      </c>
      <c r="B360" s="129">
        <v>358</v>
      </c>
      <c r="C360" s="141" t="s">
        <v>937</v>
      </c>
      <c r="D360" s="236" t="s">
        <v>3095</v>
      </c>
      <c r="E360" s="241" t="s">
        <v>633</v>
      </c>
      <c r="F360" s="241" t="s">
        <v>623</v>
      </c>
      <c r="G360" s="141" t="s">
        <v>665</v>
      </c>
      <c r="H360" s="169" t="s">
        <v>2277</v>
      </c>
      <c r="I360" s="169" t="s">
        <v>2278</v>
      </c>
      <c r="J360" s="129" t="s">
        <v>815</v>
      </c>
      <c r="K360" s="129" t="s">
        <v>815</v>
      </c>
      <c r="L360" s="129" t="s">
        <v>665</v>
      </c>
      <c r="M360" s="129" t="s">
        <v>665</v>
      </c>
      <c r="N360" s="141">
        <v>1000</v>
      </c>
      <c r="O360" s="141" t="s">
        <v>930</v>
      </c>
      <c r="P360" s="141" t="s">
        <v>665</v>
      </c>
      <c r="Q360" s="141">
        <v>8</v>
      </c>
      <c r="R360" s="141">
        <v>7</v>
      </c>
      <c r="S360" s="141">
        <v>11</v>
      </c>
      <c r="T360" s="236">
        <v>13</v>
      </c>
      <c r="U360" s="141" t="s">
        <v>670</v>
      </c>
      <c r="V360" s="141" t="s">
        <v>671</v>
      </c>
      <c r="W360" s="141" t="s">
        <v>665</v>
      </c>
      <c r="X360" s="141" t="s">
        <v>665</v>
      </c>
      <c r="Y360" s="141" t="s">
        <v>339</v>
      </c>
      <c r="Z360" s="141" t="s">
        <v>665</v>
      </c>
      <c r="AA360" s="141">
        <v>1E-3</v>
      </c>
      <c r="AB360" s="129" t="s">
        <v>665</v>
      </c>
      <c r="AC360" s="141" t="s">
        <v>665</v>
      </c>
      <c r="AD360" s="129" t="s">
        <v>665</v>
      </c>
      <c r="AE360" s="141" t="s">
        <v>665</v>
      </c>
      <c r="AF360" s="236">
        <v>0</v>
      </c>
      <c r="AG360" s="236">
        <v>0</v>
      </c>
      <c r="AH360" s="236" t="s">
        <v>358</v>
      </c>
      <c r="AI360" s="236" t="s">
        <v>133</v>
      </c>
      <c r="AJ360" s="212" t="s">
        <v>2244</v>
      </c>
      <c r="AK360" s="141" t="s">
        <v>2825</v>
      </c>
      <c r="AL360" s="141"/>
      <c r="AM360" s="143" t="s">
        <v>2631</v>
      </c>
      <c r="AN360" s="143"/>
      <c r="AO360" s="143"/>
      <c r="AP360" s="143"/>
      <c r="AQ360" s="143"/>
      <c r="AR360" s="143"/>
      <c r="AS360" s="143"/>
      <c r="AT360" s="143"/>
      <c r="AU360" s="143"/>
      <c r="AV360" s="141"/>
      <c r="AW360" s="205"/>
      <c r="AX360" s="206"/>
      <c r="AY360" s="138"/>
      <c r="AZ360" s="138"/>
      <c r="BA360" s="138"/>
      <c r="BB360" s="138"/>
    </row>
    <row r="361" spans="1:57" s="213" customFormat="1" ht="30">
      <c r="A361" s="140" t="s">
        <v>6</v>
      </c>
      <c r="B361" s="129">
        <v>359</v>
      </c>
      <c r="C361" s="141" t="s">
        <v>937</v>
      </c>
      <c r="D361" s="236" t="s">
        <v>3095</v>
      </c>
      <c r="E361" s="241" t="s">
        <v>634</v>
      </c>
      <c r="F361" s="241" t="s">
        <v>624</v>
      </c>
      <c r="G361" s="141" t="s">
        <v>665</v>
      </c>
      <c r="H361" s="169" t="s">
        <v>2277</v>
      </c>
      <c r="I361" s="169" t="s">
        <v>2278</v>
      </c>
      <c r="J361" s="129" t="s">
        <v>815</v>
      </c>
      <c r="K361" s="129" t="s">
        <v>815</v>
      </c>
      <c r="L361" s="129" t="s">
        <v>665</v>
      </c>
      <c r="M361" s="129" t="s">
        <v>665</v>
      </c>
      <c r="N361" s="141">
        <v>1000</v>
      </c>
      <c r="O361" s="141" t="s">
        <v>930</v>
      </c>
      <c r="P361" s="141" t="s">
        <v>665</v>
      </c>
      <c r="Q361" s="141">
        <v>8</v>
      </c>
      <c r="R361" s="141">
        <v>23</v>
      </c>
      <c r="S361" s="141">
        <v>27</v>
      </c>
      <c r="T361" s="236">
        <v>13</v>
      </c>
      <c r="U361" s="141" t="s">
        <v>670</v>
      </c>
      <c r="V361" s="141" t="s">
        <v>671</v>
      </c>
      <c r="W361" s="141" t="s">
        <v>665</v>
      </c>
      <c r="X361" s="141" t="s">
        <v>665</v>
      </c>
      <c r="Y361" s="141" t="s">
        <v>339</v>
      </c>
      <c r="Z361" s="141" t="s">
        <v>665</v>
      </c>
      <c r="AA361" s="141">
        <v>1E-3</v>
      </c>
      <c r="AB361" s="129" t="s">
        <v>665</v>
      </c>
      <c r="AC361" s="141" t="s">
        <v>665</v>
      </c>
      <c r="AD361" s="129" t="s">
        <v>665</v>
      </c>
      <c r="AE361" s="141" t="s">
        <v>665</v>
      </c>
      <c r="AF361" s="236">
        <v>0</v>
      </c>
      <c r="AG361" s="236">
        <v>0</v>
      </c>
      <c r="AH361" s="236" t="s">
        <v>358</v>
      </c>
      <c r="AI361" s="236" t="s">
        <v>133</v>
      </c>
      <c r="AJ361" s="212" t="s">
        <v>2244</v>
      </c>
      <c r="AK361" s="141" t="s">
        <v>2825</v>
      </c>
      <c r="AL361" s="141"/>
      <c r="AM361" s="143" t="s">
        <v>693</v>
      </c>
      <c r="AN361" s="143"/>
      <c r="AO361" s="143"/>
      <c r="AP361" s="143"/>
      <c r="AQ361" s="143"/>
      <c r="AR361" s="143"/>
      <c r="AS361" s="143"/>
      <c r="AT361" s="143"/>
      <c r="AU361" s="143"/>
      <c r="AV361" s="141"/>
      <c r="AW361" s="205"/>
      <c r="AX361" s="206"/>
      <c r="AY361" s="138"/>
      <c r="AZ361" s="138"/>
      <c r="BA361" s="138"/>
      <c r="BB361" s="138"/>
    </row>
    <row r="362" spans="1:57" s="139" customFormat="1" ht="44">
      <c r="A362" s="140" t="s">
        <v>6</v>
      </c>
      <c r="B362" s="129">
        <v>360</v>
      </c>
      <c r="C362" s="129" t="s">
        <v>1095</v>
      </c>
      <c r="D362" s="129" t="s">
        <v>3127</v>
      </c>
      <c r="E362" s="141" t="s">
        <v>1256</v>
      </c>
      <c r="F362" s="141" t="s">
        <v>968</v>
      </c>
      <c r="G362" s="141" t="s">
        <v>684</v>
      </c>
      <c r="H362" s="141" t="s">
        <v>1257</v>
      </c>
      <c r="I362" s="141" t="s">
        <v>1258</v>
      </c>
      <c r="J362" s="129" t="s">
        <v>192</v>
      </c>
      <c r="K362" s="129" t="s">
        <v>192</v>
      </c>
      <c r="L362" s="129" t="s">
        <v>725</v>
      </c>
      <c r="M362" s="129" t="s">
        <v>725</v>
      </c>
      <c r="N362" s="129">
        <v>200</v>
      </c>
      <c r="O362" s="129" t="s">
        <v>725</v>
      </c>
      <c r="P362" s="129">
        <v>200</v>
      </c>
      <c r="Q362" s="141">
        <v>8</v>
      </c>
      <c r="R362" s="141">
        <v>7</v>
      </c>
      <c r="S362" s="141">
        <v>0</v>
      </c>
      <c r="T362" s="141">
        <v>8</v>
      </c>
      <c r="U362" s="141" t="s">
        <v>726</v>
      </c>
      <c r="V362" s="141" t="s">
        <v>727</v>
      </c>
      <c r="W362" s="141" t="s">
        <v>684</v>
      </c>
      <c r="X362" s="141" t="s">
        <v>684</v>
      </c>
      <c r="Y362" s="141" t="s">
        <v>874</v>
      </c>
      <c r="Z362" s="129" t="s">
        <v>194</v>
      </c>
      <c r="AA362" s="141">
        <v>1</v>
      </c>
      <c r="AB362" s="141" t="s">
        <v>684</v>
      </c>
      <c r="AC362" s="141" t="s">
        <v>684</v>
      </c>
      <c r="AD362" s="141" t="s">
        <v>684</v>
      </c>
      <c r="AE362" s="141" t="s">
        <v>684</v>
      </c>
      <c r="AF362" s="141">
        <v>0</v>
      </c>
      <c r="AG362" s="141">
        <v>0</v>
      </c>
      <c r="AH362" s="141">
        <v>255</v>
      </c>
      <c r="AI362" s="129" t="s">
        <v>875</v>
      </c>
      <c r="AJ362" s="159" t="s">
        <v>2121</v>
      </c>
      <c r="AK362" s="141" t="s">
        <v>684</v>
      </c>
      <c r="AL362" s="141" t="s">
        <v>684</v>
      </c>
      <c r="AM362" s="143"/>
      <c r="AN362" s="143" t="s">
        <v>685</v>
      </c>
      <c r="AO362" s="143" t="s">
        <v>685</v>
      </c>
      <c r="AP362" s="143"/>
      <c r="AQ362" s="143"/>
      <c r="AR362" s="143"/>
      <c r="AS362" s="143"/>
      <c r="AT362" s="143"/>
      <c r="AU362" s="143"/>
      <c r="AV362" s="141"/>
      <c r="AW362" s="205"/>
      <c r="AX362" s="206"/>
      <c r="AY362" s="138"/>
      <c r="AZ362" s="138"/>
      <c r="BA362" s="138"/>
      <c r="BB362" s="138"/>
      <c r="BC362" s="138"/>
      <c r="BD362" s="138"/>
      <c r="BE362" s="138"/>
    </row>
    <row r="363" spans="1:57" s="139" customFormat="1" ht="30">
      <c r="A363" s="140" t="s">
        <v>6</v>
      </c>
      <c r="B363" s="129">
        <v>361</v>
      </c>
      <c r="C363" s="129" t="s">
        <v>1259</v>
      </c>
      <c r="D363" s="141" t="s">
        <v>3128</v>
      </c>
      <c r="E363" s="172" t="s">
        <v>2112</v>
      </c>
      <c r="F363" s="129" t="s">
        <v>1260</v>
      </c>
      <c r="G363" s="141" t="s">
        <v>684</v>
      </c>
      <c r="H363" s="141" t="s">
        <v>1257</v>
      </c>
      <c r="I363" s="141" t="s">
        <v>1258</v>
      </c>
      <c r="J363" s="129" t="s">
        <v>935</v>
      </c>
      <c r="K363" s="129" t="s">
        <v>935</v>
      </c>
      <c r="L363" s="129" t="s">
        <v>725</v>
      </c>
      <c r="M363" s="129" t="s">
        <v>725</v>
      </c>
      <c r="N363" s="129">
        <v>200</v>
      </c>
      <c r="O363" s="129" t="s">
        <v>725</v>
      </c>
      <c r="P363" s="129">
        <v>200</v>
      </c>
      <c r="Q363" s="129">
        <v>8</v>
      </c>
      <c r="R363" s="129">
        <v>15</v>
      </c>
      <c r="S363" s="129">
        <v>18</v>
      </c>
      <c r="T363" s="129">
        <v>14</v>
      </c>
      <c r="U363" s="141" t="s">
        <v>726</v>
      </c>
      <c r="V363" s="141" t="s">
        <v>727</v>
      </c>
      <c r="W363" s="129" t="s">
        <v>684</v>
      </c>
      <c r="X363" s="129">
        <v>500</v>
      </c>
      <c r="Y363" s="141" t="s">
        <v>941</v>
      </c>
      <c r="Z363" s="129" t="s">
        <v>194</v>
      </c>
      <c r="AA363" s="129">
        <v>0.1</v>
      </c>
      <c r="AB363" s="129" t="s">
        <v>684</v>
      </c>
      <c r="AC363" s="129" t="s">
        <v>955</v>
      </c>
      <c r="AD363" s="129" t="s">
        <v>684</v>
      </c>
      <c r="AE363" s="129" t="s">
        <v>955</v>
      </c>
      <c r="AF363" s="129">
        <v>0</v>
      </c>
      <c r="AG363" s="129">
        <v>0</v>
      </c>
      <c r="AH363" s="129">
        <v>1000</v>
      </c>
      <c r="AI363" s="129" t="s">
        <v>956</v>
      </c>
      <c r="AJ363" s="159" t="s">
        <v>2149</v>
      </c>
      <c r="AK363" s="141" t="s">
        <v>684</v>
      </c>
      <c r="AL363" s="141"/>
      <c r="AM363" s="143"/>
      <c r="AN363" s="160" t="s">
        <v>2104</v>
      </c>
      <c r="AO363" s="143" t="s">
        <v>685</v>
      </c>
      <c r="AP363" s="143"/>
      <c r="AQ363" s="143"/>
      <c r="AR363" s="143"/>
      <c r="AS363" s="143"/>
      <c r="AT363" s="143"/>
      <c r="AU363" s="143"/>
      <c r="AV363" s="141"/>
      <c r="AW363" s="205"/>
      <c r="AX363" s="206"/>
      <c r="AY363" s="138"/>
      <c r="AZ363" s="138"/>
      <c r="BA363" s="138"/>
      <c r="BB363" s="138"/>
      <c r="BC363" s="138"/>
      <c r="BD363" s="138"/>
      <c r="BE363" s="138"/>
    </row>
    <row r="364" spans="1:57" s="139" customFormat="1" ht="86">
      <c r="A364" s="140" t="s">
        <v>6</v>
      </c>
      <c r="B364" s="129">
        <v>362</v>
      </c>
      <c r="C364" s="129" t="s">
        <v>1259</v>
      </c>
      <c r="D364" s="141" t="s">
        <v>3115</v>
      </c>
      <c r="E364" s="141" t="s">
        <v>1261</v>
      </c>
      <c r="F364" s="141" t="s">
        <v>1262</v>
      </c>
      <c r="G364" s="141" t="s">
        <v>684</v>
      </c>
      <c r="H364" s="141" t="s">
        <v>1257</v>
      </c>
      <c r="I364" s="141" t="s">
        <v>1258</v>
      </c>
      <c r="J364" s="129" t="s">
        <v>935</v>
      </c>
      <c r="K364" s="129" t="s">
        <v>935</v>
      </c>
      <c r="L364" s="129" t="s">
        <v>725</v>
      </c>
      <c r="M364" s="129" t="s">
        <v>725</v>
      </c>
      <c r="N364" s="129">
        <v>200</v>
      </c>
      <c r="O364" s="129" t="s">
        <v>725</v>
      </c>
      <c r="P364" s="129">
        <v>200</v>
      </c>
      <c r="Q364" s="129">
        <v>8</v>
      </c>
      <c r="R364" s="141">
        <v>17</v>
      </c>
      <c r="S364" s="141">
        <v>16</v>
      </c>
      <c r="T364" s="252">
        <v>2</v>
      </c>
      <c r="U364" s="141" t="s">
        <v>726</v>
      </c>
      <c r="V364" s="141" t="s">
        <v>727</v>
      </c>
      <c r="W364" s="141" t="s">
        <v>684</v>
      </c>
      <c r="X364" s="141" t="s">
        <v>684</v>
      </c>
      <c r="Y364" s="129" t="s">
        <v>728</v>
      </c>
      <c r="Z364" s="129" t="s">
        <v>194</v>
      </c>
      <c r="AA364" s="141">
        <v>1</v>
      </c>
      <c r="AB364" s="141" t="s">
        <v>684</v>
      </c>
      <c r="AC364" s="141" t="s">
        <v>684</v>
      </c>
      <c r="AD364" s="141" t="s">
        <v>684</v>
      </c>
      <c r="AE364" s="141" t="s">
        <v>684</v>
      </c>
      <c r="AF364" s="141">
        <v>0</v>
      </c>
      <c r="AG364" s="141">
        <v>0</v>
      </c>
      <c r="AH364" s="141">
        <v>3</v>
      </c>
      <c r="AI364" s="141" t="s">
        <v>684</v>
      </c>
      <c r="AJ364" s="164" t="s">
        <v>220</v>
      </c>
      <c r="AK364" s="141" t="s">
        <v>684</v>
      </c>
      <c r="AL364" s="141"/>
      <c r="AM364" s="143"/>
      <c r="AN364" s="143" t="s">
        <v>685</v>
      </c>
      <c r="AO364" s="143"/>
      <c r="AP364" s="143"/>
      <c r="AQ364" s="143"/>
      <c r="AR364" s="143"/>
      <c r="AS364" s="143"/>
      <c r="AT364" s="143"/>
      <c r="AU364" s="143"/>
      <c r="AV364" s="141"/>
      <c r="AW364" s="205"/>
      <c r="AX364" s="206"/>
      <c r="AY364" s="138"/>
      <c r="AZ364" s="138"/>
      <c r="BA364" s="138"/>
      <c r="BB364" s="138"/>
      <c r="BC364" s="138"/>
      <c r="BD364" s="138"/>
      <c r="BE364" s="138"/>
    </row>
    <row r="365" spans="1:57" s="139" customFormat="1" ht="30">
      <c r="A365" s="140" t="s">
        <v>6</v>
      </c>
      <c r="B365" s="129">
        <v>363</v>
      </c>
      <c r="C365" s="129" t="s">
        <v>1259</v>
      </c>
      <c r="D365" s="141" t="s">
        <v>3128</v>
      </c>
      <c r="E365" s="172" t="s">
        <v>2111</v>
      </c>
      <c r="F365" s="129" t="s">
        <v>1263</v>
      </c>
      <c r="G365" s="141" t="s">
        <v>684</v>
      </c>
      <c r="H365" s="141" t="s">
        <v>1257</v>
      </c>
      <c r="I365" s="141" t="s">
        <v>1258</v>
      </c>
      <c r="J365" s="129" t="s">
        <v>935</v>
      </c>
      <c r="K365" s="129" t="s">
        <v>935</v>
      </c>
      <c r="L365" s="129" t="s">
        <v>725</v>
      </c>
      <c r="M365" s="129" t="s">
        <v>725</v>
      </c>
      <c r="N365" s="129">
        <v>200</v>
      </c>
      <c r="O365" s="129" t="s">
        <v>725</v>
      </c>
      <c r="P365" s="129">
        <v>200</v>
      </c>
      <c r="Q365" s="129">
        <v>8</v>
      </c>
      <c r="R365" s="129">
        <v>31</v>
      </c>
      <c r="S365" s="129">
        <v>35</v>
      </c>
      <c r="T365" s="129">
        <v>13</v>
      </c>
      <c r="U365" s="141" t="s">
        <v>726</v>
      </c>
      <c r="V365" s="141" t="s">
        <v>727</v>
      </c>
      <c r="W365" s="129" t="s">
        <v>684</v>
      </c>
      <c r="X365" s="129">
        <v>500</v>
      </c>
      <c r="Y365" s="141" t="s">
        <v>941</v>
      </c>
      <c r="Z365" s="129" t="s">
        <v>194</v>
      </c>
      <c r="AA365" s="129">
        <v>0.1</v>
      </c>
      <c r="AB365" s="129" t="s">
        <v>684</v>
      </c>
      <c r="AC365" s="129" t="s">
        <v>976</v>
      </c>
      <c r="AD365" s="129" t="s">
        <v>684</v>
      </c>
      <c r="AE365" s="129" t="s">
        <v>976</v>
      </c>
      <c r="AF365" s="129">
        <v>0</v>
      </c>
      <c r="AG365" s="129">
        <v>0</v>
      </c>
      <c r="AH365" s="129">
        <v>500</v>
      </c>
      <c r="AI365" s="129" t="s">
        <v>977</v>
      </c>
      <c r="AJ365" s="159" t="s">
        <v>2136</v>
      </c>
      <c r="AK365" s="141" t="s">
        <v>684</v>
      </c>
      <c r="AL365" s="141"/>
      <c r="AM365" s="160"/>
      <c r="AN365" s="160" t="s">
        <v>2104</v>
      </c>
      <c r="AO365" s="143" t="s">
        <v>685</v>
      </c>
      <c r="AP365" s="143"/>
      <c r="AQ365" s="143"/>
      <c r="AR365" s="143"/>
      <c r="AS365" s="143"/>
      <c r="AT365" s="143"/>
      <c r="AU365" s="143"/>
      <c r="AV365" s="141"/>
      <c r="AW365" s="205"/>
      <c r="AX365" s="206"/>
      <c r="AY365" s="138"/>
      <c r="AZ365" s="138"/>
      <c r="BA365" s="138"/>
      <c r="BB365" s="138"/>
      <c r="BC365" s="138"/>
      <c r="BD365" s="138"/>
      <c r="BE365" s="138"/>
    </row>
    <row r="366" spans="1:57" s="139" customFormat="1" ht="184">
      <c r="A366" s="140" t="s">
        <v>6</v>
      </c>
      <c r="B366" s="129">
        <v>364</v>
      </c>
      <c r="C366" s="129" t="s">
        <v>1259</v>
      </c>
      <c r="D366" s="141" t="s">
        <v>3129</v>
      </c>
      <c r="E366" s="169" t="s">
        <v>1264</v>
      </c>
      <c r="F366" s="141" t="s">
        <v>1265</v>
      </c>
      <c r="G366" s="141" t="s">
        <v>703</v>
      </c>
      <c r="H366" s="141" t="s">
        <v>1266</v>
      </c>
      <c r="I366" s="141" t="s">
        <v>1267</v>
      </c>
      <c r="J366" s="141" t="s">
        <v>192</v>
      </c>
      <c r="K366" s="141" t="s">
        <v>192</v>
      </c>
      <c r="L366" s="129" t="s">
        <v>712</v>
      </c>
      <c r="M366" s="129" t="s">
        <v>712</v>
      </c>
      <c r="N366" s="129">
        <v>200</v>
      </c>
      <c r="O366" s="129" t="s">
        <v>712</v>
      </c>
      <c r="P366" s="129">
        <v>200</v>
      </c>
      <c r="Q366" s="129">
        <v>8</v>
      </c>
      <c r="R366" s="141">
        <v>46</v>
      </c>
      <c r="S366" s="141">
        <v>43</v>
      </c>
      <c r="T366" s="252">
        <v>4</v>
      </c>
      <c r="U366" s="141" t="s">
        <v>713</v>
      </c>
      <c r="V366" s="141" t="s">
        <v>714</v>
      </c>
      <c r="W366" s="141" t="s">
        <v>837</v>
      </c>
      <c r="X366" s="141" t="s">
        <v>581</v>
      </c>
      <c r="Y366" s="129" t="s">
        <v>715</v>
      </c>
      <c r="Z366" s="129" t="s">
        <v>194</v>
      </c>
      <c r="AA366" s="141">
        <v>1</v>
      </c>
      <c r="AB366" s="141" t="s">
        <v>198</v>
      </c>
      <c r="AC366" s="141" t="s">
        <v>1268</v>
      </c>
      <c r="AD366" s="141">
        <v>1</v>
      </c>
      <c r="AE366" s="141" t="s">
        <v>703</v>
      </c>
      <c r="AF366" s="141">
        <v>0</v>
      </c>
      <c r="AG366" s="141">
        <v>0</v>
      </c>
      <c r="AH366" s="141">
        <v>15</v>
      </c>
      <c r="AI366" s="141" t="s">
        <v>198</v>
      </c>
      <c r="AJ366" s="212" t="s">
        <v>2150</v>
      </c>
      <c r="AK366" s="141" t="s">
        <v>703</v>
      </c>
      <c r="AL366" s="141" t="s">
        <v>588</v>
      </c>
      <c r="AM366" s="143" t="s">
        <v>705</v>
      </c>
      <c r="AN366" s="143" t="s">
        <v>705</v>
      </c>
      <c r="AO366" s="143" t="s">
        <v>705</v>
      </c>
      <c r="AP366" s="143"/>
      <c r="AQ366" s="143"/>
      <c r="AR366" s="143"/>
      <c r="AS366" s="143"/>
      <c r="AT366" s="143"/>
      <c r="AU366" s="143"/>
      <c r="AV366" s="141"/>
      <c r="AW366" s="205"/>
      <c r="AX366" s="206"/>
      <c r="AY366" s="138"/>
      <c r="AZ366" s="138"/>
      <c r="BA366" s="138"/>
      <c r="BB366" s="138"/>
      <c r="BC366" s="138"/>
      <c r="BD366" s="138"/>
      <c r="BE366" s="138"/>
    </row>
    <row r="367" spans="1:57" s="139" customFormat="1" ht="25">
      <c r="A367" s="140" t="s">
        <v>6</v>
      </c>
      <c r="B367" s="129">
        <v>365</v>
      </c>
      <c r="C367" s="129" t="s">
        <v>1269</v>
      </c>
      <c r="D367" s="129" t="s">
        <v>3127</v>
      </c>
      <c r="E367" s="141" t="s">
        <v>1270</v>
      </c>
      <c r="F367" s="141" t="s">
        <v>1271</v>
      </c>
      <c r="G367" s="141" t="s">
        <v>703</v>
      </c>
      <c r="H367" s="141" t="s">
        <v>1266</v>
      </c>
      <c r="I367" s="141" t="s">
        <v>1267</v>
      </c>
      <c r="J367" s="129" t="s">
        <v>192</v>
      </c>
      <c r="K367" s="129" t="s">
        <v>192</v>
      </c>
      <c r="L367" s="129" t="s">
        <v>712</v>
      </c>
      <c r="M367" s="129" t="s">
        <v>712</v>
      </c>
      <c r="N367" s="129">
        <v>200</v>
      </c>
      <c r="O367" s="129" t="s">
        <v>712</v>
      </c>
      <c r="P367" s="129">
        <v>200</v>
      </c>
      <c r="Q367" s="129">
        <v>8</v>
      </c>
      <c r="R367" s="141">
        <v>59</v>
      </c>
      <c r="S367" s="141">
        <v>56</v>
      </c>
      <c r="T367" s="141">
        <v>4</v>
      </c>
      <c r="U367" s="141" t="s">
        <v>713</v>
      </c>
      <c r="V367" s="141" t="s">
        <v>714</v>
      </c>
      <c r="W367" s="141" t="s">
        <v>703</v>
      </c>
      <c r="X367" s="141" t="s">
        <v>703</v>
      </c>
      <c r="Y367" s="129" t="s">
        <v>715</v>
      </c>
      <c r="Z367" s="129" t="s">
        <v>194</v>
      </c>
      <c r="AA367" s="141">
        <v>1</v>
      </c>
      <c r="AB367" s="141" t="s">
        <v>703</v>
      </c>
      <c r="AC367" s="141" t="s">
        <v>703</v>
      </c>
      <c r="AD367" s="141" t="s">
        <v>703</v>
      </c>
      <c r="AE367" s="141" t="s">
        <v>703</v>
      </c>
      <c r="AF367" s="141">
        <v>0</v>
      </c>
      <c r="AG367" s="141">
        <v>0</v>
      </c>
      <c r="AH367" s="141">
        <v>15</v>
      </c>
      <c r="AI367" s="129" t="s">
        <v>198</v>
      </c>
      <c r="AJ367" s="164" t="s">
        <v>2123</v>
      </c>
      <c r="AK367" s="141" t="s">
        <v>703</v>
      </c>
      <c r="AL367" s="141" t="s">
        <v>703</v>
      </c>
      <c r="AM367" s="143"/>
      <c r="AN367" s="143" t="s">
        <v>705</v>
      </c>
      <c r="AO367" s="143" t="s">
        <v>705</v>
      </c>
      <c r="AP367" s="143"/>
      <c r="AQ367" s="143"/>
      <c r="AR367" s="143"/>
      <c r="AS367" s="143"/>
      <c r="AT367" s="143"/>
      <c r="AU367" s="143"/>
      <c r="AV367" s="141"/>
      <c r="AW367" s="205"/>
      <c r="AX367" s="206"/>
      <c r="AY367" s="138"/>
      <c r="AZ367" s="138"/>
      <c r="BA367" s="138"/>
      <c r="BB367" s="138"/>
      <c r="BC367" s="138"/>
      <c r="BD367" s="138"/>
      <c r="BE367" s="138"/>
    </row>
    <row r="368" spans="1:57" s="139" customFormat="1" ht="44">
      <c r="A368" s="140" t="s">
        <v>6</v>
      </c>
      <c r="B368" s="129">
        <v>366</v>
      </c>
      <c r="C368" s="129" t="s">
        <v>1269</v>
      </c>
      <c r="D368" s="129" t="s">
        <v>3127</v>
      </c>
      <c r="E368" s="141" t="s">
        <v>1272</v>
      </c>
      <c r="F368" s="141" t="s">
        <v>1273</v>
      </c>
      <c r="G368" s="141" t="s">
        <v>703</v>
      </c>
      <c r="H368" s="129" t="s">
        <v>1274</v>
      </c>
      <c r="I368" s="129" t="s">
        <v>1275</v>
      </c>
      <c r="J368" s="129" t="s">
        <v>192</v>
      </c>
      <c r="K368" s="129" t="s">
        <v>192</v>
      </c>
      <c r="L368" s="129" t="s">
        <v>712</v>
      </c>
      <c r="M368" s="129" t="s">
        <v>712</v>
      </c>
      <c r="N368" s="129">
        <v>200</v>
      </c>
      <c r="O368" s="141" t="s">
        <v>1276</v>
      </c>
      <c r="P368" s="129">
        <v>200</v>
      </c>
      <c r="Q368" s="129">
        <v>8</v>
      </c>
      <c r="R368" s="141">
        <v>7</v>
      </c>
      <c r="S368" s="141">
        <v>0</v>
      </c>
      <c r="T368" s="141">
        <v>8</v>
      </c>
      <c r="U368" s="141" t="s">
        <v>713</v>
      </c>
      <c r="V368" s="141" t="s">
        <v>714</v>
      </c>
      <c r="W368" s="141" t="s">
        <v>703</v>
      </c>
      <c r="X368" s="141" t="s">
        <v>703</v>
      </c>
      <c r="Y368" s="141" t="s">
        <v>1143</v>
      </c>
      <c r="Z368" s="129" t="s">
        <v>194</v>
      </c>
      <c r="AA368" s="141">
        <v>1</v>
      </c>
      <c r="AB368" s="141" t="s">
        <v>703</v>
      </c>
      <c r="AC368" s="141" t="s">
        <v>703</v>
      </c>
      <c r="AD368" s="141" t="s">
        <v>703</v>
      </c>
      <c r="AE368" s="141" t="s">
        <v>703</v>
      </c>
      <c r="AF368" s="141">
        <v>0</v>
      </c>
      <c r="AG368" s="141">
        <v>0</v>
      </c>
      <c r="AH368" s="141">
        <v>255</v>
      </c>
      <c r="AI368" s="129" t="s">
        <v>837</v>
      </c>
      <c r="AJ368" s="159" t="s">
        <v>2121</v>
      </c>
      <c r="AK368" s="141" t="s">
        <v>703</v>
      </c>
      <c r="AL368" s="141" t="s">
        <v>703</v>
      </c>
      <c r="AM368" s="143"/>
      <c r="AN368" s="160" t="s">
        <v>2397</v>
      </c>
      <c r="AO368" s="143" t="s">
        <v>705</v>
      </c>
      <c r="AP368" s="143"/>
      <c r="AQ368" s="143"/>
      <c r="AR368" s="143"/>
      <c r="AS368" s="143"/>
      <c r="AT368" s="143"/>
      <c r="AU368" s="143"/>
      <c r="AV368" s="141"/>
      <c r="AW368" s="205"/>
      <c r="AX368" s="206"/>
      <c r="AY368" s="138"/>
      <c r="AZ368" s="138"/>
      <c r="BA368" s="138"/>
      <c r="BB368" s="138"/>
      <c r="BC368" s="138"/>
      <c r="BD368" s="138"/>
      <c r="BE368" s="138"/>
    </row>
    <row r="369" spans="1:57" s="139" customFormat="1" ht="30">
      <c r="A369" s="140" t="s">
        <v>6</v>
      </c>
      <c r="B369" s="129">
        <v>367</v>
      </c>
      <c r="C369" s="129" t="s">
        <v>1269</v>
      </c>
      <c r="D369" s="141" t="s">
        <v>3130</v>
      </c>
      <c r="E369" s="129" t="s">
        <v>1277</v>
      </c>
      <c r="F369" s="129" t="s">
        <v>1278</v>
      </c>
      <c r="G369" s="141" t="s">
        <v>684</v>
      </c>
      <c r="H369" s="129" t="s">
        <v>1279</v>
      </c>
      <c r="I369" s="129" t="s">
        <v>1280</v>
      </c>
      <c r="J369" s="129" t="s">
        <v>935</v>
      </c>
      <c r="K369" s="129" t="s">
        <v>935</v>
      </c>
      <c r="L369" s="129" t="s">
        <v>725</v>
      </c>
      <c r="M369" s="129" t="s">
        <v>725</v>
      </c>
      <c r="N369" s="129">
        <v>200</v>
      </c>
      <c r="O369" s="141" t="s">
        <v>1281</v>
      </c>
      <c r="P369" s="129">
        <v>200</v>
      </c>
      <c r="Q369" s="129">
        <v>8</v>
      </c>
      <c r="R369" s="129">
        <v>15</v>
      </c>
      <c r="S369" s="129">
        <v>18</v>
      </c>
      <c r="T369" s="129">
        <v>14</v>
      </c>
      <c r="U369" s="141" t="s">
        <v>726</v>
      </c>
      <c r="V369" s="141" t="s">
        <v>727</v>
      </c>
      <c r="W369" s="129" t="s">
        <v>684</v>
      </c>
      <c r="X369" s="129">
        <v>500</v>
      </c>
      <c r="Y369" s="141" t="s">
        <v>941</v>
      </c>
      <c r="Z369" s="129" t="s">
        <v>194</v>
      </c>
      <c r="AA369" s="129">
        <v>0.1</v>
      </c>
      <c r="AB369" s="129" t="s">
        <v>684</v>
      </c>
      <c r="AC369" s="129" t="s">
        <v>955</v>
      </c>
      <c r="AD369" s="129" t="s">
        <v>684</v>
      </c>
      <c r="AE369" s="129" t="s">
        <v>955</v>
      </c>
      <c r="AF369" s="129">
        <v>0</v>
      </c>
      <c r="AG369" s="129">
        <v>0</v>
      </c>
      <c r="AH369" s="129">
        <v>1000</v>
      </c>
      <c r="AI369" s="129" t="s">
        <v>956</v>
      </c>
      <c r="AJ369" s="159" t="s">
        <v>2149</v>
      </c>
      <c r="AK369" s="141" t="s">
        <v>684</v>
      </c>
      <c r="AL369" s="141" t="s">
        <v>684</v>
      </c>
      <c r="AM369" s="143"/>
      <c r="AN369" s="143"/>
      <c r="AO369" s="143" t="s">
        <v>685</v>
      </c>
      <c r="AP369" s="143"/>
      <c r="AQ369" s="143"/>
      <c r="AR369" s="143"/>
      <c r="AS369" s="143"/>
      <c r="AT369" s="143"/>
      <c r="AU369" s="143"/>
      <c r="AV369" s="141"/>
      <c r="AW369" s="205"/>
      <c r="AX369" s="206"/>
      <c r="AY369" s="138"/>
      <c r="AZ369" s="138"/>
      <c r="BA369" s="138"/>
      <c r="BB369" s="138"/>
      <c r="BC369" s="138"/>
      <c r="BD369" s="138"/>
      <c r="BE369" s="138"/>
    </row>
    <row r="370" spans="1:57" s="139" customFormat="1" ht="30">
      <c r="A370" s="140" t="s">
        <v>6</v>
      </c>
      <c r="B370" s="129">
        <v>368</v>
      </c>
      <c r="C370" s="129" t="s">
        <v>1259</v>
      </c>
      <c r="D370" s="141" t="s">
        <v>3105</v>
      </c>
      <c r="E370" s="141" t="s">
        <v>1282</v>
      </c>
      <c r="F370" s="141" t="s">
        <v>1283</v>
      </c>
      <c r="G370" s="141" t="s">
        <v>684</v>
      </c>
      <c r="H370" s="129" t="s">
        <v>1279</v>
      </c>
      <c r="I370" s="129" t="s">
        <v>1280</v>
      </c>
      <c r="J370" s="129" t="s">
        <v>935</v>
      </c>
      <c r="K370" s="129" t="s">
        <v>935</v>
      </c>
      <c r="L370" s="129" t="s">
        <v>725</v>
      </c>
      <c r="M370" s="129" t="s">
        <v>725</v>
      </c>
      <c r="N370" s="129">
        <v>200</v>
      </c>
      <c r="O370" s="141" t="s">
        <v>1281</v>
      </c>
      <c r="P370" s="129">
        <v>200</v>
      </c>
      <c r="Q370" s="129">
        <v>8</v>
      </c>
      <c r="R370" s="141">
        <v>17</v>
      </c>
      <c r="S370" s="141">
        <v>17</v>
      </c>
      <c r="T370" s="252">
        <v>1</v>
      </c>
      <c r="U370" s="141" t="s">
        <v>726</v>
      </c>
      <c r="V370" s="141" t="s">
        <v>727</v>
      </c>
      <c r="W370" s="141" t="s">
        <v>684</v>
      </c>
      <c r="X370" s="141" t="s">
        <v>684</v>
      </c>
      <c r="Y370" s="129" t="s">
        <v>728</v>
      </c>
      <c r="Z370" s="143" t="s">
        <v>728</v>
      </c>
      <c r="AA370" s="252">
        <v>1</v>
      </c>
      <c r="AB370" s="252" t="s">
        <v>198</v>
      </c>
      <c r="AC370" s="141" t="s">
        <v>684</v>
      </c>
      <c r="AD370" s="141" t="s">
        <v>684</v>
      </c>
      <c r="AE370" s="141" t="s">
        <v>684</v>
      </c>
      <c r="AF370" s="252">
        <v>0</v>
      </c>
      <c r="AG370" s="252">
        <v>0</v>
      </c>
      <c r="AH370" s="252">
        <v>1</v>
      </c>
      <c r="AI370" s="252" t="s">
        <v>198</v>
      </c>
      <c r="AJ370" s="164" t="s">
        <v>208</v>
      </c>
      <c r="AK370" s="141" t="s">
        <v>684</v>
      </c>
      <c r="AL370" s="141"/>
      <c r="AM370" s="143"/>
      <c r="AN370" s="143"/>
      <c r="AO370" s="143"/>
      <c r="AP370" s="143"/>
      <c r="AQ370" s="143"/>
      <c r="AR370" s="143"/>
      <c r="AS370" s="143"/>
      <c r="AT370" s="143"/>
      <c r="AU370" s="143"/>
      <c r="AV370" s="141"/>
      <c r="AW370" s="205"/>
      <c r="AX370" s="206" t="s">
        <v>2345</v>
      </c>
      <c r="AY370" s="138"/>
      <c r="AZ370" s="138"/>
      <c r="BA370" s="138"/>
      <c r="BB370" s="138"/>
      <c r="BC370" s="138"/>
      <c r="BD370" s="138"/>
      <c r="BE370" s="138"/>
    </row>
    <row r="371" spans="1:57" s="139" customFormat="1" ht="30">
      <c r="A371" s="140" t="s">
        <v>6</v>
      </c>
      <c r="B371" s="129">
        <v>369</v>
      </c>
      <c r="C371" s="129" t="s">
        <v>1259</v>
      </c>
      <c r="D371" s="141" t="s">
        <v>3105</v>
      </c>
      <c r="E371" s="141" t="s">
        <v>1284</v>
      </c>
      <c r="F371" s="141" t="s">
        <v>1285</v>
      </c>
      <c r="G371" s="141" t="s">
        <v>684</v>
      </c>
      <c r="H371" s="129" t="s">
        <v>1279</v>
      </c>
      <c r="I371" s="129" t="s">
        <v>1280</v>
      </c>
      <c r="J371" s="129" t="s">
        <v>935</v>
      </c>
      <c r="K371" s="129" t="s">
        <v>935</v>
      </c>
      <c r="L371" s="129" t="s">
        <v>725</v>
      </c>
      <c r="M371" s="129" t="s">
        <v>725</v>
      </c>
      <c r="N371" s="129">
        <v>200</v>
      </c>
      <c r="O371" s="141" t="s">
        <v>1281</v>
      </c>
      <c r="P371" s="129">
        <v>200</v>
      </c>
      <c r="Q371" s="129">
        <v>8</v>
      </c>
      <c r="R371" s="141">
        <v>16</v>
      </c>
      <c r="S371" s="141">
        <v>16</v>
      </c>
      <c r="T371" s="252">
        <v>1</v>
      </c>
      <c r="U371" s="141" t="s">
        <v>726</v>
      </c>
      <c r="V371" s="141" t="s">
        <v>727</v>
      </c>
      <c r="W371" s="141" t="s">
        <v>684</v>
      </c>
      <c r="X371" s="141" t="s">
        <v>684</v>
      </c>
      <c r="Y371" s="129" t="s">
        <v>728</v>
      </c>
      <c r="Z371" s="143" t="s">
        <v>728</v>
      </c>
      <c r="AA371" s="252">
        <v>1</v>
      </c>
      <c r="AB371" s="252" t="s">
        <v>198</v>
      </c>
      <c r="AC371" s="141" t="s">
        <v>684</v>
      </c>
      <c r="AD371" s="141" t="s">
        <v>684</v>
      </c>
      <c r="AE371" s="141" t="s">
        <v>684</v>
      </c>
      <c r="AF371" s="252">
        <v>0</v>
      </c>
      <c r="AG371" s="252">
        <v>0</v>
      </c>
      <c r="AH371" s="252">
        <v>1</v>
      </c>
      <c r="AI371" s="252" t="s">
        <v>198</v>
      </c>
      <c r="AJ371" s="164" t="s">
        <v>208</v>
      </c>
      <c r="AK371" s="141" t="s">
        <v>684</v>
      </c>
      <c r="AL371" s="141"/>
      <c r="AM371" s="143"/>
      <c r="AN371" s="143"/>
      <c r="AO371" s="143"/>
      <c r="AP371" s="143"/>
      <c r="AQ371" s="143"/>
      <c r="AR371" s="143"/>
      <c r="AS371" s="143"/>
      <c r="AT371" s="143"/>
      <c r="AU371" s="143"/>
      <c r="AV371" s="141"/>
      <c r="AW371" s="205"/>
      <c r="AX371" s="206" t="s">
        <v>685</v>
      </c>
      <c r="AY371" s="138"/>
      <c r="AZ371" s="138"/>
      <c r="BA371" s="138"/>
      <c r="BB371" s="138"/>
      <c r="BC371" s="138"/>
      <c r="BD371" s="138"/>
      <c r="BE371" s="138"/>
    </row>
    <row r="372" spans="1:57" s="139" customFormat="1" ht="30">
      <c r="A372" s="140" t="s">
        <v>6</v>
      </c>
      <c r="B372" s="129">
        <v>370</v>
      </c>
      <c r="C372" s="129" t="s">
        <v>1259</v>
      </c>
      <c r="D372" s="141" t="s">
        <v>3130</v>
      </c>
      <c r="E372" s="129" t="s">
        <v>1286</v>
      </c>
      <c r="F372" s="129" t="s">
        <v>1287</v>
      </c>
      <c r="G372" s="141" t="s">
        <v>684</v>
      </c>
      <c r="H372" s="129" t="s">
        <v>1279</v>
      </c>
      <c r="I372" s="129" t="s">
        <v>1280</v>
      </c>
      <c r="J372" s="129" t="s">
        <v>935</v>
      </c>
      <c r="K372" s="129" t="s">
        <v>935</v>
      </c>
      <c r="L372" s="129" t="s">
        <v>725</v>
      </c>
      <c r="M372" s="129" t="s">
        <v>725</v>
      </c>
      <c r="N372" s="129">
        <v>200</v>
      </c>
      <c r="O372" s="141" t="s">
        <v>1281</v>
      </c>
      <c r="P372" s="129">
        <v>200</v>
      </c>
      <c r="Q372" s="129">
        <v>8</v>
      </c>
      <c r="R372" s="129">
        <v>31</v>
      </c>
      <c r="S372" s="129">
        <v>35</v>
      </c>
      <c r="T372" s="129">
        <v>13</v>
      </c>
      <c r="U372" s="141" t="s">
        <v>726</v>
      </c>
      <c r="V372" s="141" t="s">
        <v>727</v>
      </c>
      <c r="W372" s="129" t="s">
        <v>684</v>
      </c>
      <c r="X372" s="129">
        <v>500</v>
      </c>
      <c r="Y372" s="141" t="s">
        <v>941</v>
      </c>
      <c r="Z372" s="129" t="s">
        <v>194</v>
      </c>
      <c r="AA372" s="129">
        <v>0.1</v>
      </c>
      <c r="AB372" s="129" t="s">
        <v>684</v>
      </c>
      <c r="AC372" s="129" t="s">
        <v>976</v>
      </c>
      <c r="AD372" s="129" t="s">
        <v>684</v>
      </c>
      <c r="AE372" s="129" t="s">
        <v>976</v>
      </c>
      <c r="AF372" s="129">
        <v>0</v>
      </c>
      <c r="AG372" s="129">
        <v>0</v>
      </c>
      <c r="AH372" s="129">
        <v>500</v>
      </c>
      <c r="AI372" s="129" t="s">
        <v>977</v>
      </c>
      <c r="AJ372" s="159" t="s">
        <v>2136</v>
      </c>
      <c r="AK372" s="141" t="s">
        <v>684</v>
      </c>
      <c r="AL372" s="141" t="s">
        <v>684</v>
      </c>
      <c r="AM372" s="143"/>
      <c r="AN372" s="143"/>
      <c r="AO372" s="143" t="s">
        <v>685</v>
      </c>
      <c r="AP372" s="143"/>
      <c r="AQ372" s="143"/>
      <c r="AR372" s="143"/>
      <c r="AS372" s="143"/>
      <c r="AT372" s="143"/>
      <c r="AU372" s="143"/>
      <c r="AV372" s="141"/>
      <c r="AW372" s="205"/>
      <c r="AX372" s="206"/>
      <c r="AY372" s="138"/>
      <c r="AZ372" s="138"/>
      <c r="BA372" s="138"/>
      <c r="BB372" s="138"/>
      <c r="BC372" s="138"/>
      <c r="BD372" s="138"/>
      <c r="BE372" s="138"/>
    </row>
    <row r="373" spans="1:57" s="139" customFormat="1" ht="30">
      <c r="A373" s="140" t="s">
        <v>6</v>
      </c>
      <c r="B373" s="129">
        <v>371</v>
      </c>
      <c r="C373" s="129" t="s">
        <v>1259</v>
      </c>
      <c r="D373" s="141" t="s">
        <v>3105</v>
      </c>
      <c r="E373" s="141" t="s">
        <v>1288</v>
      </c>
      <c r="F373" s="141" t="s">
        <v>1289</v>
      </c>
      <c r="G373" s="141" t="s">
        <v>684</v>
      </c>
      <c r="H373" s="129" t="s">
        <v>1279</v>
      </c>
      <c r="I373" s="129" t="s">
        <v>1280</v>
      </c>
      <c r="J373" s="129" t="s">
        <v>935</v>
      </c>
      <c r="K373" s="129" t="s">
        <v>935</v>
      </c>
      <c r="L373" s="129" t="s">
        <v>725</v>
      </c>
      <c r="M373" s="129" t="s">
        <v>725</v>
      </c>
      <c r="N373" s="129">
        <v>200</v>
      </c>
      <c r="O373" s="141" t="s">
        <v>1281</v>
      </c>
      <c r="P373" s="129">
        <v>200</v>
      </c>
      <c r="Q373" s="129">
        <v>8</v>
      </c>
      <c r="R373" s="141">
        <v>34</v>
      </c>
      <c r="S373" s="141">
        <v>34</v>
      </c>
      <c r="T373" s="252">
        <v>1</v>
      </c>
      <c r="U373" s="141" t="s">
        <v>726</v>
      </c>
      <c r="V373" s="141" t="s">
        <v>727</v>
      </c>
      <c r="W373" s="141" t="s">
        <v>684</v>
      </c>
      <c r="X373" s="141" t="s">
        <v>684</v>
      </c>
      <c r="Y373" s="129" t="s">
        <v>728</v>
      </c>
      <c r="Z373" s="143" t="s">
        <v>728</v>
      </c>
      <c r="AA373" s="252">
        <v>1</v>
      </c>
      <c r="AB373" s="252" t="s">
        <v>198</v>
      </c>
      <c r="AC373" s="141" t="s">
        <v>684</v>
      </c>
      <c r="AD373" s="141" t="s">
        <v>684</v>
      </c>
      <c r="AE373" s="141" t="s">
        <v>684</v>
      </c>
      <c r="AF373" s="252">
        <v>0</v>
      </c>
      <c r="AG373" s="252">
        <v>0</v>
      </c>
      <c r="AH373" s="252">
        <v>1</v>
      </c>
      <c r="AI373" s="252" t="s">
        <v>198</v>
      </c>
      <c r="AJ373" s="164" t="s">
        <v>208</v>
      </c>
      <c r="AK373" s="141" t="s">
        <v>684</v>
      </c>
      <c r="AL373" s="141"/>
      <c r="AM373" s="143"/>
      <c r="AN373" s="143"/>
      <c r="AO373" s="143"/>
      <c r="AP373" s="143"/>
      <c r="AQ373" s="143"/>
      <c r="AR373" s="143"/>
      <c r="AS373" s="143"/>
      <c r="AT373" s="143"/>
      <c r="AU373" s="143"/>
      <c r="AV373" s="141"/>
      <c r="AW373" s="205"/>
      <c r="AX373" s="206" t="s">
        <v>685</v>
      </c>
      <c r="AY373" s="138"/>
      <c r="AZ373" s="138"/>
      <c r="BA373" s="138"/>
      <c r="BB373" s="138"/>
      <c r="BC373" s="138"/>
      <c r="BD373" s="138"/>
      <c r="BE373" s="138"/>
    </row>
    <row r="374" spans="1:57" s="139" customFormat="1" ht="30">
      <c r="A374" s="140" t="s">
        <v>6</v>
      </c>
      <c r="B374" s="129">
        <v>372</v>
      </c>
      <c r="C374" s="129" t="s">
        <v>1259</v>
      </c>
      <c r="D374" s="141" t="s">
        <v>3105</v>
      </c>
      <c r="E374" s="141" t="s">
        <v>1290</v>
      </c>
      <c r="F374" s="141" t="s">
        <v>1291</v>
      </c>
      <c r="G374" s="141" t="s">
        <v>684</v>
      </c>
      <c r="H374" s="129" t="s">
        <v>1279</v>
      </c>
      <c r="I374" s="129" t="s">
        <v>1280</v>
      </c>
      <c r="J374" s="129" t="s">
        <v>935</v>
      </c>
      <c r="K374" s="129" t="s">
        <v>935</v>
      </c>
      <c r="L374" s="129" t="s">
        <v>725</v>
      </c>
      <c r="M374" s="129" t="s">
        <v>725</v>
      </c>
      <c r="N374" s="129">
        <v>200</v>
      </c>
      <c r="O374" s="141" t="s">
        <v>1281</v>
      </c>
      <c r="P374" s="129">
        <v>200</v>
      </c>
      <c r="Q374" s="129">
        <v>8</v>
      </c>
      <c r="R374" s="141">
        <v>33</v>
      </c>
      <c r="S374" s="141">
        <v>33</v>
      </c>
      <c r="T374" s="252">
        <v>1</v>
      </c>
      <c r="U374" s="141" t="s">
        <v>726</v>
      </c>
      <c r="V374" s="141" t="s">
        <v>727</v>
      </c>
      <c r="W374" s="141" t="s">
        <v>684</v>
      </c>
      <c r="X374" s="141" t="s">
        <v>684</v>
      </c>
      <c r="Y374" s="129" t="s">
        <v>728</v>
      </c>
      <c r="Z374" s="143" t="s">
        <v>728</v>
      </c>
      <c r="AA374" s="252">
        <v>1</v>
      </c>
      <c r="AB374" s="252" t="s">
        <v>198</v>
      </c>
      <c r="AC374" s="141" t="s">
        <v>684</v>
      </c>
      <c r="AD374" s="141" t="s">
        <v>684</v>
      </c>
      <c r="AE374" s="141" t="s">
        <v>684</v>
      </c>
      <c r="AF374" s="252">
        <v>0</v>
      </c>
      <c r="AG374" s="252">
        <v>0</v>
      </c>
      <c r="AH374" s="252">
        <v>1</v>
      </c>
      <c r="AI374" s="252" t="s">
        <v>198</v>
      </c>
      <c r="AJ374" s="164" t="s">
        <v>208</v>
      </c>
      <c r="AK374" s="141" t="s">
        <v>684</v>
      </c>
      <c r="AL374" s="141"/>
      <c r="AM374" s="143"/>
      <c r="AN374" s="143"/>
      <c r="AO374" s="143"/>
      <c r="AP374" s="143"/>
      <c r="AQ374" s="143"/>
      <c r="AR374" s="143"/>
      <c r="AS374" s="143"/>
      <c r="AT374" s="143"/>
      <c r="AU374" s="143"/>
      <c r="AV374" s="141"/>
      <c r="AW374" s="205"/>
      <c r="AX374" s="206" t="s">
        <v>2346</v>
      </c>
      <c r="AY374" s="138"/>
      <c r="AZ374" s="138"/>
      <c r="BA374" s="138"/>
      <c r="BB374" s="138"/>
      <c r="BC374" s="138"/>
      <c r="BD374" s="138"/>
      <c r="BE374" s="138"/>
    </row>
    <row r="375" spans="1:57" s="139" customFormat="1" ht="30">
      <c r="A375" s="140" t="s">
        <v>6</v>
      </c>
      <c r="B375" s="129">
        <v>373</v>
      </c>
      <c r="C375" s="129" t="s">
        <v>1259</v>
      </c>
      <c r="D375" s="141" t="s">
        <v>3105</v>
      </c>
      <c r="E375" s="141" t="s">
        <v>1292</v>
      </c>
      <c r="F375" s="141" t="s">
        <v>1293</v>
      </c>
      <c r="G375" s="141" t="s">
        <v>684</v>
      </c>
      <c r="H375" s="129" t="s">
        <v>1279</v>
      </c>
      <c r="I375" s="129" t="s">
        <v>1280</v>
      </c>
      <c r="J375" s="129" t="s">
        <v>935</v>
      </c>
      <c r="K375" s="129" t="s">
        <v>935</v>
      </c>
      <c r="L375" s="129" t="s">
        <v>725</v>
      </c>
      <c r="M375" s="129" t="s">
        <v>725</v>
      </c>
      <c r="N375" s="129">
        <v>200</v>
      </c>
      <c r="O375" s="141" t="s">
        <v>1281</v>
      </c>
      <c r="P375" s="129">
        <v>200</v>
      </c>
      <c r="Q375" s="129">
        <v>8</v>
      </c>
      <c r="R375" s="141">
        <v>32</v>
      </c>
      <c r="S375" s="141">
        <v>32</v>
      </c>
      <c r="T375" s="252">
        <v>1</v>
      </c>
      <c r="U375" s="141" t="s">
        <v>726</v>
      </c>
      <c r="V375" s="141" t="s">
        <v>727</v>
      </c>
      <c r="W375" s="141" t="s">
        <v>684</v>
      </c>
      <c r="X375" s="141" t="s">
        <v>684</v>
      </c>
      <c r="Y375" s="129" t="s">
        <v>728</v>
      </c>
      <c r="Z375" s="143" t="s">
        <v>728</v>
      </c>
      <c r="AA375" s="252">
        <v>1</v>
      </c>
      <c r="AB375" s="252" t="s">
        <v>198</v>
      </c>
      <c r="AC375" s="141" t="s">
        <v>684</v>
      </c>
      <c r="AD375" s="141" t="s">
        <v>684</v>
      </c>
      <c r="AE375" s="141" t="s">
        <v>684</v>
      </c>
      <c r="AF375" s="252">
        <v>0</v>
      </c>
      <c r="AG375" s="252">
        <v>0</v>
      </c>
      <c r="AH375" s="252">
        <v>1</v>
      </c>
      <c r="AI375" s="252" t="s">
        <v>198</v>
      </c>
      <c r="AJ375" s="164" t="s">
        <v>208</v>
      </c>
      <c r="AK375" s="141" t="s">
        <v>684</v>
      </c>
      <c r="AL375" s="141"/>
      <c r="AM375" s="143"/>
      <c r="AN375" s="143"/>
      <c r="AO375" s="143"/>
      <c r="AP375" s="143"/>
      <c r="AQ375" s="143"/>
      <c r="AR375" s="143"/>
      <c r="AS375" s="143"/>
      <c r="AT375" s="143"/>
      <c r="AU375" s="143"/>
      <c r="AV375" s="141"/>
      <c r="AW375" s="205"/>
      <c r="AX375" s="206" t="s">
        <v>685</v>
      </c>
      <c r="AY375" s="138"/>
      <c r="AZ375" s="138"/>
      <c r="BA375" s="138"/>
      <c r="BB375" s="138"/>
      <c r="BC375" s="138"/>
      <c r="BD375" s="138"/>
      <c r="BE375" s="138"/>
    </row>
    <row r="376" spans="1:57" s="139" customFormat="1" ht="30">
      <c r="A376" s="140" t="s">
        <v>6</v>
      </c>
      <c r="B376" s="129">
        <v>374</v>
      </c>
      <c r="C376" s="129" t="s">
        <v>1259</v>
      </c>
      <c r="D376" s="253" t="s">
        <v>3105</v>
      </c>
      <c r="E376" s="252" t="s">
        <v>1294</v>
      </c>
      <c r="F376" s="252" t="s">
        <v>221</v>
      </c>
      <c r="G376" s="141" t="s">
        <v>684</v>
      </c>
      <c r="H376" s="129" t="s">
        <v>1279</v>
      </c>
      <c r="I376" s="129" t="s">
        <v>1280</v>
      </c>
      <c r="J376" s="129" t="s">
        <v>935</v>
      </c>
      <c r="K376" s="129" t="s">
        <v>935</v>
      </c>
      <c r="L376" s="129" t="s">
        <v>725</v>
      </c>
      <c r="M376" s="129" t="s">
        <v>725</v>
      </c>
      <c r="N376" s="129">
        <v>200</v>
      </c>
      <c r="O376" s="141" t="s">
        <v>1281</v>
      </c>
      <c r="P376" s="129">
        <v>200</v>
      </c>
      <c r="Q376" s="129">
        <v>8</v>
      </c>
      <c r="R376" s="141">
        <v>47</v>
      </c>
      <c r="S376" s="141">
        <v>47</v>
      </c>
      <c r="T376" s="252">
        <v>1</v>
      </c>
      <c r="U376" s="141" t="s">
        <v>726</v>
      </c>
      <c r="V376" s="141" t="s">
        <v>727</v>
      </c>
      <c r="W376" s="252">
        <v>1000</v>
      </c>
      <c r="X376" s="141" t="s">
        <v>684</v>
      </c>
      <c r="Y376" s="129" t="s">
        <v>728</v>
      </c>
      <c r="Z376" s="143" t="s">
        <v>728</v>
      </c>
      <c r="AA376" s="252">
        <v>1</v>
      </c>
      <c r="AB376" s="252" t="s">
        <v>198</v>
      </c>
      <c r="AC376" s="141" t="s">
        <v>684</v>
      </c>
      <c r="AD376" s="141" t="s">
        <v>684</v>
      </c>
      <c r="AE376" s="141" t="s">
        <v>684</v>
      </c>
      <c r="AF376" s="252">
        <v>0</v>
      </c>
      <c r="AG376" s="252">
        <v>0</v>
      </c>
      <c r="AH376" s="252">
        <v>1</v>
      </c>
      <c r="AI376" s="252" t="s">
        <v>198</v>
      </c>
      <c r="AJ376" s="254" t="s">
        <v>222</v>
      </c>
      <c r="AK376" s="141" t="s">
        <v>684</v>
      </c>
      <c r="AL376" s="141"/>
      <c r="AM376" s="143"/>
      <c r="AN376" s="143"/>
      <c r="AO376" s="143"/>
      <c r="AP376" s="143"/>
      <c r="AQ376" s="143"/>
      <c r="AR376" s="143"/>
      <c r="AS376" s="143"/>
      <c r="AT376" s="143"/>
      <c r="AU376" s="143"/>
      <c r="AV376" s="141"/>
      <c r="AW376" s="205"/>
      <c r="AX376" s="206" t="s">
        <v>2346</v>
      </c>
      <c r="AY376" s="138"/>
      <c r="AZ376" s="138"/>
      <c r="BA376" s="138"/>
      <c r="BB376" s="138"/>
      <c r="BC376" s="138"/>
      <c r="BD376" s="138"/>
      <c r="BE376" s="138"/>
    </row>
    <row r="377" spans="1:57" s="139" customFormat="1" ht="30">
      <c r="A377" s="140" t="s">
        <v>6</v>
      </c>
      <c r="B377" s="129">
        <v>375</v>
      </c>
      <c r="C377" s="129" t="s">
        <v>1259</v>
      </c>
      <c r="D377" s="253" t="s">
        <v>3105</v>
      </c>
      <c r="E377" s="252" t="s">
        <v>1295</v>
      </c>
      <c r="F377" s="252" t="s">
        <v>1296</v>
      </c>
      <c r="G377" s="141" t="s">
        <v>684</v>
      </c>
      <c r="H377" s="129" t="s">
        <v>1279</v>
      </c>
      <c r="I377" s="129" t="s">
        <v>1280</v>
      </c>
      <c r="J377" s="129" t="s">
        <v>935</v>
      </c>
      <c r="K377" s="129" t="s">
        <v>935</v>
      </c>
      <c r="L377" s="129" t="s">
        <v>725</v>
      </c>
      <c r="M377" s="129" t="s">
        <v>725</v>
      </c>
      <c r="N377" s="129">
        <v>200</v>
      </c>
      <c r="O377" s="141" t="s">
        <v>1281</v>
      </c>
      <c r="P377" s="129">
        <v>200</v>
      </c>
      <c r="Q377" s="129">
        <v>8</v>
      </c>
      <c r="R377" s="141">
        <v>46</v>
      </c>
      <c r="S377" s="141">
        <v>46</v>
      </c>
      <c r="T377" s="252">
        <v>1</v>
      </c>
      <c r="U377" s="141" t="s">
        <v>726</v>
      </c>
      <c r="V377" s="141" t="s">
        <v>727</v>
      </c>
      <c r="W377" s="252">
        <v>1000</v>
      </c>
      <c r="X377" s="141" t="s">
        <v>684</v>
      </c>
      <c r="Y377" s="129" t="s">
        <v>728</v>
      </c>
      <c r="Z377" s="143" t="s">
        <v>728</v>
      </c>
      <c r="AA377" s="252">
        <v>1</v>
      </c>
      <c r="AB377" s="252" t="s">
        <v>198</v>
      </c>
      <c r="AC377" s="141" t="s">
        <v>684</v>
      </c>
      <c r="AD377" s="141" t="s">
        <v>684</v>
      </c>
      <c r="AE377" s="141" t="s">
        <v>684</v>
      </c>
      <c r="AF377" s="253">
        <v>0</v>
      </c>
      <c r="AG377" s="253">
        <v>0</v>
      </c>
      <c r="AH377" s="253">
        <v>1</v>
      </c>
      <c r="AI377" s="252" t="s">
        <v>198</v>
      </c>
      <c r="AJ377" s="254" t="s">
        <v>223</v>
      </c>
      <c r="AK377" s="141" t="s">
        <v>684</v>
      </c>
      <c r="AL377" s="141"/>
      <c r="AM377" s="143"/>
      <c r="AN377" s="143"/>
      <c r="AO377" s="143"/>
      <c r="AP377" s="143"/>
      <c r="AQ377" s="143"/>
      <c r="AR377" s="143"/>
      <c r="AS377" s="143"/>
      <c r="AT377" s="143"/>
      <c r="AU377" s="143"/>
      <c r="AV377" s="141"/>
      <c r="AW377" s="205"/>
      <c r="AX377" s="206" t="s">
        <v>2346</v>
      </c>
      <c r="AY377" s="138"/>
      <c r="AZ377" s="138"/>
      <c r="BA377" s="138"/>
      <c r="BB377" s="138"/>
      <c r="BC377" s="138"/>
      <c r="BD377" s="138"/>
      <c r="BE377" s="138"/>
    </row>
    <row r="378" spans="1:57" s="139" customFormat="1" ht="30">
      <c r="A378" s="140" t="s">
        <v>6</v>
      </c>
      <c r="B378" s="129">
        <v>376</v>
      </c>
      <c r="C378" s="129" t="s">
        <v>1259</v>
      </c>
      <c r="D378" s="253" t="s">
        <v>3105</v>
      </c>
      <c r="E378" s="252" t="s">
        <v>1297</v>
      </c>
      <c r="F378" s="252" t="s">
        <v>224</v>
      </c>
      <c r="G378" s="141" t="s">
        <v>684</v>
      </c>
      <c r="H378" s="129" t="s">
        <v>1279</v>
      </c>
      <c r="I378" s="129" t="s">
        <v>1280</v>
      </c>
      <c r="J378" s="129" t="s">
        <v>935</v>
      </c>
      <c r="K378" s="129" t="s">
        <v>935</v>
      </c>
      <c r="L378" s="129" t="s">
        <v>725</v>
      </c>
      <c r="M378" s="129" t="s">
        <v>725</v>
      </c>
      <c r="N378" s="129">
        <v>200</v>
      </c>
      <c r="O378" s="141" t="s">
        <v>1281</v>
      </c>
      <c r="P378" s="129">
        <v>200</v>
      </c>
      <c r="Q378" s="129">
        <v>8</v>
      </c>
      <c r="R378" s="141">
        <v>45</v>
      </c>
      <c r="S378" s="141">
        <v>45</v>
      </c>
      <c r="T378" s="252">
        <v>1</v>
      </c>
      <c r="U378" s="141" t="s">
        <v>726</v>
      </c>
      <c r="V378" s="141" t="s">
        <v>727</v>
      </c>
      <c r="W378" s="252">
        <v>1000</v>
      </c>
      <c r="X378" s="141" t="s">
        <v>684</v>
      </c>
      <c r="Y378" s="129" t="s">
        <v>728</v>
      </c>
      <c r="Z378" s="143" t="s">
        <v>728</v>
      </c>
      <c r="AA378" s="252">
        <v>1</v>
      </c>
      <c r="AB378" s="252" t="s">
        <v>198</v>
      </c>
      <c r="AC378" s="141" t="s">
        <v>684</v>
      </c>
      <c r="AD378" s="141" t="s">
        <v>684</v>
      </c>
      <c r="AE378" s="141" t="s">
        <v>684</v>
      </c>
      <c r="AF378" s="253">
        <v>0</v>
      </c>
      <c r="AG378" s="253">
        <v>0</v>
      </c>
      <c r="AH378" s="253">
        <v>1</v>
      </c>
      <c r="AI378" s="252" t="s">
        <v>198</v>
      </c>
      <c r="AJ378" s="254" t="s">
        <v>225</v>
      </c>
      <c r="AK378" s="141" t="s">
        <v>684</v>
      </c>
      <c r="AL378" s="141"/>
      <c r="AM378" s="143"/>
      <c r="AN378" s="143"/>
      <c r="AO378" s="143"/>
      <c r="AP378" s="143"/>
      <c r="AQ378" s="143"/>
      <c r="AR378" s="143"/>
      <c r="AS378" s="143"/>
      <c r="AT378" s="143"/>
      <c r="AU378" s="143"/>
      <c r="AV378" s="141"/>
      <c r="AW378" s="205"/>
      <c r="AX378" s="206" t="s">
        <v>685</v>
      </c>
      <c r="AY378" s="138"/>
      <c r="AZ378" s="138"/>
      <c r="BA378" s="138"/>
      <c r="BB378" s="138"/>
      <c r="BC378" s="138"/>
      <c r="BD378" s="138"/>
      <c r="BE378" s="138"/>
    </row>
    <row r="379" spans="1:57" s="139" customFormat="1" ht="30">
      <c r="A379" s="140" t="s">
        <v>6</v>
      </c>
      <c r="B379" s="129">
        <v>377</v>
      </c>
      <c r="C379" s="129" t="s">
        <v>1259</v>
      </c>
      <c r="D379" s="253" t="s">
        <v>3105</v>
      </c>
      <c r="E379" s="252" t="s">
        <v>1298</v>
      </c>
      <c r="F379" s="252" t="s">
        <v>226</v>
      </c>
      <c r="G379" s="141" t="s">
        <v>684</v>
      </c>
      <c r="H379" s="129" t="s">
        <v>1279</v>
      </c>
      <c r="I379" s="129" t="s">
        <v>1280</v>
      </c>
      <c r="J379" s="129" t="s">
        <v>935</v>
      </c>
      <c r="K379" s="129" t="s">
        <v>935</v>
      </c>
      <c r="L379" s="129" t="s">
        <v>725</v>
      </c>
      <c r="M379" s="129" t="s">
        <v>725</v>
      </c>
      <c r="N379" s="129">
        <v>200</v>
      </c>
      <c r="O379" s="141" t="s">
        <v>1281</v>
      </c>
      <c r="P379" s="129">
        <v>200</v>
      </c>
      <c r="Q379" s="129">
        <v>8</v>
      </c>
      <c r="R379" s="141">
        <v>44</v>
      </c>
      <c r="S379" s="141">
        <v>44</v>
      </c>
      <c r="T379" s="252">
        <v>1</v>
      </c>
      <c r="U379" s="141" t="s">
        <v>726</v>
      </c>
      <c r="V379" s="141" t="s">
        <v>727</v>
      </c>
      <c r="W379" s="252">
        <v>1000</v>
      </c>
      <c r="X379" s="141" t="s">
        <v>684</v>
      </c>
      <c r="Y379" s="129" t="s">
        <v>728</v>
      </c>
      <c r="Z379" s="143" t="s">
        <v>728</v>
      </c>
      <c r="AA379" s="252">
        <v>1</v>
      </c>
      <c r="AB379" s="252" t="s">
        <v>198</v>
      </c>
      <c r="AC379" s="141" t="s">
        <v>684</v>
      </c>
      <c r="AD379" s="141" t="s">
        <v>684</v>
      </c>
      <c r="AE379" s="141" t="s">
        <v>684</v>
      </c>
      <c r="AF379" s="253">
        <v>0</v>
      </c>
      <c r="AG379" s="253">
        <v>0</v>
      </c>
      <c r="AH379" s="253">
        <v>1</v>
      </c>
      <c r="AI379" s="252" t="s">
        <v>198</v>
      </c>
      <c r="AJ379" s="254" t="s">
        <v>227</v>
      </c>
      <c r="AK379" s="141" t="s">
        <v>684</v>
      </c>
      <c r="AL379" s="141"/>
      <c r="AM379" s="143"/>
      <c r="AN379" s="143"/>
      <c r="AO379" s="143"/>
      <c r="AP379" s="143"/>
      <c r="AQ379" s="143"/>
      <c r="AR379" s="143"/>
      <c r="AS379" s="143"/>
      <c r="AT379" s="143"/>
      <c r="AU379" s="143"/>
      <c r="AV379" s="141"/>
      <c r="AW379" s="205"/>
      <c r="AX379" s="206" t="s">
        <v>2346</v>
      </c>
      <c r="AY379" s="138"/>
      <c r="AZ379" s="138"/>
      <c r="BA379" s="138"/>
      <c r="BB379" s="138"/>
      <c r="BC379" s="138"/>
      <c r="BD379" s="138"/>
      <c r="BE379" s="138"/>
    </row>
    <row r="380" spans="1:57" s="139" customFormat="1" ht="58">
      <c r="A380" s="140" t="s">
        <v>6</v>
      </c>
      <c r="B380" s="129">
        <v>378</v>
      </c>
      <c r="C380" s="129" t="s">
        <v>1259</v>
      </c>
      <c r="D380" s="129" t="s">
        <v>3129</v>
      </c>
      <c r="E380" s="169" t="s">
        <v>1838</v>
      </c>
      <c r="F380" s="141" t="s">
        <v>1299</v>
      </c>
      <c r="G380" s="141" t="s">
        <v>684</v>
      </c>
      <c r="H380" s="129" t="s">
        <v>1279</v>
      </c>
      <c r="I380" s="129" t="s">
        <v>1280</v>
      </c>
      <c r="J380" s="129" t="s">
        <v>935</v>
      </c>
      <c r="K380" s="129" t="s">
        <v>935</v>
      </c>
      <c r="L380" s="129" t="s">
        <v>725</v>
      </c>
      <c r="M380" s="129" t="s">
        <v>725</v>
      </c>
      <c r="N380" s="129">
        <v>200</v>
      </c>
      <c r="O380" s="141" t="s">
        <v>1281</v>
      </c>
      <c r="P380" s="129">
        <v>200</v>
      </c>
      <c r="Q380" s="129">
        <v>8</v>
      </c>
      <c r="R380" s="141">
        <v>43</v>
      </c>
      <c r="S380" s="141">
        <v>42</v>
      </c>
      <c r="T380" s="141">
        <v>2</v>
      </c>
      <c r="U380" s="141" t="s">
        <v>726</v>
      </c>
      <c r="V380" s="141" t="s">
        <v>727</v>
      </c>
      <c r="W380" s="169" t="s">
        <v>1913</v>
      </c>
      <c r="X380" s="141" t="s">
        <v>665</v>
      </c>
      <c r="Y380" s="129" t="s">
        <v>728</v>
      </c>
      <c r="Z380" s="129" t="s">
        <v>194</v>
      </c>
      <c r="AA380" s="141">
        <v>1</v>
      </c>
      <c r="AB380" s="141" t="s">
        <v>875</v>
      </c>
      <c r="AC380" s="141" t="s">
        <v>1194</v>
      </c>
      <c r="AD380" s="141" t="s">
        <v>875</v>
      </c>
      <c r="AE380" s="141" t="s">
        <v>684</v>
      </c>
      <c r="AF380" s="141">
        <v>0</v>
      </c>
      <c r="AG380" s="141">
        <v>0</v>
      </c>
      <c r="AH380" s="141">
        <v>3</v>
      </c>
      <c r="AI380" s="141" t="s">
        <v>684</v>
      </c>
      <c r="AJ380" s="164" t="s">
        <v>1300</v>
      </c>
      <c r="AK380" s="141" t="s">
        <v>684</v>
      </c>
      <c r="AL380" s="141" t="s">
        <v>591</v>
      </c>
      <c r="AM380" s="143" t="s">
        <v>685</v>
      </c>
      <c r="AN380" s="143" t="s">
        <v>685</v>
      </c>
      <c r="AO380" s="143" t="s">
        <v>685</v>
      </c>
      <c r="AP380" s="143"/>
      <c r="AQ380" s="143"/>
      <c r="AR380" s="143"/>
      <c r="AS380" s="143"/>
      <c r="AT380" s="143"/>
      <c r="AU380" s="143"/>
      <c r="AV380" s="141"/>
      <c r="AW380" s="205"/>
      <c r="AX380" s="206"/>
      <c r="AY380" s="138"/>
      <c r="AZ380" s="138"/>
      <c r="BA380" s="138"/>
      <c r="BB380" s="138"/>
      <c r="BC380" s="138"/>
      <c r="BD380" s="138"/>
      <c r="BE380" s="138"/>
    </row>
    <row r="381" spans="1:57" s="139" customFormat="1" ht="30">
      <c r="A381" s="140" t="s">
        <v>6</v>
      </c>
      <c r="B381" s="129">
        <v>379</v>
      </c>
      <c r="C381" s="141" t="s">
        <v>1301</v>
      </c>
      <c r="D381" s="141" t="s">
        <v>3115</v>
      </c>
      <c r="E381" s="169" t="s">
        <v>1839</v>
      </c>
      <c r="F381" s="141" t="s">
        <v>1302</v>
      </c>
      <c r="G381" s="141" t="s">
        <v>684</v>
      </c>
      <c r="H381" s="141" t="s">
        <v>587</v>
      </c>
      <c r="I381" s="141" t="s">
        <v>1303</v>
      </c>
      <c r="J381" s="129" t="s">
        <v>935</v>
      </c>
      <c r="K381" s="129" t="s">
        <v>935</v>
      </c>
      <c r="L381" s="141" t="s">
        <v>725</v>
      </c>
      <c r="M381" s="169" t="s">
        <v>1913</v>
      </c>
      <c r="N381" s="141">
        <v>200</v>
      </c>
      <c r="O381" s="141" t="s">
        <v>1281</v>
      </c>
      <c r="P381" s="129">
        <v>200</v>
      </c>
      <c r="Q381" s="141">
        <v>8</v>
      </c>
      <c r="R381" s="141">
        <v>55</v>
      </c>
      <c r="S381" s="141">
        <v>48</v>
      </c>
      <c r="T381" s="141">
        <v>8</v>
      </c>
      <c r="U381" s="141" t="s">
        <v>877</v>
      </c>
      <c r="V381" s="141" t="s">
        <v>1193</v>
      </c>
      <c r="W381" s="169" t="s">
        <v>1913</v>
      </c>
      <c r="X381" s="141" t="s">
        <v>665</v>
      </c>
      <c r="Y381" s="129" t="s">
        <v>728</v>
      </c>
      <c r="Z381" s="141" t="s">
        <v>1304</v>
      </c>
      <c r="AA381" s="141">
        <v>1</v>
      </c>
      <c r="AB381" s="141" t="s">
        <v>198</v>
      </c>
      <c r="AC381" s="141" t="s">
        <v>1194</v>
      </c>
      <c r="AD381" s="141">
        <v>1</v>
      </c>
      <c r="AE381" s="141" t="s">
        <v>725</v>
      </c>
      <c r="AF381" s="141">
        <v>-45</v>
      </c>
      <c r="AG381" s="141">
        <v>-45</v>
      </c>
      <c r="AH381" s="141">
        <v>120</v>
      </c>
      <c r="AI381" s="141" t="s">
        <v>236</v>
      </c>
      <c r="AJ381" s="164" t="s">
        <v>2144</v>
      </c>
      <c r="AK381" s="141" t="s">
        <v>725</v>
      </c>
      <c r="AL381" s="143"/>
      <c r="AM381" s="141"/>
      <c r="AN381" s="143" t="s">
        <v>685</v>
      </c>
      <c r="AO381" s="143"/>
      <c r="AP381" s="143"/>
      <c r="AQ381" s="143"/>
      <c r="AR381" s="143"/>
      <c r="AS381" s="143"/>
      <c r="AT381" s="143"/>
      <c r="AU381" s="143"/>
      <c r="AV381" s="141"/>
      <c r="AW381" s="205"/>
      <c r="AX381" s="206"/>
      <c r="AY381" s="138"/>
      <c r="AZ381" s="138"/>
      <c r="BA381" s="138"/>
      <c r="BB381" s="138"/>
      <c r="BC381" s="138"/>
      <c r="BD381" s="138"/>
      <c r="BE381" s="138"/>
    </row>
    <row r="382" spans="1:57" s="139" customFormat="1" ht="114">
      <c r="A382" s="140" t="s">
        <v>6</v>
      </c>
      <c r="B382" s="129">
        <v>380</v>
      </c>
      <c r="C382" s="129" t="s">
        <v>2354</v>
      </c>
      <c r="D382" s="141" t="s">
        <v>3131</v>
      </c>
      <c r="E382" s="169" t="s">
        <v>2355</v>
      </c>
      <c r="F382" s="141" t="s">
        <v>242</v>
      </c>
      <c r="G382" s="141" t="s">
        <v>684</v>
      </c>
      <c r="H382" s="129" t="s">
        <v>1279</v>
      </c>
      <c r="I382" s="129" t="s">
        <v>1280</v>
      </c>
      <c r="J382" s="129" t="s">
        <v>935</v>
      </c>
      <c r="K382" s="129" t="s">
        <v>935</v>
      </c>
      <c r="L382" s="141" t="s">
        <v>684</v>
      </c>
      <c r="M382" s="141" t="s">
        <v>684</v>
      </c>
      <c r="N382" s="141">
        <v>200</v>
      </c>
      <c r="O382" s="141" t="s">
        <v>1281</v>
      </c>
      <c r="P382" s="129">
        <v>200</v>
      </c>
      <c r="Q382" s="173">
        <v>8</v>
      </c>
      <c r="R382" s="141">
        <v>63</v>
      </c>
      <c r="S382" s="141">
        <v>60</v>
      </c>
      <c r="T382" s="141">
        <v>4</v>
      </c>
      <c r="U382" s="141" t="s">
        <v>240</v>
      </c>
      <c r="V382" s="141" t="s">
        <v>727</v>
      </c>
      <c r="W382" s="129" t="s">
        <v>684</v>
      </c>
      <c r="X382" s="141" t="s">
        <v>684</v>
      </c>
      <c r="Y382" s="141" t="s">
        <v>2350</v>
      </c>
      <c r="Z382" s="141" t="s">
        <v>684</v>
      </c>
      <c r="AA382" s="141">
        <v>1</v>
      </c>
      <c r="AB382" s="141" t="s">
        <v>684</v>
      </c>
      <c r="AC382" s="141" t="s">
        <v>684</v>
      </c>
      <c r="AD382" s="141" t="s">
        <v>684</v>
      </c>
      <c r="AE382" s="141" t="s">
        <v>684</v>
      </c>
      <c r="AF382" s="141">
        <v>0</v>
      </c>
      <c r="AG382" s="141">
        <v>0</v>
      </c>
      <c r="AH382" s="141">
        <v>8</v>
      </c>
      <c r="AI382" s="141" t="s">
        <v>875</v>
      </c>
      <c r="AJ382" s="164" t="s">
        <v>2373</v>
      </c>
      <c r="AK382" s="143" t="s">
        <v>684</v>
      </c>
      <c r="AL382" s="143" t="s">
        <v>684</v>
      </c>
      <c r="AM382" s="143" t="s">
        <v>685</v>
      </c>
      <c r="AN382" s="143" t="s">
        <v>685</v>
      </c>
      <c r="AO382" s="143" t="s">
        <v>685</v>
      </c>
      <c r="AP382" s="143"/>
      <c r="AQ382" s="143"/>
      <c r="AR382" s="143"/>
      <c r="AS382" s="143" t="s">
        <v>685</v>
      </c>
      <c r="AT382" s="143"/>
      <c r="AU382" s="143"/>
      <c r="AV382" s="141"/>
      <c r="AW382" s="205"/>
      <c r="AX382" s="206"/>
      <c r="AY382" s="138"/>
      <c r="AZ382" s="138"/>
      <c r="BA382" s="138"/>
      <c r="BB382" s="138"/>
      <c r="BC382" s="138"/>
      <c r="BD382" s="138"/>
      <c r="BE382" s="138"/>
    </row>
    <row r="383" spans="1:57" s="139" customFormat="1" ht="25">
      <c r="A383" s="140" t="s">
        <v>6</v>
      </c>
      <c r="B383" s="129">
        <v>381</v>
      </c>
      <c r="C383" s="129" t="s">
        <v>1259</v>
      </c>
      <c r="D383" s="129" t="s">
        <v>3127</v>
      </c>
      <c r="E383" s="141" t="s">
        <v>1305</v>
      </c>
      <c r="F383" s="141" t="s">
        <v>1306</v>
      </c>
      <c r="G383" s="141" t="s">
        <v>684</v>
      </c>
      <c r="H383" s="129" t="s">
        <v>1279</v>
      </c>
      <c r="I383" s="129" t="s">
        <v>1280</v>
      </c>
      <c r="J383" s="129" t="s">
        <v>935</v>
      </c>
      <c r="K383" s="129" t="s">
        <v>935</v>
      </c>
      <c r="L383" s="129" t="s">
        <v>725</v>
      </c>
      <c r="M383" s="129" t="s">
        <v>725</v>
      </c>
      <c r="N383" s="129">
        <v>200</v>
      </c>
      <c r="O383" s="141" t="s">
        <v>1281</v>
      </c>
      <c r="P383" s="129">
        <v>200</v>
      </c>
      <c r="Q383" s="129">
        <v>8</v>
      </c>
      <c r="R383" s="141">
        <v>59</v>
      </c>
      <c r="S383" s="141">
        <v>56</v>
      </c>
      <c r="T383" s="141">
        <v>4</v>
      </c>
      <c r="U383" s="141" t="s">
        <v>726</v>
      </c>
      <c r="V383" s="141" t="s">
        <v>727</v>
      </c>
      <c r="W383" s="141" t="s">
        <v>684</v>
      </c>
      <c r="X383" s="141" t="s">
        <v>684</v>
      </c>
      <c r="Y383" s="129" t="s">
        <v>728</v>
      </c>
      <c r="Z383" s="129" t="s">
        <v>194</v>
      </c>
      <c r="AA383" s="141">
        <v>1</v>
      </c>
      <c r="AB383" s="141" t="s">
        <v>684</v>
      </c>
      <c r="AC383" s="141" t="s">
        <v>684</v>
      </c>
      <c r="AD383" s="141" t="s">
        <v>684</v>
      </c>
      <c r="AE383" s="141" t="s">
        <v>684</v>
      </c>
      <c r="AF383" s="141">
        <v>0</v>
      </c>
      <c r="AG383" s="141">
        <v>0</v>
      </c>
      <c r="AH383" s="141">
        <v>15</v>
      </c>
      <c r="AI383" s="129" t="s">
        <v>198</v>
      </c>
      <c r="AJ383" s="164" t="s">
        <v>2123</v>
      </c>
      <c r="AK383" s="141" t="s">
        <v>684</v>
      </c>
      <c r="AL383" s="141" t="s">
        <v>684</v>
      </c>
      <c r="AM383" s="143"/>
      <c r="AN383" s="160" t="s">
        <v>2397</v>
      </c>
      <c r="AO383" s="143" t="s">
        <v>685</v>
      </c>
      <c r="AP383" s="143"/>
      <c r="AQ383" s="143"/>
      <c r="AR383" s="143"/>
      <c r="AS383" s="143"/>
      <c r="AT383" s="143"/>
      <c r="AU383" s="143"/>
      <c r="AV383" s="143"/>
      <c r="AW383" s="144"/>
      <c r="AX383" s="145"/>
      <c r="AY383" s="138"/>
      <c r="AZ383" s="138"/>
      <c r="BA383" s="138"/>
      <c r="BB383" s="138"/>
      <c r="BC383" s="138"/>
      <c r="BD383" s="138"/>
      <c r="BE383" s="138"/>
    </row>
    <row r="384" spans="1:57" s="139" customFormat="1" ht="44">
      <c r="A384" s="140" t="s">
        <v>6</v>
      </c>
      <c r="B384" s="129">
        <v>382</v>
      </c>
      <c r="C384" s="172" t="s">
        <v>2411</v>
      </c>
      <c r="D384" s="172" t="s">
        <v>3115</v>
      </c>
      <c r="E384" s="169" t="s">
        <v>2412</v>
      </c>
      <c r="F384" s="169" t="s">
        <v>2403</v>
      </c>
      <c r="G384" s="141" t="s">
        <v>2401</v>
      </c>
      <c r="H384" s="141" t="s">
        <v>2413</v>
      </c>
      <c r="I384" s="141" t="s">
        <v>2414</v>
      </c>
      <c r="J384" s="129" t="s">
        <v>2404</v>
      </c>
      <c r="K384" s="129" t="s">
        <v>192</v>
      </c>
      <c r="L384" s="129" t="s">
        <v>2405</v>
      </c>
      <c r="M384" s="129" t="s">
        <v>2405</v>
      </c>
      <c r="N384" s="129">
        <v>200</v>
      </c>
      <c r="O384" s="129" t="s">
        <v>2405</v>
      </c>
      <c r="P384" s="129">
        <v>200</v>
      </c>
      <c r="Q384" s="129">
        <v>8</v>
      </c>
      <c r="R384" s="141">
        <v>7</v>
      </c>
      <c r="S384" s="141">
        <v>0</v>
      </c>
      <c r="T384" s="141">
        <v>8</v>
      </c>
      <c r="U384" s="141" t="s">
        <v>2406</v>
      </c>
      <c r="V384" s="141" t="s">
        <v>2407</v>
      </c>
      <c r="W384" s="141" t="s">
        <v>2401</v>
      </c>
      <c r="X384" s="141" t="s">
        <v>2401</v>
      </c>
      <c r="Y384" s="141" t="s">
        <v>2408</v>
      </c>
      <c r="Z384" s="129" t="s">
        <v>194</v>
      </c>
      <c r="AA384" s="141">
        <v>1</v>
      </c>
      <c r="AB384" s="141" t="s">
        <v>2401</v>
      </c>
      <c r="AC384" s="141" t="s">
        <v>2401</v>
      </c>
      <c r="AD384" s="141" t="s">
        <v>2401</v>
      </c>
      <c r="AE384" s="141" t="s">
        <v>2401</v>
      </c>
      <c r="AF384" s="141">
        <v>0</v>
      </c>
      <c r="AG384" s="141">
        <v>0</v>
      </c>
      <c r="AH384" s="141">
        <v>255</v>
      </c>
      <c r="AI384" s="141" t="s">
        <v>2409</v>
      </c>
      <c r="AJ384" s="159" t="s">
        <v>2121</v>
      </c>
      <c r="AK384" s="141" t="s">
        <v>2401</v>
      </c>
      <c r="AL384" s="141" t="s">
        <v>2401</v>
      </c>
      <c r="AM384" s="143"/>
      <c r="AN384" s="160" t="s">
        <v>2397</v>
      </c>
      <c r="AO384" s="143"/>
      <c r="AP384" s="143"/>
      <c r="AQ384" s="143"/>
      <c r="AR384" s="143"/>
      <c r="AS384" s="143"/>
      <c r="AT384" s="143"/>
      <c r="AU384" s="143"/>
      <c r="AV384" s="143"/>
      <c r="AW384" s="144"/>
      <c r="AX384" s="145"/>
      <c r="AY384" s="138"/>
      <c r="AZ384" s="138"/>
      <c r="BA384" s="138"/>
      <c r="BB384" s="138"/>
      <c r="BC384" s="138"/>
      <c r="BD384" s="138"/>
      <c r="BE384" s="138"/>
    </row>
    <row r="385" spans="1:57" s="139" customFormat="1" ht="58">
      <c r="A385" s="140" t="s">
        <v>6</v>
      </c>
      <c r="B385" s="129">
        <v>383</v>
      </c>
      <c r="C385" s="172" t="s">
        <v>1095</v>
      </c>
      <c r="D385" s="172"/>
      <c r="E385" s="212" t="s">
        <v>2956</v>
      </c>
      <c r="F385" s="141" t="s">
        <v>2957</v>
      </c>
      <c r="G385" s="141" t="s">
        <v>665</v>
      </c>
      <c r="H385" s="141" t="s">
        <v>1309</v>
      </c>
      <c r="I385" s="141" t="s">
        <v>1310</v>
      </c>
      <c r="J385" s="129" t="s">
        <v>668</v>
      </c>
      <c r="K385" s="129" t="s">
        <v>192</v>
      </c>
      <c r="L385" s="129" t="s">
        <v>669</v>
      </c>
      <c r="M385" s="129" t="s">
        <v>669</v>
      </c>
      <c r="N385" s="129">
        <v>200</v>
      </c>
      <c r="O385" s="129" t="s">
        <v>669</v>
      </c>
      <c r="P385" s="129">
        <v>200</v>
      </c>
      <c r="Q385" s="129">
        <v>8</v>
      </c>
      <c r="R385" s="141">
        <v>9</v>
      </c>
      <c r="S385" s="141">
        <v>8</v>
      </c>
      <c r="T385" s="252">
        <v>2</v>
      </c>
      <c r="U385" s="141" t="s">
        <v>670</v>
      </c>
      <c r="V385" s="141" t="s">
        <v>671</v>
      </c>
      <c r="W385" s="141" t="s">
        <v>665</v>
      </c>
      <c r="X385" s="141" t="s">
        <v>665</v>
      </c>
      <c r="Y385" s="129" t="s">
        <v>2958</v>
      </c>
      <c r="Z385" s="129" t="s">
        <v>194</v>
      </c>
      <c r="AA385" s="141">
        <v>1</v>
      </c>
      <c r="AB385" s="141" t="s">
        <v>665</v>
      </c>
      <c r="AC385" s="141" t="s">
        <v>665</v>
      </c>
      <c r="AD385" s="141" t="s">
        <v>665</v>
      </c>
      <c r="AE385" s="141" t="s">
        <v>665</v>
      </c>
      <c r="AF385" s="141">
        <v>0</v>
      </c>
      <c r="AG385" s="141">
        <v>0</v>
      </c>
      <c r="AH385" s="141">
        <v>3</v>
      </c>
      <c r="AI385" s="141" t="s">
        <v>673</v>
      </c>
      <c r="AJ385" s="164" t="s">
        <v>2959</v>
      </c>
      <c r="AK385" s="141" t="s">
        <v>665</v>
      </c>
      <c r="AL385" s="141" t="s">
        <v>665</v>
      </c>
      <c r="AM385" s="143"/>
      <c r="AN385" s="160"/>
      <c r="AO385" s="143"/>
      <c r="AP385" s="143"/>
      <c r="AQ385" s="143"/>
      <c r="AR385" s="143"/>
      <c r="AS385" s="143"/>
      <c r="AT385" s="143"/>
      <c r="AU385" s="143"/>
      <c r="AV385" s="143"/>
      <c r="AW385" s="144"/>
      <c r="AX385" s="145"/>
      <c r="AY385" s="138"/>
      <c r="AZ385" s="138"/>
      <c r="BA385" s="138"/>
      <c r="BB385" s="138"/>
      <c r="BC385" s="138"/>
      <c r="BD385" s="138"/>
      <c r="BE385" s="138"/>
    </row>
    <row r="386" spans="1:57" s="139" customFormat="1" ht="44">
      <c r="A386" s="140" t="s">
        <v>2784</v>
      </c>
      <c r="B386" s="129">
        <v>384</v>
      </c>
      <c r="C386" s="129" t="s">
        <v>2785</v>
      </c>
      <c r="D386" s="141" t="s">
        <v>3128</v>
      </c>
      <c r="E386" s="255" t="s">
        <v>2801</v>
      </c>
      <c r="F386" s="141" t="s">
        <v>2786</v>
      </c>
      <c r="G386" s="141" t="s">
        <v>2787</v>
      </c>
      <c r="H386" s="141" t="s">
        <v>2773</v>
      </c>
      <c r="I386" s="141" t="s">
        <v>2774</v>
      </c>
      <c r="J386" s="141" t="s">
        <v>192</v>
      </c>
      <c r="K386" s="141" t="s">
        <v>192</v>
      </c>
      <c r="L386" s="129" t="s">
        <v>2788</v>
      </c>
      <c r="M386" s="129" t="s">
        <v>2788</v>
      </c>
      <c r="N386" s="129">
        <v>200</v>
      </c>
      <c r="O386" s="129" t="s">
        <v>2788</v>
      </c>
      <c r="P386" s="129">
        <v>200</v>
      </c>
      <c r="Q386" s="129">
        <v>8</v>
      </c>
      <c r="R386" s="141">
        <v>15</v>
      </c>
      <c r="S386" s="141">
        <v>14</v>
      </c>
      <c r="T386" s="252">
        <v>2</v>
      </c>
      <c r="U386" s="141" t="s">
        <v>2777</v>
      </c>
      <c r="V386" s="141" t="s">
        <v>2778</v>
      </c>
      <c r="W386" s="141" t="s">
        <v>2789</v>
      </c>
      <c r="X386" s="141" t="s">
        <v>2787</v>
      </c>
      <c r="Y386" s="129" t="s">
        <v>2781</v>
      </c>
      <c r="Z386" s="129" t="s">
        <v>194</v>
      </c>
      <c r="AA386" s="141">
        <v>1</v>
      </c>
      <c r="AB386" s="141" t="s">
        <v>198</v>
      </c>
      <c r="AC386" s="141" t="s">
        <v>2787</v>
      </c>
      <c r="AD386" s="141">
        <v>1</v>
      </c>
      <c r="AE386" s="141" t="s">
        <v>2787</v>
      </c>
      <c r="AF386" s="141">
        <v>0</v>
      </c>
      <c r="AG386" s="141">
        <v>0</v>
      </c>
      <c r="AH386" s="141">
        <v>2</v>
      </c>
      <c r="AI386" s="141" t="s">
        <v>2787</v>
      </c>
      <c r="AJ386" s="164" t="s">
        <v>2790</v>
      </c>
      <c r="AK386" s="141" t="s">
        <v>2782</v>
      </c>
      <c r="AL386" s="141"/>
      <c r="AM386" s="143"/>
      <c r="AN386" s="143" t="s">
        <v>2791</v>
      </c>
      <c r="AO386" s="143" t="s">
        <v>559</v>
      </c>
      <c r="AP386" s="143"/>
      <c r="AQ386" s="143"/>
      <c r="AR386" s="143"/>
      <c r="AS386" s="143"/>
      <c r="AT386" s="143"/>
      <c r="AU386" s="143"/>
      <c r="AV386" s="143"/>
      <c r="AW386" s="144"/>
      <c r="AX386" s="145"/>
      <c r="AY386" s="138"/>
      <c r="AZ386" s="138"/>
      <c r="BA386" s="138"/>
      <c r="BB386" s="138"/>
      <c r="BC386" s="138"/>
      <c r="BD386" s="138"/>
      <c r="BE386" s="138"/>
    </row>
    <row r="387" spans="1:57" s="139" customFormat="1" ht="58">
      <c r="A387" s="140" t="s">
        <v>2792</v>
      </c>
      <c r="B387" s="129">
        <v>385</v>
      </c>
      <c r="C387" s="129" t="s">
        <v>1095</v>
      </c>
      <c r="D387" s="141" t="s">
        <v>3128</v>
      </c>
      <c r="E387" s="141" t="s">
        <v>2793</v>
      </c>
      <c r="F387" s="141" t="s">
        <v>2794</v>
      </c>
      <c r="G387" s="141" t="s">
        <v>2780</v>
      </c>
      <c r="H387" s="141" t="s">
        <v>2773</v>
      </c>
      <c r="I387" s="141" t="s">
        <v>2774</v>
      </c>
      <c r="J387" s="141" t="s">
        <v>192</v>
      </c>
      <c r="K387" s="141" t="s">
        <v>192</v>
      </c>
      <c r="L387" s="129" t="s">
        <v>2776</v>
      </c>
      <c r="M387" s="129" t="s">
        <v>2776</v>
      </c>
      <c r="N387" s="129">
        <v>200</v>
      </c>
      <c r="O387" s="129" t="s">
        <v>2776</v>
      </c>
      <c r="P387" s="129">
        <v>200</v>
      </c>
      <c r="Q387" s="129">
        <v>8</v>
      </c>
      <c r="R387" s="141">
        <v>13</v>
      </c>
      <c r="S387" s="141">
        <v>12</v>
      </c>
      <c r="T387" s="252">
        <v>2</v>
      </c>
      <c r="U387" s="141" t="s">
        <v>2777</v>
      </c>
      <c r="V387" s="141" t="s">
        <v>2778</v>
      </c>
      <c r="W387" s="141" t="s">
        <v>2779</v>
      </c>
      <c r="X387" s="141" t="s">
        <v>2780</v>
      </c>
      <c r="Y387" s="129" t="s">
        <v>2781</v>
      </c>
      <c r="Z387" s="129" t="s">
        <v>194</v>
      </c>
      <c r="AA387" s="141">
        <v>1</v>
      </c>
      <c r="AB387" s="141" t="s">
        <v>198</v>
      </c>
      <c r="AC387" s="141" t="s">
        <v>2780</v>
      </c>
      <c r="AD387" s="141">
        <v>1</v>
      </c>
      <c r="AE387" s="141" t="s">
        <v>2780</v>
      </c>
      <c r="AF387" s="141">
        <v>0</v>
      </c>
      <c r="AG387" s="141">
        <v>0</v>
      </c>
      <c r="AH387" s="141">
        <v>2</v>
      </c>
      <c r="AI387" s="141" t="s">
        <v>2780</v>
      </c>
      <c r="AJ387" s="164" t="s">
        <v>2795</v>
      </c>
      <c r="AK387" s="141" t="s">
        <v>2782</v>
      </c>
      <c r="AL387" s="141"/>
      <c r="AM387" s="143"/>
      <c r="AN387" s="143" t="s">
        <v>2783</v>
      </c>
      <c r="AO387" s="143" t="s">
        <v>559</v>
      </c>
      <c r="AP387" s="143"/>
      <c r="AQ387" s="143"/>
      <c r="AR387" s="143"/>
      <c r="AS387" s="143"/>
      <c r="AT387" s="143"/>
      <c r="AU387" s="143"/>
      <c r="AV387" s="143"/>
      <c r="AW387" s="144"/>
      <c r="AX387" s="145"/>
      <c r="AY387" s="138"/>
      <c r="AZ387" s="138"/>
      <c r="BA387" s="138"/>
      <c r="BB387" s="138"/>
      <c r="BC387" s="138"/>
      <c r="BD387" s="138"/>
      <c r="BE387" s="138"/>
    </row>
    <row r="388" spans="1:57" s="139" customFormat="1" ht="30">
      <c r="A388" s="140" t="s">
        <v>2792</v>
      </c>
      <c r="B388" s="129">
        <v>386</v>
      </c>
      <c r="C388" s="129" t="s">
        <v>2796</v>
      </c>
      <c r="D388" s="141" t="s">
        <v>3128</v>
      </c>
      <c r="E388" s="141" t="s">
        <v>2797</v>
      </c>
      <c r="F388" s="141" t="s">
        <v>2798</v>
      </c>
      <c r="G388" s="141" t="s">
        <v>2780</v>
      </c>
      <c r="H388" s="141" t="s">
        <v>2773</v>
      </c>
      <c r="I388" s="141" t="s">
        <v>2774</v>
      </c>
      <c r="J388" s="141" t="s">
        <v>192</v>
      </c>
      <c r="K388" s="141" t="s">
        <v>192</v>
      </c>
      <c r="L388" s="129" t="s">
        <v>2776</v>
      </c>
      <c r="M388" s="129" t="s">
        <v>2776</v>
      </c>
      <c r="N388" s="129">
        <v>200</v>
      </c>
      <c r="O388" s="129" t="s">
        <v>2776</v>
      </c>
      <c r="P388" s="129">
        <v>200</v>
      </c>
      <c r="Q388" s="129">
        <v>8</v>
      </c>
      <c r="R388" s="141">
        <v>23</v>
      </c>
      <c r="S388" s="141">
        <v>16</v>
      </c>
      <c r="T388" s="252">
        <v>8</v>
      </c>
      <c r="U388" s="141" t="s">
        <v>2777</v>
      </c>
      <c r="V388" s="141" t="s">
        <v>2778</v>
      </c>
      <c r="W388" s="141" t="s">
        <v>2779</v>
      </c>
      <c r="X388" s="141" t="s">
        <v>2780</v>
      </c>
      <c r="Y388" s="129" t="s">
        <v>2781</v>
      </c>
      <c r="Z388" s="129" t="s">
        <v>194</v>
      </c>
      <c r="AA388" s="141">
        <v>1</v>
      </c>
      <c r="AB388" s="141" t="s">
        <v>198</v>
      </c>
      <c r="AC388" s="141" t="s">
        <v>2780</v>
      </c>
      <c r="AD388" s="141">
        <v>1</v>
      </c>
      <c r="AE388" s="141" t="s">
        <v>2780</v>
      </c>
      <c r="AF388" s="141">
        <v>-45</v>
      </c>
      <c r="AG388" s="141">
        <v>-45</v>
      </c>
      <c r="AH388" s="141">
        <v>200</v>
      </c>
      <c r="AI388" s="141" t="s">
        <v>236</v>
      </c>
      <c r="AJ388" s="164" t="s">
        <v>2829</v>
      </c>
      <c r="AK388" s="141" t="s">
        <v>2782</v>
      </c>
      <c r="AL388" s="141"/>
      <c r="AM388" s="143"/>
      <c r="AN388" s="143" t="s">
        <v>2783</v>
      </c>
      <c r="AO388" s="143" t="s">
        <v>559</v>
      </c>
      <c r="AP388" s="143"/>
      <c r="AQ388" s="143"/>
      <c r="AR388" s="143"/>
      <c r="AS388" s="143"/>
      <c r="AT388" s="143"/>
      <c r="AU388" s="143"/>
      <c r="AV388" s="143"/>
      <c r="AW388" s="144"/>
      <c r="AX388" s="145"/>
      <c r="AY388" s="138"/>
      <c r="AZ388" s="138"/>
      <c r="BA388" s="138"/>
      <c r="BB388" s="138"/>
      <c r="BC388" s="138"/>
      <c r="BD388" s="138"/>
      <c r="BE388" s="138"/>
    </row>
    <row r="389" spans="1:57" s="139" customFormat="1" ht="30">
      <c r="A389" s="140" t="s">
        <v>2792</v>
      </c>
      <c r="B389" s="129">
        <v>387</v>
      </c>
      <c r="C389" s="129" t="s">
        <v>2796</v>
      </c>
      <c r="D389" s="141"/>
      <c r="E389" s="159" t="s">
        <v>2960</v>
      </c>
      <c r="F389" s="129" t="s">
        <v>2961</v>
      </c>
      <c r="G389" s="141" t="s">
        <v>2780</v>
      </c>
      <c r="H389" s="141" t="s">
        <v>2773</v>
      </c>
      <c r="I389" s="141" t="s">
        <v>2774</v>
      </c>
      <c r="J389" s="141" t="s">
        <v>192</v>
      </c>
      <c r="K389" s="141" t="s">
        <v>192</v>
      </c>
      <c r="L389" s="129" t="s">
        <v>2776</v>
      </c>
      <c r="M389" s="129" t="s">
        <v>2776</v>
      </c>
      <c r="N389" s="129">
        <v>200</v>
      </c>
      <c r="O389" s="129" t="s">
        <v>2776</v>
      </c>
      <c r="P389" s="129">
        <v>200</v>
      </c>
      <c r="Q389" s="129">
        <v>8</v>
      </c>
      <c r="R389" s="129">
        <v>39</v>
      </c>
      <c r="S389" s="129">
        <v>47</v>
      </c>
      <c r="T389" s="129">
        <v>9</v>
      </c>
      <c r="U389" s="141" t="s">
        <v>2777</v>
      </c>
      <c r="V389" s="141" t="s">
        <v>2778</v>
      </c>
      <c r="W389" s="141" t="s">
        <v>2779</v>
      </c>
      <c r="X389" s="141" t="s">
        <v>2780</v>
      </c>
      <c r="Y389" s="129" t="s">
        <v>2781</v>
      </c>
      <c r="Z389" s="129" t="s">
        <v>194</v>
      </c>
      <c r="AA389" s="141">
        <v>0.1</v>
      </c>
      <c r="AB389" s="141" t="s">
        <v>198</v>
      </c>
      <c r="AC389" s="141" t="s">
        <v>2780</v>
      </c>
      <c r="AD389" s="141">
        <v>1</v>
      </c>
      <c r="AE389" s="141" t="s">
        <v>2780</v>
      </c>
      <c r="AF389" s="129">
        <v>0</v>
      </c>
      <c r="AG389" s="129">
        <v>0</v>
      </c>
      <c r="AH389" s="129">
        <v>50</v>
      </c>
      <c r="AI389" s="129" t="s">
        <v>230</v>
      </c>
      <c r="AJ389" s="159" t="s">
        <v>2962</v>
      </c>
      <c r="AK389" s="141" t="s">
        <v>2963</v>
      </c>
      <c r="AL389" s="141" t="s">
        <v>2963</v>
      </c>
      <c r="AM389" s="143"/>
      <c r="AN389" s="143"/>
      <c r="AO389" s="143"/>
      <c r="AP389" s="143"/>
      <c r="AQ389" s="143"/>
      <c r="AR389" s="143"/>
      <c r="AS389" s="143"/>
      <c r="AT389" s="143"/>
      <c r="AU389" s="143"/>
      <c r="AV389" s="143"/>
      <c r="AW389" s="144"/>
      <c r="AX389" s="145"/>
      <c r="AY389" s="138"/>
      <c r="AZ389" s="138"/>
      <c r="BA389" s="138"/>
      <c r="BB389" s="138"/>
      <c r="BC389" s="138"/>
      <c r="BD389" s="138"/>
      <c r="BE389" s="138"/>
    </row>
    <row r="390" spans="1:57" s="139" customFormat="1" ht="59">
      <c r="A390" s="140" t="s">
        <v>6</v>
      </c>
      <c r="B390" s="129">
        <v>388</v>
      </c>
      <c r="C390" s="129" t="s">
        <v>1259</v>
      </c>
      <c r="D390" s="141" t="s">
        <v>3115</v>
      </c>
      <c r="E390" s="141" t="s">
        <v>1307</v>
      </c>
      <c r="F390" s="141" t="s">
        <v>1308</v>
      </c>
      <c r="G390" s="141" t="s">
        <v>684</v>
      </c>
      <c r="H390" s="141" t="s">
        <v>1309</v>
      </c>
      <c r="I390" s="141" t="s">
        <v>1310</v>
      </c>
      <c r="J390" s="141" t="s">
        <v>192</v>
      </c>
      <c r="K390" s="141" t="s">
        <v>192</v>
      </c>
      <c r="L390" s="129" t="s">
        <v>725</v>
      </c>
      <c r="M390" s="129" t="s">
        <v>725</v>
      </c>
      <c r="N390" s="129">
        <v>200</v>
      </c>
      <c r="O390" s="129" t="s">
        <v>725</v>
      </c>
      <c r="P390" s="129">
        <v>200</v>
      </c>
      <c r="Q390" s="129">
        <v>8</v>
      </c>
      <c r="R390" s="141">
        <v>46</v>
      </c>
      <c r="S390" s="141">
        <v>45</v>
      </c>
      <c r="T390" s="252">
        <v>2</v>
      </c>
      <c r="U390" s="141" t="s">
        <v>726</v>
      </c>
      <c r="V390" s="141" t="s">
        <v>727</v>
      </c>
      <c r="W390" s="141" t="s">
        <v>875</v>
      </c>
      <c r="X390" s="141" t="s">
        <v>684</v>
      </c>
      <c r="Y390" s="129" t="s">
        <v>728</v>
      </c>
      <c r="Z390" s="129" t="s">
        <v>194</v>
      </c>
      <c r="AA390" s="141">
        <v>1</v>
      </c>
      <c r="AB390" s="141" t="s">
        <v>198</v>
      </c>
      <c r="AC390" s="141" t="s">
        <v>684</v>
      </c>
      <c r="AD390" s="141">
        <v>1</v>
      </c>
      <c r="AE390" s="141" t="s">
        <v>684</v>
      </c>
      <c r="AF390" s="141">
        <v>0</v>
      </c>
      <c r="AG390" s="141">
        <v>0</v>
      </c>
      <c r="AH390" s="141">
        <v>3</v>
      </c>
      <c r="AI390" s="141" t="s">
        <v>684</v>
      </c>
      <c r="AJ390" s="164" t="s">
        <v>1311</v>
      </c>
      <c r="AK390" s="141" t="s">
        <v>684</v>
      </c>
      <c r="AL390" s="141"/>
      <c r="AM390" s="143"/>
      <c r="AN390" s="143" t="s">
        <v>685</v>
      </c>
      <c r="AO390" s="143"/>
      <c r="AP390" s="143"/>
      <c r="AQ390" s="143"/>
      <c r="AR390" s="143"/>
      <c r="AS390" s="143"/>
      <c r="AT390" s="143"/>
      <c r="AU390" s="143"/>
      <c r="AV390" s="143"/>
      <c r="AW390" s="144"/>
      <c r="AX390" s="145"/>
      <c r="AY390" s="138"/>
      <c r="AZ390" s="138"/>
      <c r="BA390" s="138"/>
      <c r="BB390" s="138"/>
      <c r="BC390" s="138"/>
      <c r="BD390" s="138"/>
      <c r="BE390" s="138"/>
    </row>
    <row r="391" spans="1:57" s="139" customFormat="1" ht="30">
      <c r="A391" s="140" t="s">
        <v>6</v>
      </c>
      <c r="B391" s="129">
        <v>389</v>
      </c>
      <c r="C391" s="129" t="s">
        <v>1259</v>
      </c>
      <c r="D391" s="141" t="s">
        <v>3115</v>
      </c>
      <c r="E391" s="129" t="s">
        <v>1312</v>
      </c>
      <c r="F391" s="129" t="s">
        <v>1313</v>
      </c>
      <c r="G391" s="141" t="s">
        <v>684</v>
      </c>
      <c r="H391" s="141" t="s">
        <v>1309</v>
      </c>
      <c r="I391" s="141" t="s">
        <v>1310</v>
      </c>
      <c r="J391" s="129" t="s">
        <v>935</v>
      </c>
      <c r="K391" s="129" t="s">
        <v>935</v>
      </c>
      <c r="L391" s="129" t="s">
        <v>725</v>
      </c>
      <c r="M391" s="129" t="s">
        <v>725</v>
      </c>
      <c r="N391" s="129">
        <v>200</v>
      </c>
      <c r="O391" s="129" t="s">
        <v>725</v>
      </c>
      <c r="P391" s="129">
        <v>200</v>
      </c>
      <c r="Q391" s="129">
        <v>8</v>
      </c>
      <c r="R391" s="129">
        <v>44</v>
      </c>
      <c r="S391" s="129">
        <v>49</v>
      </c>
      <c r="T391" s="129">
        <v>12</v>
      </c>
      <c r="U391" s="141" t="s">
        <v>726</v>
      </c>
      <c r="V391" s="141" t="s">
        <v>727</v>
      </c>
      <c r="W391" s="129" t="s">
        <v>684</v>
      </c>
      <c r="X391" s="129">
        <v>500</v>
      </c>
      <c r="Y391" s="141" t="s">
        <v>941</v>
      </c>
      <c r="Z391" s="129" t="s">
        <v>194</v>
      </c>
      <c r="AA391" s="129">
        <v>0.1</v>
      </c>
      <c r="AB391" s="129" t="s">
        <v>684</v>
      </c>
      <c r="AC391" s="129" t="s">
        <v>955</v>
      </c>
      <c r="AD391" s="129" t="s">
        <v>684</v>
      </c>
      <c r="AE391" s="129" t="s">
        <v>955</v>
      </c>
      <c r="AF391" s="129">
        <v>0</v>
      </c>
      <c r="AG391" s="129">
        <v>0</v>
      </c>
      <c r="AH391" s="129">
        <v>409.5</v>
      </c>
      <c r="AI391" s="129" t="s">
        <v>956</v>
      </c>
      <c r="AJ391" s="159" t="s">
        <v>2151</v>
      </c>
      <c r="AK391" s="141" t="s">
        <v>684</v>
      </c>
      <c r="AL391" s="141"/>
      <c r="AM391" s="143"/>
      <c r="AN391" s="143" t="s">
        <v>685</v>
      </c>
      <c r="AO391" s="143"/>
      <c r="AP391" s="143"/>
      <c r="AQ391" s="143"/>
      <c r="AR391" s="143"/>
      <c r="AS391" s="143"/>
      <c r="AT391" s="143"/>
      <c r="AU391" s="143"/>
      <c r="AV391" s="143"/>
      <c r="AW391" s="144"/>
      <c r="AX391" s="145"/>
      <c r="AY391" s="138"/>
      <c r="AZ391" s="138"/>
      <c r="BA391" s="138"/>
      <c r="BB391" s="138"/>
      <c r="BC391" s="138"/>
      <c r="BD391" s="138"/>
      <c r="BE391" s="138"/>
    </row>
    <row r="392" spans="1:57" s="139" customFormat="1" ht="58">
      <c r="A392" s="140" t="s">
        <v>6</v>
      </c>
      <c r="B392" s="129">
        <v>390</v>
      </c>
      <c r="C392" s="129" t="s">
        <v>1259</v>
      </c>
      <c r="D392" s="141" t="s">
        <v>3115</v>
      </c>
      <c r="E392" s="169" t="s">
        <v>1986</v>
      </c>
      <c r="F392" s="141" t="s">
        <v>1314</v>
      </c>
      <c r="G392" s="141" t="s">
        <v>684</v>
      </c>
      <c r="H392" s="169" t="s">
        <v>1987</v>
      </c>
      <c r="I392" s="141" t="s">
        <v>1310</v>
      </c>
      <c r="J392" s="129" t="s">
        <v>935</v>
      </c>
      <c r="K392" s="129" t="s">
        <v>935</v>
      </c>
      <c r="L392" s="129" t="s">
        <v>725</v>
      </c>
      <c r="M392" s="129" t="s">
        <v>725</v>
      </c>
      <c r="N392" s="129">
        <v>200</v>
      </c>
      <c r="O392" s="129" t="s">
        <v>725</v>
      </c>
      <c r="P392" s="129">
        <v>200</v>
      </c>
      <c r="Q392" s="129">
        <v>8</v>
      </c>
      <c r="R392" s="141">
        <v>48</v>
      </c>
      <c r="S392" s="141">
        <v>63</v>
      </c>
      <c r="T392" s="252">
        <v>2</v>
      </c>
      <c r="U392" s="141" t="s">
        <v>726</v>
      </c>
      <c r="V392" s="141" t="s">
        <v>727</v>
      </c>
      <c r="W392" s="141" t="s">
        <v>875</v>
      </c>
      <c r="X392" s="141" t="s">
        <v>684</v>
      </c>
      <c r="Y392" s="129" t="s">
        <v>728</v>
      </c>
      <c r="Z392" s="129" t="s">
        <v>194</v>
      </c>
      <c r="AA392" s="141">
        <v>1</v>
      </c>
      <c r="AB392" s="141" t="s">
        <v>198</v>
      </c>
      <c r="AC392" s="141" t="s">
        <v>684</v>
      </c>
      <c r="AD392" s="141">
        <v>1</v>
      </c>
      <c r="AE392" s="141" t="s">
        <v>684</v>
      </c>
      <c r="AF392" s="141">
        <v>0</v>
      </c>
      <c r="AG392" s="141">
        <v>0</v>
      </c>
      <c r="AH392" s="141">
        <v>3</v>
      </c>
      <c r="AI392" s="141" t="s">
        <v>684</v>
      </c>
      <c r="AJ392" s="254" t="s">
        <v>1985</v>
      </c>
      <c r="AK392" s="141" t="s">
        <v>684</v>
      </c>
      <c r="AL392" s="141"/>
      <c r="AM392" s="143"/>
      <c r="AN392" s="143" t="s">
        <v>685</v>
      </c>
      <c r="AO392" s="143"/>
      <c r="AP392" s="143"/>
      <c r="AQ392" s="143"/>
      <c r="AR392" s="143"/>
      <c r="AS392" s="143"/>
      <c r="AT392" s="143"/>
      <c r="AU392" s="143"/>
      <c r="AV392" s="143"/>
      <c r="AW392" s="144"/>
      <c r="AX392" s="145"/>
      <c r="AY392" s="138"/>
      <c r="AZ392" s="138"/>
      <c r="BA392" s="138"/>
      <c r="BB392" s="138"/>
      <c r="BC392" s="138"/>
      <c r="BD392" s="138"/>
      <c r="BE392" s="138"/>
    </row>
    <row r="393" spans="1:57" s="139" customFormat="1" ht="72">
      <c r="A393" s="140" t="s">
        <v>6</v>
      </c>
      <c r="B393" s="129">
        <v>391</v>
      </c>
      <c r="C393" s="129" t="s">
        <v>1095</v>
      </c>
      <c r="D393" s="141"/>
      <c r="E393" s="169" t="s">
        <v>2944</v>
      </c>
      <c r="F393" s="141" t="s">
        <v>2772</v>
      </c>
      <c r="G393" s="141" t="s">
        <v>665</v>
      </c>
      <c r="H393" s="169" t="s">
        <v>2773</v>
      </c>
      <c r="I393" s="141" t="s">
        <v>2774</v>
      </c>
      <c r="J393" s="129" t="s">
        <v>2775</v>
      </c>
      <c r="K393" s="129" t="s">
        <v>2775</v>
      </c>
      <c r="L393" s="129" t="s">
        <v>2776</v>
      </c>
      <c r="M393" s="129" t="s">
        <v>2776</v>
      </c>
      <c r="N393" s="129">
        <v>200</v>
      </c>
      <c r="O393" s="129" t="s">
        <v>2776</v>
      </c>
      <c r="P393" s="129">
        <v>200</v>
      </c>
      <c r="Q393" s="129">
        <v>8</v>
      </c>
      <c r="R393" s="141">
        <v>62</v>
      </c>
      <c r="S393" s="141">
        <v>60</v>
      </c>
      <c r="T393" s="252">
        <v>3</v>
      </c>
      <c r="U393" s="141" t="s">
        <v>2777</v>
      </c>
      <c r="V393" s="141" t="s">
        <v>2778</v>
      </c>
      <c r="W393" s="141" t="s">
        <v>2779</v>
      </c>
      <c r="X393" s="141" t="s">
        <v>2780</v>
      </c>
      <c r="Y393" s="129" t="s">
        <v>2781</v>
      </c>
      <c r="Z393" s="129" t="s">
        <v>194</v>
      </c>
      <c r="AA393" s="141">
        <v>1</v>
      </c>
      <c r="AB393" s="141" t="s">
        <v>198</v>
      </c>
      <c r="AC393" s="141" t="s">
        <v>2780</v>
      </c>
      <c r="AD393" s="141">
        <v>1</v>
      </c>
      <c r="AE393" s="141" t="s">
        <v>2780</v>
      </c>
      <c r="AF393" s="141">
        <v>0</v>
      </c>
      <c r="AG393" s="141">
        <v>0</v>
      </c>
      <c r="AH393" s="141">
        <v>4</v>
      </c>
      <c r="AI393" s="141" t="s">
        <v>2780</v>
      </c>
      <c r="AJ393" s="254" t="s">
        <v>2954</v>
      </c>
      <c r="AK393" s="141" t="s">
        <v>2782</v>
      </c>
      <c r="AL393" s="141"/>
      <c r="AM393" s="143"/>
      <c r="AN393" s="143"/>
      <c r="AO393" s="143"/>
      <c r="AP393" s="143"/>
      <c r="AQ393" s="143"/>
      <c r="AR393" s="143"/>
      <c r="AS393" s="143"/>
      <c r="AT393" s="143"/>
      <c r="AU393" s="143"/>
      <c r="AV393" s="143"/>
      <c r="AW393" s="144"/>
      <c r="AX393" s="145"/>
      <c r="AY393" s="138"/>
      <c r="AZ393" s="138"/>
      <c r="BA393" s="138"/>
      <c r="BB393" s="138"/>
      <c r="BC393" s="138"/>
      <c r="BD393" s="138"/>
      <c r="BE393" s="138"/>
    </row>
    <row r="394" spans="1:57" s="139" customFormat="1" ht="25">
      <c r="A394" s="140" t="s">
        <v>6</v>
      </c>
      <c r="B394" s="129">
        <v>392</v>
      </c>
      <c r="C394" s="172" t="s">
        <v>2411</v>
      </c>
      <c r="D394" s="172" t="s">
        <v>3115</v>
      </c>
      <c r="E394" s="160" t="s">
        <v>2415</v>
      </c>
      <c r="F394" s="172" t="s">
        <v>2416</v>
      </c>
      <c r="G394" s="141" t="s">
        <v>2401</v>
      </c>
      <c r="H394" s="141" t="s">
        <v>2413</v>
      </c>
      <c r="I394" s="141" t="s">
        <v>2414</v>
      </c>
      <c r="J394" s="129" t="s">
        <v>2404</v>
      </c>
      <c r="K394" s="129" t="s">
        <v>2404</v>
      </c>
      <c r="L394" s="129" t="s">
        <v>2405</v>
      </c>
      <c r="M394" s="129" t="s">
        <v>2405</v>
      </c>
      <c r="N394" s="129">
        <v>200</v>
      </c>
      <c r="O394" s="129" t="s">
        <v>2405</v>
      </c>
      <c r="P394" s="129">
        <v>200</v>
      </c>
      <c r="Q394" s="129">
        <v>8</v>
      </c>
      <c r="R394" s="129">
        <v>59</v>
      </c>
      <c r="S394" s="129">
        <v>56</v>
      </c>
      <c r="T394" s="129">
        <v>4</v>
      </c>
      <c r="U394" s="141" t="s">
        <v>2406</v>
      </c>
      <c r="V394" s="141" t="s">
        <v>2407</v>
      </c>
      <c r="W394" s="129" t="s">
        <v>2405</v>
      </c>
      <c r="X394" s="141" t="s">
        <v>2401</v>
      </c>
      <c r="Y394" s="129" t="s">
        <v>2410</v>
      </c>
      <c r="Z394" s="129" t="s">
        <v>194</v>
      </c>
      <c r="AA394" s="129">
        <v>1</v>
      </c>
      <c r="AB394" s="129" t="s">
        <v>2405</v>
      </c>
      <c r="AC394" s="129" t="s">
        <v>2405</v>
      </c>
      <c r="AD394" s="129" t="s">
        <v>2405</v>
      </c>
      <c r="AE394" s="129" t="s">
        <v>2405</v>
      </c>
      <c r="AF394" s="129">
        <v>0</v>
      </c>
      <c r="AG394" s="129">
        <v>0</v>
      </c>
      <c r="AH394" s="129">
        <v>15</v>
      </c>
      <c r="AI394" s="129" t="s">
        <v>2401</v>
      </c>
      <c r="AJ394" s="159" t="s">
        <v>2123</v>
      </c>
      <c r="AK394" s="141" t="s">
        <v>2401</v>
      </c>
      <c r="AL394" s="141" t="s">
        <v>2401</v>
      </c>
      <c r="AM394" s="143"/>
      <c r="AN394" s="160" t="s">
        <v>2397</v>
      </c>
      <c r="AO394" s="143"/>
      <c r="AP394" s="143"/>
      <c r="AQ394" s="143"/>
      <c r="AR394" s="143"/>
      <c r="AS394" s="143"/>
      <c r="AT394" s="143"/>
      <c r="AU394" s="143"/>
      <c r="AV394" s="143"/>
      <c r="AW394" s="144"/>
      <c r="AX394" s="145"/>
      <c r="AY394" s="138"/>
      <c r="AZ394" s="138"/>
      <c r="BA394" s="138"/>
      <c r="BB394" s="138"/>
      <c r="BC394" s="138"/>
      <c r="BD394" s="138"/>
      <c r="BE394" s="138"/>
    </row>
    <row r="395" spans="1:57" s="139" customFormat="1" ht="30">
      <c r="A395" s="140" t="s">
        <v>6</v>
      </c>
      <c r="B395" s="129">
        <v>393</v>
      </c>
      <c r="C395" s="129" t="s">
        <v>1095</v>
      </c>
      <c r="D395" s="141" t="s">
        <v>3130</v>
      </c>
      <c r="E395" s="129" t="s">
        <v>2964</v>
      </c>
      <c r="F395" s="129" t="s">
        <v>2965</v>
      </c>
      <c r="G395" s="141" t="s">
        <v>665</v>
      </c>
      <c r="H395" s="141" t="s">
        <v>2968</v>
      </c>
      <c r="I395" s="141" t="s">
        <v>2969</v>
      </c>
      <c r="J395" s="129" t="s">
        <v>815</v>
      </c>
      <c r="K395" s="129" t="s">
        <v>668</v>
      </c>
      <c r="L395" s="129" t="s">
        <v>193</v>
      </c>
      <c r="M395" s="129"/>
      <c r="N395" s="129">
        <v>20</v>
      </c>
      <c r="O395" s="129" t="s">
        <v>193</v>
      </c>
      <c r="P395" s="129" t="s">
        <v>665</v>
      </c>
      <c r="Q395" s="129">
        <v>8</v>
      </c>
      <c r="R395" s="129">
        <v>23</v>
      </c>
      <c r="S395" s="129">
        <v>26</v>
      </c>
      <c r="T395" s="129">
        <v>14</v>
      </c>
      <c r="U395" s="141" t="s">
        <v>670</v>
      </c>
      <c r="V395" s="141" t="s">
        <v>671</v>
      </c>
      <c r="W395" s="129" t="s">
        <v>193</v>
      </c>
      <c r="X395" s="141" t="s">
        <v>665</v>
      </c>
      <c r="Y395" s="141" t="s">
        <v>2971</v>
      </c>
      <c r="Z395" s="129" t="s">
        <v>194</v>
      </c>
      <c r="AA395" s="129">
        <v>0.1</v>
      </c>
      <c r="AB395" s="129" t="s">
        <v>2972</v>
      </c>
      <c r="AC395" s="129" t="s">
        <v>2972</v>
      </c>
      <c r="AD395" s="129" t="s">
        <v>2972</v>
      </c>
      <c r="AE395" s="129" t="s">
        <v>2972</v>
      </c>
      <c r="AF395" s="129">
        <v>0</v>
      </c>
      <c r="AG395" s="129">
        <v>0</v>
      </c>
      <c r="AH395" s="129">
        <v>1000</v>
      </c>
      <c r="AI395" s="129" t="s">
        <v>2973</v>
      </c>
      <c r="AJ395" s="159" t="s">
        <v>2974</v>
      </c>
      <c r="AK395" s="141" t="s">
        <v>2972</v>
      </c>
      <c r="AL395" s="141" t="s">
        <v>2972</v>
      </c>
      <c r="AM395" s="143"/>
      <c r="AN395" s="160"/>
      <c r="AO395" s="143" t="s">
        <v>2975</v>
      </c>
      <c r="AP395" s="143"/>
      <c r="AQ395" s="143"/>
      <c r="AR395" s="143"/>
      <c r="AS395" s="143"/>
      <c r="AT395" s="143"/>
      <c r="AU395" s="143"/>
      <c r="AV395" s="143"/>
      <c r="AW395" s="144"/>
      <c r="AX395" s="145"/>
      <c r="AY395" s="138"/>
      <c r="AZ395" s="138"/>
      <c r="BA395" s="138"/>
      <c r="BB395" s="138"/>
      <c r="BC395" s="138"/>
      <c r="BD395" s="138"/>
      <c r="BE395" s="138"/>
    </row>
    <row r="396" spans="1:57" s="139" customFormat="1" ht="30">
      <c r="A396" s="140" t="s">
        <v>6</v>
      </c>
      <c r="B396" s="129">
        <v>394</v>
      </c>
      <c r="C396" s="129" t="s">
        <v>1095</v>
      </c>
      <c r="D396" s="141" t="s">
        <v>3130</v>
      </c>
      <c r="E396" s="129" t="s">
        <v>2966</v>
      </c>
      <c r="F396" s="129" t="s">
        <v>2967</v>
      </c>
      <c r="G396" s="141" t="s">
        <v>665</v>
      </c>
      <c r="H396" s="141" t="s">
        <v>2968</v>
      </c>
      <c r="I396" s="141" t="s">
        <v>2970</v>
      </c>
      <c r="J396" s="129" t="s">
        <v>815</v>
      </c>
      <c r="K396" s="129" t="s">
        <v>668</v>
      </c>
      <c r="L396" s="129" t="s">
        <v>193</v>
      </c>
      <c r="M396" s="129"/>
      <c r="N396" s="129">
        <v>20</v>
      </c>
      <c r="O396" s="129" t="s">
        <v>193</v>
      </c>
      <c r="P396" s="129" t="s">
        <v>665</v>
      </c>
      <c r="Q396" s="129">
        <v>8</v>
      </c>
      <c r="R396" s="129">
        <v>39</v>
      </c>
      <c r="S396" s="129">
        <v>42</v>
      </c>
      <c r="T396" s="129">
        <v>14</v>
      </c>
      <c r="U396" s="141" t="s">
        <v>670</v>
      </c>
      <c r="V396" s="141" t="s">
        <v>671</v>
      </c>
      <c r="W396" s="129" t="s">
        <v>193</v>
      </c>
      <c r="X396" s="141" t="s">
        <v>665</v>
      </c>
      <c r="Y396" s="141" t="s">
        <v>941</v>
      </c>
      <c r="Z396" s="129" t="s">
        <v>194</v>
      </c>
      <c r="AA396" s="129">
        <v>0.1</v>
      </c>
      <c r="AB396" s="129" t="s">
        <v>2972</v>
      </c>
      <c r="AC396" s="129" t="s">
        <v>2972</v>
      </c>
      <c r="AD396" s="129" t="s">
        <v>2972</v>
      </c>
      <c r="AE396" s="129" t="s">
        <v>2972</v>
      </c>
      <c r="AF396" s="129">
        <v>0</v>
      </c>
      <c r="AG396" s="129">
        <v>0</v>
      </c>
      <c r="AH396" s="129">
        <v>1000</v>
      </c>
      <c r="AI396" s="129" t="s">
        <v>2973</v>
      </c>
      <c r="AJ396" s="159" t="s">
        <v>2974</v>
      </c>
      <c r="AK396" s="141" t="s">
        <v>2972</v>
      </c>
      <c r="AL396" s="141" t="s">
        <v>2972</v>
      </c>
      <c r="AM396" s="143"/>
      <c r="AN396" s="160"/>
      <c r="AO396" s="143" t="s">
        <v>677</v>
      </c>
      <c r="AP396" s="143"/>
      <c r="AQ396" s="143"/>
      <c r="AR396" s="143"/>
      <c r="AS396" s="143"/>
      <c r="AT396" s="143"/>
      <c r="AU396" s="143"/>
      <c r="AV396" s="143"/>
      <c r="AW396" s="144"/>
      <c r="AX396" s="145"/>
      <c r="AY396" s="138"/>
      <c r="AZ396" s="138"/>
      <c r="BA396" s="138"/>
      <c r="BB396" s="138"/>
      <c r="BC396" s="138"/>
      <c r="BD396" s="138"/>
      <c r="BE396" s="138"/>
    </row>
    <row r="397" spans="1:57" s="139" customFormat="1" ht="44">
      <c r="A397" s="140" t="s">
        <v>6</v>
      </c>
      <c r="B397" s="129">
        <v>395</v>
      </c>
      <c r="C397" s="129" t="s">
        <v>1315</v>
      </c>
      <c r="D397" s="129" t="s">
        <v>3132</v>
      </c>
      <c r="E397" s="169" t="s">
        <v>1943</v>
      </c>
      <c r="F397" s="141" t="s">
        <v>968</v>
      </c>
      <c r="G397" s="141" t="s">
        <v>684</v>
      </c>
      <c r="H397" s="141" t="s">
        <v>1316</v>
      </c>
      <c r="I397" s="141" t="s">
        <v>1317</v>
      </c>
      <c r="J397" s="129" t="s">
        <v>935</v>
      </c>
      <c r="K397" s="129" t="s">
        <v>935</v>
      </c>
      <c r="L397" s="129" t="s">
        <v>725</v>
      </c>
      <c r="M397" s="129" t="s">
        <v>725</v>
      </c>
      <c r="N397" s="129">
        <v>100</v>
      </c>
      <c r="O397" s="141" t="s">
        <v>1281</v>
      </c>
      <c r="P397" s="129" t="s">
        <v>725</v>
      </c>
      <c r="Q397" s="141">
        <v>8</v>
      </c>
      <c r="R397" s="141">
        <v>7</v>
      </c>
      <c r="S397" s="141">
        <v>0</v>
      </c>
      <c r="T397" s="141">
        <v>8</v>
      </c>
      <c r="U397" s="141" t="s">
        <v>726</v>
      </c>
      <c r="V397" s="141" t="s">
        <v>727</v>
      </c>
      <c r="W397" s="141" t="s">
        <v>684</v>
      </c>
      <c r="X397" s="141" t="s">
        <v>684</v>
      </c>
      <c r="Y397" s="141" t="s">
        <v>874</v>
      </c>
      <c r="Z397" s="129" t="s">
        <v>194</v>
      </c>
      <c r="AA397" s="141">
        <v>1</v>
      </c>
      <c r="AB397" s="141" t="s">
        <v>684</v>
      </c>
      <c r="AC397" s="141" t="s">
        <v>684</v>
      </c>
      <c r="AD397" s="141" t="s">
        <v>684</v>
      </c>
      <c r="AE397" s="141" t="s">
        <v>684</v>
      </c>
      <c r="AF397" s="141">
        <v>0</v>
      </c>
      <c r="AG397" s="141">
        <v>0</v>
      </c>
      <c r="AH397" s="141">
        <v>255</v>
      </c>
      <c r="AI397" s="129" t="s">
        <v>198</v>
      </c>
      <c r="AJ397" s="159" t="s">
        <v>2121</v>
      </c>
      <c r="AK397" s="141" t="s">
        <v>684</v>
      </c>
      <c r="AL397" s="141" t="s">
        <v>684</v>
      </c>
      <c r="AM397" s="143"/>
      <c r="AN397" s="143" t="s">
        <v>685</v>
      </c>
      <c r="AO397" s="143"/>
      <c r="AP397" s="143"/>
      <c r="AQ397" s="143"/>
      <c r="AR397" s="143"/>
      <c r="AS397" s="143"/>
      <c r="AT397" s="143"/>
      <c r="AU397" s="143"/>
      <c r="AV397" s="143"/>
      <c r="AW397" s="144"/>
      <c r="AX397" s="145"/>
      <c r="AY397" s="138"/>
      <c r="AZ397" s="138"/>
      <c r="BA397" s="138"/>
      <c r="BB397" s="138"/>
      <c r="BC397" s="138"/>
      <c r="BD397" s="138"/>
      <c r="BE397" s="138"/>
    </row>
    <row r="398" spans="1:57" s="139" customFormat="1" ht="25">
      <c r="A398" s="140" t="s">
        <v>6</v>
      </c>
      <c r="B398" s="129">
        <v>396</v>
      </c>
      <c r="C398" s="129" t="s">
        <v>1315</v>
      </c>
      <c r="D398" s="129" t="s">
        <v>3132</v>
      </c>
      <c r="E398" s="169" t="s">
        <v>1944</v>
      </c>
      <c r="F398" s="141" t="s">
        <v>1318</v>
      </c>
      <c r="G398" s="141" t="s">
        <v>684</v>
      </c>
      <c r="H398" s="141" t="s">
        <v>1316</v>
      </c>
      <c r="I398" s="141" t="s">
        <v>1317</v>
      </c>
      <c r="J398" s="129" t="s">
        <v>935</v>
      </c>
      <c r="K398" s="129" t="s">
        <v>935</v>
      </c>
      <c r="L398" s="129" t="s">
        <v>725</v>
      </c>
      <c r="M398" s="129" t="s">
        <v>725</v>
      </c>
      <c r="N398" s="129">
        <v>100</v>
      </c>
      <c r="O398" s="141" t="s">
        <v>1281</v>
      </c>
      <c r="P398" s="129" t="s">
        <v>725</v>
      </c>
      <c r="Q398" s="141">
        <v>8</v>
      </c>
      <c r="R398" s="141">
        <v>15</v>
      </c>
      <c r="S398" s="141">
        <v>20</v>
      </c>
      <c r="T398" s="141">
        <v>12</v>
      </c>
      <c r="U398" s="141" t="s">
        <v>726</v>
      </c>
      <c r="V398" s="141" t="s">
        <v>727</v>
      </c>
      <c r="W398" s="141" t="s">
        <v>684</v>
      </c>
      <c r="X398" s="141" t="s">
        <v>684</v>
      </c>
      <c r="Y398" s="129" t="s">
        <v>778</v>
      </c>
      <c r="Z398" s="129" t="s">
        <v>194</v>
      </c>
      <c r="AA398" s="141">
        <v>8.7890700000000002E-2</v>
      </c>
      <c r="AB398" s="141" t="s">
        <v>684</v>
      </c>
      <c r="AC398" s="141" t="s">
        <v>684</v>
      </c>
      <c r="AD398" s="141" t="s">
        <v>684</v>
      </c>
      <c r="AE398" s="141" t="s">
        <v>684</v>
      </c>
      <c r="AF398" s="129">
        <v>0</v>
      </c>
      <c r="AG398" s="129">
        <v>0</v>
      </c>
      <c r="AH398" s="141">
        <v>359.91199999999998</v>
      </c>
      <c r="AI398" s="141" t="s">
        <v>1319</v>
      </c>
      <c r="AJ398" s="164" t="s">
        <v>2152</v>
      </c>
      <c r="AK398" s="141" t="s">
        <v>684</v>
      </c>
      <c r="AL398" s="141" t="s">
        <v>684</v>
      </c>
      <c r="AM398" s="143"/>
      <c r="AN398" s="143" t="s">
        <v>685</v>
      </c>
      <c r="AO398" s="143"/>
      <c r="AP398" s="143"/>
      <c r="AQ398" s="143"/>
      <c r="AR398" s="143"/>
      <c r="AS398" s="143"/>
      <c r="AT398" s="143"/>
      <c r="AU398" s="143"/>
      <c r="AV398" s="143"/>
      <c r="AW398" s="144"/>
      <c r="AX398" s="145"/>
      <c r="AY398" s="138"/>
      <c r="AZ398" s="138"/>
      <c r="BA398" s="138"/>
      <c r="BB398" s="138"/>
      <c r="BC398" s="138"/>
      <c r="BD398" s="138"/>
      <c r="BE398" s="138"/>
    </row>
    <row r="399" spans="1:57" s="139" customFormat="1" ht="44">
      <c r="A399" s="140" t="s">
        <v>6</v>
      </c>
      <c r="B399" s="129">
        <v>397</v>
      </c>
      <c r="C399" s="129" t="s">
        <v>1315</v>
      </c>
      <c r="D399" s="129" t="s">
        <v>3119</v>
      </c>
      <c r="E399" s="169" t="s">
        <v>1945</v>
      </c>
      <c r="F399" s="141" t="s">
        <v>1320</v>
      </c>
      <c r="G399" s="141" t="s">
        <v>684</v>
      </c>
      <c r="H399" s="141" t="s">
        <v>1316</v>
      </c>
      <c r="I399" s="141" t="s">
        <v>1317</v>
      </c>
      <c r="J399" s="129" t="s">
        <v>935</v>
      </c>
      <c r="K399" s="129" t="s">
        <v>935</v>
      </c>
      <c r="L399" s="129" t="s">
        <v>725</v>
      </c>
      <c r="M399" s="129" t="s">
        <v>725</v>
      </c>
      <c r="N399" s="129">
        <v>100</v>
      </c>
      <c r="O399" s="141" t="s">
        <v>1321</v>
      </c>
      <c r="P399" s="129" t="s">
        <v>725</v>
      </c>
      <c r="Q399" s="141">
        <v>8</v>
      </c>
      <c r="R399" s="141">
        <v>17</v>
      </c>
      <c r="S399" s="141">
        <v>24</v>
      </c>
      <c r="T399" s="141">
        <v>10</v>
      </c>
      <c r="U399" s="141" t="s">
        <v>726</v>
      </c>
      <c r="V399" s="141" t="s">
        <v>727</v>
      </c>
      <c r="W399" s="141" t="s">
        <v>684</v>
      </c>
      <c r="X399" s="141" t="s">
        <v>684</v>
      </c>
      <c r="Y399" s="129" t="s">
        <v>728</v>
      </c>
      <c r="Z399" s="129" t="s">
        <v>194</v>
      </c>
      <c r="AA399" s="141">
        <v>1</v>
      </c>
      <c r="AB399" s="141" t="s">
        <v>684</v>
      </c>
      <c r="AC399" s="141" t="s">
        <v>684</v>
      </c>
      <c r="AD399" s="141" t="s">
        <v>684</v>
      </c>
      <c r="AE399" s="141" t="s">
        <v>684</v>
      </c>
      <c r="AF399" s="129">
        <v>-200</v>
      </c>
      <c r="AG399" s="129">
        <v>-200</v>
      </c>
      <c r="AH399" s="141">
        <v>200</v>
      </c>
      <c r="AI399" s="141" t="s">
        <v>1322</v>
      </c>
      <c r="AJ399" s="212" t="s">
        <v>2184</v>
      </c>
      <c r="AK399" s="141" t="s">
        <v>684</v>
      </c>
      <c r="AL399" s="141" t="s">
        <v>1323</v>
      </c>
      <c r="AM399" s="143" t="s">
        <v>685</v>
      </c>
      <c r="AN399" s="143" t="s">
        <v>685</v>
      </c>
      <c r="AO399" s="143"/>
      <c r="AP399" s="143"/>
      <c r="AQ399" s="143"/>
      <c r="AR399" s="143"/>
      <c r="AS399" s="143"/>
      <c r="AT399" s="143"/>
      <c r="AU399" s="143"/>
      <c r="AV399" s="143"/>
      <c r="AW399" s="144"/>
      <c r="AX399" s="145"/>
      <c r="AY399" s="138"/>
      <c r="AZ399" s="138"/>
      <c r="BA399" s="138"/>
      <c r="BB399" s="138"/>
      <c r="BC399" s="138"/>
      <c r="BD399" s="138"/>
      <c r="BE399" s="138"/>
    </row>
    <row r="400" spans="1:57" s="139" customFormat="1" ht="30">
      <c r="A400" s="140" t="s">
        <v>6</v>
      </c>
      <c r="B400" s="129">
        <v>398</v>
      </c>
      <c r="C400" s="141" t="s">
        <v>1315</v>
      </c>
      <c r="D400" s="141" t="s">
        <v>3115</v>
      </c>
      <c r="E400" s="172" t="s">
        <v>1960</v>
      </c>
      <c r="F400" s="141" t="s">
        <v>1324</v>
      </c>
      <c r="G400" s="141" t="s">
        <v>684</v>
      </c>
      <c r="H400" s="141" t="s">
        <v>1316</v>
      </c>
      <c r="I400" s="141" t="s">
        <v>1317</v>
      </c>
      <c r="J400" s="129" t="s">
        <v>935</v>
      </c>
      <c r="K400" s="129" t="s">
        <v>935</v>
      </c>
      <c r="L400" s="129" t="s">
        <v>725</v>
      </c>
      <c r="M400" s="129" t="s">
        <v>725</v>
      </c>
      <c r="N400" s="129">
        <v>100</v>
      </c>
      <c r="O400" s="141" t="s">
        <v>1321</v>
      </c>
      <c r="P400" s="129" t="s">
        <v>725</v>
      </c>
      <c r="Q400" s="141">
        <v>8</v>
      </c>
      <c r="R400" s="141">
        <v>39</v>
      </c>
      <c r="S400" s="141">
        <v>39</v>
      </c>
      <c r="T400" s="141">
        <v>1</v>
      </c>
      <c r="U400" s="141" t="s">
        <v>726</v>
      </c>
      <c r="V400" s="141" t="s">
        <v>727</v>
      </c>
      <c r="W400" s="141" t="s">
        <v>684</v>
      </c>
      <c r="X400" s="141" t="s">
        <v>684</v>
      </c>
      <c r="Y400" s="129" t="s">
        <v>728</v>
      </c>
      <c r="Z400" s="129" t="s">
        <v>194</v>
      </c>
      <c r="AA400" s="141">
        <v>1</v>
      </c>
      <c r="AB400" s="141" t="s">
        <v>684</v>
      </c>
      <c r="AC400" s="141" t="s">
        <v>684</v>
      </c>
      <c r="AD400" s="141" t="s">
        <v>684</v>
      </c>
      <c r="AE400" s="141" t="s">
        <v>684</v>
      </c>
      <c r="AF400" s="141">
        <v>0</v>
      </c>
      <c r="AG400" s="141">
        <v>0</v>
      </c>
      <c r="AH400" s="141">
        <v>1</v>
      </c>
      <c r="AI400" s="129" t="s">
        <v>198</v>
      </c>
      <c r="AJ400" s="164" t="s">
        <v>228</v>
      </c>
      <c r="AK400" s="141" t="s">
        <v>684</v>
      </c>
      <c r="AL400" s="141" t="s">
        <v>665</v>
      </c>
      <c r="AM400" s="143"/>
      <c r="AN400" s="143" t="s">
        <v>685</v>
      </c>
      <c r="AO400" s="143"/>
      <c r="AP400" s="143"/>
      <c r="AQ400" s="143"/>
      <c r="AR400" s="143"/>
      <c r="AS400" s="143"/>
      <c r="AT400" s="143"/>
      <c r="AU400" s="143"/>
      <c r="AV400" s="143"/>
      <c r="AW400" s="144"/>
      <c r="AX400" s="145"/>
      <c r="AY400" s="138"/>
      <c r="AZ400" s="138"/>
      <c r="BA400" s="138"/>
      <c r="BB400" s="138"/>
      <c r="BC400" s="138"/>
      <c r="BD400" s="138"/>
      <c r="BE400" s="138"/>
    </row>
    <row r="401" spans="1:57" s="139" customFormat="1" ht="44">
      <c r="A401" s="140" t="s">
        <v>6</v>
      </c>
      <c r="B401" s="129">
        <v>399</v>
      </c>
      <c r="C401" s="129" t="s">
        <v>1315</v>
      </c>
      <c r="D401" s="141" t="s">
        <v>3115</v>
      </c>
      <c r="E401" s="172" t="s">
        <v>1961</v>
      </c>
      <c r="F401" s="141" t="s">
        <v>1325</v>
      </c>
      <c r="G401" s="141" t="s">
        <v>684</v>
      </c>
      <c r="H401" s="141" t="s">
        <v>1316</v>
      </c>
      <c r="I401" s="141" t="s">
        <v>1317</v>
      </c>
      <c r="J401" s="129" t="s">
        <v>935</v>
      </c>
      <c r="K401" s="129" t="s">
        <v>935</v>
      </c>
      <c r="L401" s="129" t="s">
        <v>725</v>
      </c>
      <c r="M401" s="129" t="s">
        <v>725</v>
      </c>
      <c r="N401" s="129">
        <v>100</v>
      </c>
      <c r="O401" s="141" t="s">
        <v>1321</v>
      </c>
      <c r="P401" s="129" t="s">
        <v>725</v>
      </c>
      <c r="Q401" s="141">
        <v>8</v>
      </c>
      <c r="R401" s="141">
        <v>38</v>
      </c>
      <c r="S401" s="141">
        <v>38</v>
      </c>
      <c r="T401" s="141">
        <v>1</v>
      </c>
      <c r="U401" s="141" t="s">
        <v>726</v>
      </c>
      <c r="V401" s="141" t="s">
        <v>727</v>
      </c>
      <c r="W401" s="141" t="s">
        <v>684</v>
      </c>
      <c r="X401" s="141" t="s">
        <v>684</v>
      </c>
      <c r="Y401" s="129" t="s">
        <v>728</v>
      </c>
      <c r="Z401" s="129" t="s">
        <v>194</v>
      </c>
      <c r="AA401" s="141">
        <v>1</v>
      </c>
      <c r="AB401" s="141" t="s">
        <v>684</v>
      </c>
      <c r="AC401" s="141" t="s">
        <v>684</v>
      </c>
      <c r="AD401" s="141" t="s">
        <v>684</v>
      </c>
      <c r="AE401" s="141" t="s">
        <v>684</v>
      </c>
      <c r="AF401" s="141">
        <v>0</v>
      </c>
      <c r="AG401" s="141">
        <v>0</v>
      </c>
      <c r="AH401" s="141">
        <v>1</v>
      </c>
      <c r="AI401" s="129" t="s">
        <v>198</v>
      </c>
      <c r="AJ401" s="164" t="s">
        <v>228</v>
      </c>
      <c r="AK401" s="141" t="s">
        <v>684</v>
      </c>
      <c r="AL401" s="141" t="s">
        <v>684</v>
      </c>
      <c r="AM401" s="143"/>
      <c r="AN401" s="143" t="s">
        <v>685</v>
      </c>
      <c r="AO401" s="143"/>
      <c r="AP401" s="143"/>
      <c r="AQ401" s="143"/>
      <c r="AR401" s="143"/>
      <c r="AS401" s="143"/>
      <c r="AT401" s="143"/>
      <c r="AU401" s="143"/>
      <c r="AV401" s="143"/>
      <c r="AW401" s="144"/>
      <c r="AX401" s="145"/>
      <c r="AY401" s="138"/>
      <c r="AZ401" s="138"/>
      <c r="BA401" s="138"/>
      <c r="BB401" s="138"/>
      <c r="BC401" s="138"/>
      <c r="BD401" s="138"/>
      <c r="BE401" s="138"/>
    </row>
    <row r="402" spans="1:57" s="139" customFormat="1" ht="30">
      <c r="A402" s="140" t="s">
        <v>6</v>
      </c>
      <c r="B402" s="129">
        <v>400</v>
      </c>
      <c r="C402" s="129" t="s">
        <v>1315</v>
      </c>
      <c r="D402" s="141" t="s">
        <v>3132</v>
      </c>
      <c r="E402" s="172" t="s">
        <v>1962</v>
      </c>
      <c r="F402" s="141" t="s">
        <v>1326</v>
      </c>
      <c r="G402" s="141" t="s">
        <v>684</v>
      </c>
      <c r="H402" s="141" t="s">
        <v>1316</v>
      </c>
      <c r="I402" s="141" t="s">
        <v>1317</v>
      </c>
      <c r="J402" s="129" t="s">
        <v>935</v>
      </c>
      <c r="K402" s="129" t="s">
        <v>935</v>
      </c>
      <c r="L402" s="129" t="s">
        <v>725</v>
      </c>
      <c r="M402" s="129" t="s">
        <v>725</v>
      </c>
      <c r="N402" s="129">
        <v>100</v>
      </c>
      <c r="O402" s="141" t="s">
        <v>1321</v>
      </c>
      <c r="P402" s="129" t="s">
        <v>725</v>
      </c>
      <c r="Q402" s="141">
        <v>8</v>
      </c>
      <c r="R402" s="141">
        <v>37</v>
      </c>
      <c r="S402" s="141">
        <v>37</v>
      </c>
      <c r="T402" s="141">
        <v>1</v>
      </c>
      <c r="U402" s="141" t="s">
        <v>726</v>
      </c>
      <c r="V402" s="141" t="s">
        <v>727</v>
      </c>
      <c r="W402" s="141" t="s">
        <v>684</v>
      </c>
      <c r="X402" s="141" t="s">
        <v>684</v>
      </c>
      <c r="Y402" s="129" t="s">
        <v>728</v>
      </c>
      <c r="Z402" s="129" t="s">
        <v>194</v>
      </c>
      <c r="AA402" s="129">
        <v>1</v>
      </c>
      <c r="AB402" s="141" t="s">
        <v>684</v>
      </c>
      <c r="AC402" s="141" t="s">
        <v>684</v>
      </c>
      <c r="AD402" s="141" t="s">
        <v>684</v>
      </c>
      <c r="AE402" s="141" t="s">
        <v>684</v>
      </c>
      <c r="AF402" s="141">
        <v>0</v>
      </c>
      <c r="AG402" s="141">
        <v>0</v>
      </c>
      <c r="AH402" s="141">
        <v>1</v>
      </c>
      <c r="AI402" s="129" t="s">
        <v>198</v>
      </c>
      <c r="AJ402" s="164" t="s">
        <v>228</v>
      </c>
      <c r="AK402" s="141" t="s">
        <v>684</v>
      </c>
      <c r="AL402" s="141" t="s">
        <v>684</v>
      </c>
      <c r="AM402" s="143"/>
      <c r="AN402" s="143" t="s">
        <v>685</v>
      </c>
      <c r="AO402" s="143"/>
      <c r="AP402" s="143"/>
      <c r="AQ402" s="143"/>
      <c r="AR402" s="143"/>
      <c r="AS402" s="143"/>
      <c r="AT402" s="143"/>
      <c r="AU402" s="143"/>
      <c r="AV402" s="143"/>
      <c r="AW402" s="144"/>
      <c r="AX402" s="145"/>
      <c r="AY402" s="138"/>
      <c r="AZ402" s="138"/>
      <c r="BA402" s="138"/>
      <c r="BB402" s="138"/>
      <c r="BC402" s="138"/>
      <c r="BD402" s="138"/>
      <c r="BE402" s="138"/>
    </row>
    <row r="403" spans="1:57" s="139" customFormat="1" ht="30">
      <c r="A403" s="140" t="s">
        <v>6</v>
      </c>
      <c r="B403" s="129">
        <v>401</v>
      </c>
      <c r="C403" s="129" t="s">
        <v>1315</v>
      </c>
      <c r="D403" s="129" t="s">
        <v>3132</v>
      </c>
      <c r="E403" s="172" t="s">
        <v>1963</v>
      </c>
      <c r="F403" s="141" t="s">
        <v>1327</v>
      </c>
      <c r="G403" s="141" t="s">
        <v>684</v>
      </c>
      <c r="H403" s="141" t="s">
        <v>1316</v>
      </c>
      <c r="I403" s="141" t="s">
        <v>1317</v>
      </c>
      <c r="J403" s="129" t="s">
        <v>935</v>
      </c>
      <c r="K403" s="129" t="s">
        <v>935</v>
      </c>
      <c r="L403" s="129" t="s">
        <v>725</v>
      </c>
      <c r="M403" s="129" t="s">
        <v>725</v>
      </c>
      <c r="N403" s="129">
        <v>100</v>
      </c>
      <c r="O403" s="141" t="s">
        <v>1321</v>
      </c>
      <c r="P403" s="129" t="s">
        <v>725</v>
      </c>
      <c r="Q403" s="141">
        <v>8</v>
      </c>
      <c r="R403" s="141">
        <v>36</v>
      </c>
      <c r="S403" s="141">
        <v>36</v>
      </c>
      <c r="T403" s="141">
        <v>1</v>
      </c>
      <c r="U403" s="141" t="s">
        <v>726</v>
      </c>
      <c r="V403" s="141" t="s">
        <v>727</v>
      </c>
      <c r="W403" s="141" t="s">
        <v>684</v>
      </c>
      <c r="X403" s="141" t="s">
        <v>684</v>
      </c>
      <c r="Y403" s="129" t="s">
        <v>728</v>
      </c>
      <c r="Z403" s="129" t="s">
        <v>194</v>
      </c>
      <c r="AA403" s="129">
        <v>1</v>
      </c>
      <c r="AB403" s="141" t="s">
        <v>684</v>
      </c>
      <c r="AC403" s="141" t="s">
        <v>684</v>
      </c>
      <c r="AD403" s="141" t="s">
        <v>684</v>
      </c>
      <c r="AE403" s="141" t="s">
        <v>684</v>
      </c>
      <c r="AF403" s="129">
        <v>0</v>
      </c>
      <c r="AG403" s="129">
        <v>0</v>
      </c>
      <c r="AH403" s="141">
        <v>1</v>
      </c>
      <c r="AI403" s="129" t="s">
        <v>198</v>
      </c>
      <c r="AJ403" s="164" t="s">
        <v>228</v>
      </c>
      <c r="AK403" s="141" t="s">
        <v>684</v>
      </c>
      <c r="AL403" s="141" t="s">
        <v>684</v>
      </c>
      <c r="AM403" s="143"/>
      <c r="AN403" s="143" t="s">
        <v>685</v>
      </c>
      <c r="AO403" s="143"/>
      <c r="AP403" s="143"/>
      <c r="AQ403" s="143"/>
      <c r="AR403" s="143"/>
      <c r="AS403" s="143"/>
      <c r="AT403" s="143"/>
      <c r="AU403" s="143"/>
      <c r="AV403" s="143"/>
      <c r="AW403" s="144"/>
      <c r="AX403" s="145"/>
      <c r="AY403" s="138"/>
      <c r="AZ403" s="138"/>
      <c r="BA403" s="138"/>
      <c r="BB403" s="138"/>
      <c r="BC403" s="138"/>
      <c r="BD403" s="138"/>
      <c r="BE403" s="138"/>
    </row>
    <row r="404" spans="1:57" s="139" customFormat="1" ht="30">
      <c r="A404" s="140" t="s">
        <v>6</v>
      </c>
      <c r="B404" s="129">
        <v>402</v>
      </c>
      <c r="C404" s="129" t="s">
        <v>1315</v>
      </c>
      <c r="D404" s="129" t="s">
        <v>3132</v>
      </c>
      <c r="E404" s="172" t="s">
        <v>1328</v>
      </c>
      <c r="F404" s="141" t="s">
        <v>229</v>
      </c>
      <c r="G404" s="141" t="s">
        <v>703</v>
      </c>
      <c r="H404" s="141" t="s">
        <v>1329</v>
      </c>
      <c r="I404" s="141" t="s">
        <v>1330</v>
      </c>
      <c r="J404" s="129" t="s">
        <v>971</v>
      </c>
      <c r="K404" s="129" t="s">
        <v>971</v>
      </c>
      <c r="L404" s="129" t="s">
        <v>712</v>
      </c>
      <c r="M404" s="129" t="s">
        <v>712</v>
      </c>
      <c r="N404" s="129">
        <v>100</v>
      </c>
      <c r="O404" s="141" t="s">
        <v>1321</v>
      </c>
      <c r="P404" s="129" t="s">
        <v>712</v>
      </c>
      <c r="Q404" s="141">
        <v>8</v>
      </c>
      <c r="R404" s="141">
        <v>35</v>
      </c>
      <c r="S404" s="141">
        <v>35</v>
      </c>
      <c r="T404" s="141">
        <v>1</v>
      </c>
      <c r="U404" s="141" t="s">
        <v>713</v>
      </c>
      <c r="V404" s="141" t="s">
        <v>714</v>
      </c>
      <c r="W404" s="141" t="s">
        <v>703</v>
      </c>
      <c r="X404" s="141" t="s">
        <v>703</v>
      </c>
      <c r="Y404" s="129" t="s">
        <v>715</v>
      </c>
      <c r="Z404" s="129" t="s">
        <v>194</v>
      </c>
      <c r="AA404" s="129">
        <v>1</v>
      </c>
      <c r="AB404" s="141" t="s">
        <v>703</v>
      </c>
      <c r="AC404" s="141" t="s">
        <v>703</v>
      </c>
      <c r="AD404" s="141" t="s">
        <v>703</v>
      </c>
      <c r="AE404" s="141" t="s">
        <v>703</v>
      </c>
      <c r="AF404" s="129">
        <v>0</v>
      </c>
      <c r="AG404" s="129">
        <v>0</v>
      </c>
      <c r="AH404" s="141">
        <v>1</v>
      </c>
      <c r="AI404" s="129" t="s">
        <v>198</v>
      </c>
      <c r="AJ404" s="164" t="s">
        <v>228</v>
      </c>
      <c r="AK404" s="141" t="s">
        <v>703</v>
      </c>
      <c r="AL404" s="141" t="s">
        <v>703</v>
      </c>
      <c r="AM404" s="143"/>
      <c r="AN404" s="143" t="s">
        <v>705</v>
      </c>
      <c r="AO404" s="143"/>
      <c r="AP404" s="143"/>
      <c r="AQ404" s="143"/>
      <c r="AR404" s="143"/>
      <c r="AS404" s="143"/>
      <c r="AT404" s="143"/>
      <c r="AU404" s="143"/>
      <c r="AV404" s="143"/>
      <c r="AW404" s="144"/>
      <c r="AX404" s="145"/>
      <c r="AY404" s="138"/>
      <c r="AZ404" s="138"/>
      <c r="BA404" s="138"/>
      <c r="BB404" s="138"/>
      <c r="BC404" s="138"/>
      <c r="BD404" s="138"/>
      <c r="BE404" s="138"/>
    </row>
    <row r="405" spans="1:57" s="139" customFormat="1" ht="30">
      <c r="A405" s="140" t="s">
        <v>6</v>
      </c>
      <c r="B405" s="129">
        <v>403</v>
      </c>
      <c r="C405" s="129" t="s">
        <v>1331</v>
      </c>
      <c r="D405" s="129" t="s">
        <v>3132</v>
      </c>
      <c r="E405" s="169" t="s">
        <v>1964</v>
      </c>
      <c r="F405" s="141" t="s">
        <v>1332</v>
      </c>
      <c r="G405" s="141" t="s">
        <v>703</v>
      </c>
      <c r="H405" s="141" t="s">
        <v>1329</v>
      </c>
      <c r="I405" s="141" t="s">
        <v>1330</v>
      </c>
      <c r="J405" s="129" t="s">
        <v>971</v>
      </c>
      <c r="K405" s="129" t="s">
        <v>971</v>
      </c>
      <c r="L405" s="129" t="s">
        <v>712</v>
      </c>
      <c r="M405" s="129" t="s">
        <v>712</v>
      </c>
      <c r="N405" s="129">
        <v>100</v>
      </c>
      <c r="O405" s="141" t="s">
        <v>1321</v>
      </c>
      <c r="P405" s="129" t="s">
        <v>712</v>
      </c>
      <c r="Q405" s="141">
        <v>8</v>
      </c>
      <c r="R405" s="141">
        <v>32</v>
      </c>
      <c r="S405" s="141">
        <v>32</v>
      </c>
      <c r="T405" s="141">
        <v>1</v>
      </c>
      <c r="U405" s="141" t="s">
        <v>713</v>
      </c>
      <c r="V405" s="141" t="s">
        <v>714</v>
      </c>
      <c r="W405" s="141" t="s">
        <v>703</v>
      </c>
      <c r="X405" s="141" t="s">
        <v>703</v>
      </c>
      <c r="Y405" s="129" t="s">
        <v>715</v>
      </c>
      <c r="Z405" s="129" t="s">
        <v>194</v>
      </c>
      <c r="AA405" s="129">
        <v>1</v>
      </c>
      <c r="AB405" s="141" t="s">
        <v>703</v>
      </c>
      <c r="AC405" s="141" t="s">
        <v>703</v>
      </c>
      <c r="AD405" s="141" t="s">
        <v>703</v>
      </c>
      <c r="AE405" s="141" t="s">
        <v>703</v>
      </c>
      <c r="AF405" s="129">
        <v>0</v>
      </c>
      <c r="AG405" s="129">
        <v>0</v>
      </c>
      <c r="AH405" s="141">
        <v>1</v>
      </c>
      <c r="AI405" s="129" t="s">
        <v>198</v>
      </c>
      <c r="AJ405" s="164" t="s">
        <v>228</v>
      </c>
      <c r="AK405" s="141" t="s">
        <v>703</v>
      </c>
      <c r="AL405" s="141" t="s">
        <v>703</v>
      </c>
      <c r="AM405" s="143"/>
      <c r="AN405" s="143" t="s">
        <v>705</v>
      </c>
      <c r="AO405" s="143"/>
      <c r="AP405" s="143"/>
      <c r="AQ405" s="143"/>
      <c r="AR405" s="143"/>
      <c r="AS405" s="143"/>
      <c r="AT405" s="143"/>
      <c r="AU405" s="143"/>
      <c r="AV405" s="143"/>
      <c r="AW405" s="144"/>
      <c r="AX405" s="145"/>
      <c r="AY405" s="138"/>
      <c r="AZ405" s="138"/>
      <c r="BA405" s="138"/>
      <c r="BB405" s="138"/>
      <c r="BC405" s="138"/>
      <c r="BD405" s="138"/>
      <c r="BE405" s="138"/>
    </row>
    <row r="406" spans="1:57" s="139" customFormat="1" ht="44">
      <c r="A406" s="140" t="s">
        <v>6</v>
      </c>
      <c r="B406" s="129">
        <v>404</v>
      </c>
      <c r="C406" s="129" t="s">
        <v>293</v>
      </c>
      <c r="D406" s="129" t="s">
        <v>3115</v>
      </c>
      <c r="E406" s="256" t="s">
        <v>2194</v>
      </c>
      <c r="F406" s="212" t="s">
        <v>2061</v>
      </c>
      <c r="G406" s="169" t="s">
        <v>1952</v>
      </c>
      <c r="H406" s="141" t="s">
        <v>1316</v>
      </c>
      <c r="I406" s="141" t="s">
        <v>1317</v>
      </c>
      <c r="J406" s="129" t="s">
        <v>815</v>
      </c>
      <c r="K406" s="129" t="s">
        <v>815</v>
      </c>
      <c r="L406" s="172" t="s">
        <v>665</v>
      </c>
      <c r="M406" s="172" t="s">
        <v>665</v>
      </c>
      <c r="N406" s="129">
        <v>100</v>
      </c>
      <c r="O406" s="141" t="s">
        <v>1321</v>
      </c>
      <c r="P406" s="172" t="s">
        <v>665</v>
      </c>
      <c r="Q406" s="141">
        <v>8</v>
      </c>
      <c r="R406" s="141">
        <v>47</v>
      </c>
      <c r="S406" s="141">
        <v>55</v>
      </c>
      <c r="T406" s="141">
        <v>9</v>
      </c>
      <c r="U406" s="141" t="s">
        <v>670</v>
      </c>
      <c r="V406" s="141" t="s">
        <v>671</v>
      </c>
      <c r="W406" s="172" t="s">
        <v>665</v>
      </c>
      <c r="X406" s="172" t="s">
        <v>665</v>
      </c>
      <c r="Y406" s="129" t="s">
        <v>2062</v>
      </c>
      <c r="Z406" s="129" t="s">
        <v>194</v>
      </c>
      <c r="AA406" s="141">
        <v>1</v>
      </c>
      <c r="AB406" s="172" t="s">
        <v>665</v>
      </c>
      <c r="AC406" s="172" t="s">
        <v>665</v>
      </c>
      <c r="AD406" s="172" t="s">
        <v>665</v>
      </c>
      <c r="AE406" s="172" t="s">
        <v>665</v>
      </c>
      <c r="AF406" s="141">
        <v>-300</v>
      </c>
      <c r="AG406" s="141">
        <v>-300</v>
      </c>
      <c r="AH406" s="141">
        <v>0</v>
      </c>
      <c r="AI406" s="141" t="s">
        <v>196</v>
      </c>
      <c r="AJ406" s="159" t="s">
        <v>2157</v>
      </c>
      <c r="AK406" s="141" t="s">
        <v>665</v>
      </c>
      <c r="AL406" s="141" t="s">
        <v>665</v>
      </c>
      <c r="AM406" s="143"/>
      <c r="AN406" s="160" t="s">
        <v>2053</v>
      </c>
      <c r="AO406" s="143"/>
      <c r="AP406" s="143"/>
      <c r="AQ406" s="143"/>
      <c r="AR406" s="143"/>
      <c r="AS406" s="143"/>
      <c r="AT406" s="143"/>
      <c r="AU406" s="143"/>
      <c r="AV406" s="143"/>
      <c r="AW406" s="144"/>
      <c r="AX406" s="145"/>
      <c r="AY406" s="138"/>
      <c r="AZ406" s="138"/>
      <c r="BA406" s="138"/>
      <c r="BB406" s="138"/>
      <c r="BC406" s="138"/>
      <c r="BD406" s="138"/>
      <c r="BE406" s="138"/>
    </row>
    <row r="407" spans="1:57" s="139" customFormat="1" ht="30">
      <c r="A407" s="140" t="s">
        <v>6</v>
      </c>
      <c r="B407" s="129">
        <v>405</v>
      </c>
      <c r="C407" s="129" t="s">
        <v>293</v>
      </c>
      <c r="D407" s="129" t="s">
        <v>3115</v>
      </c>
      <c r="E407" s="212" t="s">
        <v>2195</v>
      </c>
      <c r="F407" s="212" t="s">
        <v>2063</v>
      </c>
      <c r="G407" s="169" t="s">
        <v>1952</v>
      </c>
      <c r="H407" s="141" t="s">
        <v>1316</v>
      </c>
      <c r="I407" s="141" t="s">
        <v>1317</v>
      </c>
      <c r="J407" s="129" t="s">
        <v>815</v>
      </c>
      <c r="K407" s="129" t="s">
        <v>815</v>
      </c>
      <c r="L407" s="172" t="s">
        <v>665</v>
      </c>
      <c r="M407" s="172" t="s">
        <v>665</v>
      </c>
      <c r="N407" s="129">
        <v>100</v>
      </c>
      <c r="O407" s="141" t="s">
        <v>1321</v>
      </c>
      <c r="P407" s="172" t="s">
        <v>665</v>
      </c>
      <c r="Q407" s="141">
        <v>8</v>
      </c>
      <c r="R407" s="141">
        <v>54</v>
      </c>
      <c r="S407" s="141">
        <v>62</v>
      </c>
      <c r="T407" s="141">
        <v>9</v>
      </c>
      <c r="U407" s="141" t="s">
        <v>670</v>
      </c>
      <c r="V407" s="141" t="s">
        <v>671</v>
      </c>
      <c r="W407" s="172" t="s">
        <v>665</v>
      </c>
      <c r="X407" s="172" t="s">
        <v>665</v>
      </c>
      <c r="Y407" s="129" t="s">
        <v>2062</v>
      </c>
      <c r="Z407" s="129" t="s">
        <v>194</v>
      </c>
      <c r="AA407" s="141">
        <v>1</v>
      </c>
      <c r="AB407" s="172" t="s">
        <v>665</v>
      </c>
      <c r="AC407" s="172" t="s">
        <v>665</v>
      </c>
      <c r="AD407" s="172" t="s">
        <v>665</v>
      </c>
      <c r="AE407" s="172" t="s">
        <v>665</v>
      </c>
      <c r="AF407" s="141">
        <v>0</v>
      </c>
      <c r="AG407" s="141">
        <v>0</v>
      </c>
      <c r="AH407" s="141">
        <v>300</v>
      </c>
      <c r="AI407" s="141" t="s">
        <v>196</v>
      </c>
      <c r="AJ407" s="142" t="s">
        <v>2161</v>
      </c>
      <c r="AK407" s="141" t="s">
        <v>665</v>
      </c>
      <c r="AL407" s="169" t="s">
        <v>2060</v>
      </c>
      <c r="AM407" s="143"/>
      <c r="AN407" s="160" t="s">
        <v>2053</v>
      </c>
      <c r="AO407" s="143"/>
      <c r="AP407" s="143"/>
      <c r="AQ407" s="143"/>
      <c r="AR407" s="143"/>
      <c r="AS407" s="143"/>
      <c r="AT407" s="143"/>
      <c r="AU407" s="143"/>
      <c r="AV407" s="143"/>
      <c r="AW407" s="144"/>
      <c r="AX407" s="145"/>
      <c r="AY407" s="138"/>
      <c r="AZ407" s="138"/>
      <c r="BA407" s="138"/>
      <c r="BB407" s="138"/>
      <c r="BC407" s="138"/>
      <c r="BD407" s="138"/>
      <c r="BE407" s="138"/>
    </row>
    <row r="408" spans="1:57" s="139" customFormat="1" ht="25">
      <c r="A408" s="140" t="s">
        <v>6</v>
      </c>
      <c r="B408" s="129">
        <v>406</v>
      </c>
      <c r="C408" s="129" t="s">
        <v>1331</v>
      </c>
      <c r="D408" s="129" t="s">
        <v>3132</v>
      </c>
      <c r="E408" s="169" t="s">
        <v>1946</v>
      </c>
      <c r="F408" s="141" t="s">
        <v>1333</v>
      </c>
      <c r="G408" s="141" t="s">
        <v>703</v>
      </c>
      <c r="H408" s="141" t="s">
        <v>1329</v>
      </c>
      <c r="I408" s="141" t="s">
        <v>1330</v>
      </c>
      <c r="J408" s="129" t="s">
        <v>971</v>
      </c>
      <c r="K408" s="129" t="s">
        <v>971</v>
      </c>
      <c r="L408" s="129" t="s">
        <v>712</v>
      </c>
      <c r="M408" s="129" t="s">
        <v>712</v>
      </c>
      <c r="N408" s="129">
        <v>100</v>
      </c>
      <c r="O408" s="141" t="s">
        <v>1321</v>
      </c>
      <c r="P408" s="129" t="s">
        <v>712</v>
      </c>
      <c r="Q408" s="141">
        <v>8</v>
      </c>
      <c r="R408" s="141">
        <v>59</v>
      </c>
      <c r="S408" s="141">
        <v>56</v>
      </c>
      <c r="T408" s="141">
        <v>4</v>
      </c>
      <c r="U408" s="141" t="s">
        <v>713</v>
      </c>
      <c r="V408" s="141" t="s">
        <v>714</v>
      </c>
      <c r="W408" s="141" t="s">
        <v>703</v>
      </c>
      <c r="X408" s="141" t="s">
        <v>703</v>
      </c>
      <c r="Y408" s="129" t="s">
        <v>715</v>
      </c>
      <c r="Z408" s="129" t="s">
        <v>194</v>
      </c>
      <c r="AA408" s="141">
        <v>1</v>
      </c>
      <c r="AB408" s="141" t="s">
        <v>703</v>
      </c>
      <c r="AC408" s="141" t="s">
        <v>703</v>
      </c>
      <c r="AD408" s="141" t="s">
        <v>703</v>
      </c>
      <c r="AE408" s="141" t="s">
        <v>703</v>
      </c>
      <c r="AF408" s="141">
        <v>0</v>
      </c>
      <c r="AG408" s="141">
        <v>0</v>
      </c>
      <c r="AH408" s="141">
        <v>15</v>
      </c>
      <c r="AI408" s="129" t="s">
        <v>198</v>
      </c>
      <c r="AJ408" s="164" t="s">
        <v>2123</v>
      </c>
      <c r="AK408" s="141" t="s">
        <v>703</v>
      </c>
      <c r="AL408" s="141" t="s">
        <v>703</v>
      </c>
      <c r="AM408" s="143"/>
      <c r="AN408" s="143" t="s">
        <v>705</v>
      </c>
      <c r="AO408" s="143"/>
      <c r="AP408" s="143"/>
      <c r="AQ408" s="143"/>
      <c r="AR408" s="143"/>
      <c r="AS408" s="143"/>
      <c r="AT408" s="143"/>
      <c r="AU408" s="143"/>
      <c r="AV408" s="143"/>
      <c r="AW408" s="144"/>
      <c r="AX408" s="145"/>
      <c r="AY408" s="138"/>
      <c r="AZ408" s="138"/>
      <c r="BA408" s="138"/>
      <c r="BB408" s="138"/>
      <c r="BC408" s="138"/>
      <c r="BD408" s="138"/>
      <c r="BE408" s="138"/>
    </row>
    <row r="409" spans="1:57" s="139" customFormat="1" ht="44">
      <c r="A409" s="140" t="s">
        <v>6</v>
      </c>
      <c r="B409" s="129">
        <v>407</v>
      </c>
      <c r="C409" s="129" t="s">
        <v>1331</v>
      </c>
      <c r="D409" s="129" t="s">
        <v>3132</v>
      </c>
      <c r="E409" s="169" t="s">
        <v>1965</v>
      </c>
      <c r="F409" s="141" t="s">
        <v>1273</v>
      </c>
      <c r="G409" s="141" t="s">
        <v>703</v>
      </c>
      <c r="H409" s="141" t="s">
        <v>1334</v>
      </c>
      <c r="I409" s="141" t="s">
        <v>1335</v>
      </c>
      <c r="J409" s="129" t="s">
        <v>971</v>
      </c>
      <c r="K409" s="129" t="s">
        <v>971</v>
      </c>
      <c r="L409" s="129" t="s">
        <v>712</v>
      </c>
      <c r="M409" s="129" t="s">
        <v>712</v>
      </c>
      <c r="N409" s="129">
        <v>10</v>
      </c>
      <c r="O409" s="129" t="s">
        <v>712</v>
      </c>
      <c r="P409" s="129" t="s">
        <v>712</v>
      </c>
      <c r="Q409" s="141">
        <v>8</v>
      </c>
      <c r="R409" s="141">
        <v>7</v>
      </c>
      <c r="S409" s="141">
        <v>0</v>
      </c>
      <c r="T409" s="141">
        <v>8</v>
      </c>
      <c r="U409" s="141" t="s">
        <v>713</v>
      </c>
      <c r="V409" s="141" t="s">
        <v>714</v>
      </c>
      <c r="W409" s="141" t="s">
        <v>703</v>
      </c>
      <c r="X409" s="141" t="s">
        <v>703</v>
      </c>
      <c r="Y409" s="141" t="s">
        <v>1143</v>
      </c>
      <c r="Z409" s="129" t="s">
        <v>194</v>
      </c>
      <c r="AA409" s="141">
        <v>1</v>
      </c>
      <c r="AB409" s="141" t="s">
        <v>703</v>
      </c>
      <c r="AC409" s="141" t="s">
        <v>703</v>
      </c>
      <c r="AD409" s="141" t="s">
        <v>703</v>
      </c>
      <c r="AE409" s="141" t="s">
        <v>703</v>
      </c>
      <c r="AF409" s="141">
        <v>0</v>
      </c>
      <c r="AG409" s="141">
        <v>0</v>
      </c>
      <c r="AH409" s="141">
        <v>255</v>
      </c>
      <c r="AI409" s="129" t="s">
        <v>198</v>
      </c>
      <c r="AJ409" s="159" t="s">
        <v>2121</v>
      </c>
      <c r="AK409" s="141" t="s">
        <v>703</v>
      </c>
      <c r="AL409" s="141" t="s">
        <v>703</v>
      </c>
      <c r="AM409" s="143"/>
      <c r="AN409" s="143" t="s">
        <v>705</v>
      </c>
      <c r="AO409" s="143"/>
      <c r="AP409" s="143"/>
      <c r="AQ409" s="143"/>
      <c r="AR409" s="143"/>
      <c r="AS409" s="143"/>
      <c r="AT409" s="143"/>
      <c r="AU409" s="143"/>
      <c r="AV409" s="143"/>
      <c r="AW409" s="144"/>
      <c r="AX409" s="145"/>
      <c r="AY409" s="138"/>
      <c r="AZ409" s="138"/>
      <c r="BA409" s="138"/>
      <c r="BB409" s="138"/>
      <c r="BC409" s="138"/>
      <c r="BD409" s="138"/>
      <c r="BE409" s="138"/>
    </row>
    <row r="410" spans="1:57" s="139" customFormat="1" ht="30">
      <c r="A410" s="140" t="s">
        <v>6</v>
      </c>
      <c r="B410" s="129">
        <v>408</v>
      </c>
      <c r="C410" s="129" t="s">
        <v>1331</v>
      </c>
      <c r="D410" s="129" t="s">
        <v>3132</v>
      </c>
      <c r="E410" s="169" t="s">
        <v>1966</v>
      </c>
      <c r="F410" s="141" t="s">
        <v>1336</v>
      </c>
      <c r="G410" s="141" t="s">
        <v>703</v>
      </c>
      <c r="H410" s="141" t="s">
        <v>1334</v>
      </c>
      <c r="I410" s="141" t="s">
        <v>1335</v>
      </c>
      <c r="J410" s="129" t="s">
        <v>971</v>
      </c>
      <c r="K410" s="129" t="s">
        <v>971</v>
      </c>
      <c r="L410" s="129" t="s">
        <v>712</v>
      </c>
      <c r="M410" s="129" t="s">
        <v>712</v>
      </c>
      <c r="N410" s="129">
        <v>10</v>
      </c>
      <c r="O410" s="129" t="s">
        <v>712</v>
      </c>
      <c r="P410" s="129" t="s">
        <v>712</v>
      </c>
      <c r="Q410" s="141">
        <v>8</v>
      </c>
      <c r="R410" s="141">
        <v>15</v>
      </c>
      <c r="S410" s="141">
        <v>8</v>
      </c>
      <c r="T410" s="141">
        <v>8</v>
      </c>
      <c r="U410" s="141" t="s">
        <v>713</v>
      </c>
      <c r="V410" s="141" t="s">
        <v>714</v>
      </c>
      <c r="W410" s="141" t="s">
        <v>703</v>
      </c>
      <c r="X410" s="141" t="s">
        <v>703</v>
      </c>
      <c r="Y410" s="141" t="s">
        <v>1143</v>
      </c>
      <c r="Z410" s="129" t="s">
        <v>194</v>
      </c>
      <c r="AA410" s="141">
        <v>0.125</v>
      </c>
      <c r="AB410" s="141" t="s">
        <v>703</v>
      </c>
      <c r="AC410" s="141" t="s">
        <v>703</v>
      </c>
      <c r="AD410" s="141" t="s">
        <v>703</v>
      </c>
      <c r="AE410" s="141" t="s">
        <v>703</v>
      </c>
      <c r="AF410" s="141">
        <v>10</v>
      </c>
      <c r="AG410" s="141">
        <v>10</v>
      </c>
      <c r="AH410" s="141">
        <v>16</v>
      </c>
      <c r="AI410" s="141" t="s">
        <v>204</v>
      </c>
      <c r="AJ410" s="164" t="s">
        <v>2153</v>
      </c>
      <c r="AK410" s="141" t="s">
        <v>703</v>
      </c>
      <c r="AL410" s="141" t="s">
        <v>703</v>
      </c>
      <c r="AM410" s="143"/>
      <c r="AN410" s="143" t="s">
        <v>705</v>
      </c>
      <c r="AO410" s="143"/>
      <c r="AP410" s="143"/>
      <c r="AQ410" s="143"/>
      <c r="AR410" s="143"/>
      <c r="AS410" s="143"/>
      <c r="AT410" s="143"/>
      <c r="AU410" s="143"/>
      <c r="AV410" s="143"/>
      <c r="AW410" s="144"/>
      <c r="AX410" s="145"/>
      <c r="AY410" s="138"/>
      <c r="AZ410" s="138"/>
      <c r="BA410" s="138"/>
      <c r="BB410" s="138"/>
      <c r="BC410" s="138"/>
      <c r="BD410" s="138"/>
      <c r="BE410" s="138"/>
    </row>
    <row r="411" spans="1:57" s="139" customFormat="1" ht="30">
      <c r="A411" s="140" t="s">
        <v>6</v>
      </c>
      <c r="B411" s="129">
        <v>409</v>
      </c>
      <c r="C411" s="129" t="s">
        <v>1331</v>
      </c>
      <c r="D411" s="129" t="s">
        <v>3132</v>
      </c>
      <c r="E411" s="169" t="s">
        <v>1967</v>
      </c>
      <c r="F411" s="141" t="s">
        <v>1337</v>
      </c>
      <c r="G411" s="141" t="s">
        <v>703</v>
      </c>
      <c r="H411" s="141" t="s">
        <v>1334</v>
      </c>
      <c r="I411" s="141" t="s">
        <v>1335</v>
      </c>
      <c r="J411" s="129" t="s">
        <v>971</v>
      </c>
      <c r="K411" s="129" t="s">
        <v>971</v>
      </c>
      <c r="L411" s="129" t="s">
        <v>712</v>
      </c>
      <c r="M411" s="129" t="s">
        <v>712</v>
      </c>
      <c r="N411" s="129">
        <v>10</v>
      </c>
      <c r="O411" s="129" t="s">
        <v>712</v>
      </c>
      <c r="P411" s="129" t="s">
        <v>712</v>
      </c>
      <c r="Q411" s="141">
        <v>8</v>
      </c>
      <c r="R411" s="141">
        <v>23</v>
      </c>
      <c r="S411" s="141">
        <v>16</v>
      </c>
      <c r="T411" s="141">
        <v>8</v>
      </c>
      <c r="U411" s="141" t="s">
        <v>713</v>
      </c>
      <c r="V411" s="141" t="s">
        <v>714</v>
      </c>
      <c r="W411" s="141" t="s">
        <v>703</v>
      </c>
      <c r="X411" s="141" t="s">
        <v>703</v>
      </c>
      <c r="Y411" s="141" t="s">
        <v>1143</v>
      </c>
      <c r="Z411" s="129" t="s">
        <v>194</v>
      </c>
      <c r="AA411" s="141">
        <v>1</v>
      </c>
      <c r="AB411" s="141" t="s">
        <v>703</v>
      </c>
      <c r="AC411" s="141" t="s">
        <v>703</v>
      </c>
      <c r="AD411" s="141" t="s">
        <v>703</v>
      </c>
      <c r="AE411" s="141" t="s">
        <v>703</v>
      </c>
      <c r="AF411" s="141">
        <v>-40</v>
      </c>
      <c r="AG411" s="141">
        <v>-40</v>
      </c>
      <c r="AH411" s="141">
        <v>214</v>
      </c>
      <c r="AI411" s="141" t="s">
        <v>1338</v>
      </c>
      <c r="AJ411" s="159" t="s">
        <v>2154</v>
      </c>
      <c r="AK411" s="141" t="s">
        <v>703</v>
      </c>
      <c r="AL411" s="141" t="s">
        <v>703</v>
      </c>
      <c r="AM411" s="143"/>
      <c r="AN411" s="143" t="s">
        <v>705</v>
      </c>
      <c r="AO411" s="143"/>
      <c r="AP411" s="143"/>
      <c r="AQ411" s="143"/>
      <c r="AR411" s="143"/>
      <c r="AS411" s="143"/>
      <c r="AT411" s="143"/>
      <c r="AU411" s="143"/>
      <c r="AV411" s="143"/>
      <c r="AW411" s="144"/>
      <c r="AX411" s="145"/>
      <c r="AY411" s="138"/>
      <c r="AZ411" s="138"/>
      <c r="BA411" s="138"/>
      <c r="BB411" s="138"/>
      <c r="BC411" s="138"/>
      <c r="BD411" s="138"/>
      <c r="BE411" s="138"/>
    </row>
    <row r="412" spans="1:57" s="139" customFormat="1" ht="30">
      <c r="A412" s="140" t="s">
        <v>6</v>
      </c>
      <c r="B412" s="129">
        <v>410</v>
      </c>
      <c r="C412" s="129" t="s">
        <v>1331</v>
      </c>
      <c r="D412" s="129" t="s">
        <v>3127</v>
      </c>
      <c r="E412" s="169" t="s">
        <v>1947</v>
      </c>
      <c r="F412" s="141" t="s">
        <v>1339</v>
      </c>
      <c r="G412" s="141" t="s">
        <v>703</v>
      </c>
      <c r="H412" s="141" t="s">
        <v>1334</v>
      </c>
      <c r="I412" s="141" t="s">
        <v>1335</v>
      </c>
      <c r="J412" s="129" t="s">
        <v>971</v>
      </c>
      <c r="K412" s="129" t="s">
        <v>971</v>
      </c>
      <c r="L412" s="129" t="s">
        <v>712</v>
      </c>
      <c r="M412" s="129" t="s">
        <v>712</v>
      </c>
      <c r="N412" s="129">
        <v>10</v>
      </c>
      <c r="O412" s="129" t="s">
        <v>712</v>
      </c>
      <c r="P412" s="129" t="s">
        <v>712</v>
      </c>
      <c r="Q412" s="141">
        <v>8</v>
      </c>
      <c r="R412" s="141">
        <v>31</v>
      </c>
      <c r="S412" s="141">
        <v>24</v>
      </c>
      <c r="T412" s="141">
        <v>8</v>
      </c>
      <c r="U412" s="141" t="s">
        <v>713</v>
      </c>
      <c r="V412" s="141" t="s">
        <v>714</v>
      </c>
      <c r="W412" s="141" t="s">
        <v>703</v>
      </c>
      <c r="X412" s="141" t="s">
        <v>703</v>
      </c>
      <c r="Y412" s="141" t="s">
        <v>1143</v>
      </c>
      <c r="Z412" s="129" t="s">
        <v>194</v>
      </c>
      <c r="AA412" s="141">
        <v>0.125</v>
      </c>
      <c r="AB412" s="141" t="s">
        <v>703</v>
      </c>
      <c r="AC412" s="141" t="s">
        <v>703</v>
      </c>
      <c r="AD412" s="141" t="s">
        <v>703</v>
      </c>
      <c r="AE412" s="141" t="s">
        <v>703</v>
      </c>
      <c r="AF412" s="141">
        <v>0</v>
      </c>
      <c r="AG412" s="141">
        <v>0</v>
      </c>
      <c r="AH412" s="141">
        <v>10</v>
      </c>
      <c r="AI412" s="141" t="s">
        <v>230</v>
      </c>
      <c r="AJ412" s="164" t="s">
        <v>2155</v>
      </c>
      <c r="AK412" s="141" t="s">
        <v>703</v>
      </c>
      <c r="AL412" s="141" t="s">
        <v>703</v>
      </c>
      <c r="AM412" s="143"/>
      <c r="AN412" s="143" t="s">
        <v>705</v>
      </c>
      <c r="AO412" s="143" t="s">
        <v>2952</v>
      </c>
      <c r="AP412" s="143"/>
      <c r="AQ412" s="143"/>
      <c r="AR412" s="143"/>
      <c r="AS412" s="143"/>
      <c r="AT412" s="143"/>
      <c r="AU412" s="143"/>
      <c r="AV412" s="143"/>
      <c r="AW412" s="144"/>
      <c r="AX412" s="145"/>
      <c r="AY412" s="138"/>
      <c r="AZ412" s="138"/>
      <c r="BA412" s="138"/>
      <c r="BB412" s="138"/>
      <c r="BC412" s="138"/>
      <c r="BD412" s="138"/>
      <c r="BE412" s="138"/>
    </row>
    <row r="413" spans="1:57" s="139" customFormat="1" ht="30">
      <c r="A413" s="140" t="s">
        <v>6</v>
      </c>
      <c r="B413" s="129">
        <v>411</v>
      </c>
      <c r="C413" s="129" t="s">
        <v>1331</v>
      </c>
      <c r="D413" s="129" t="s">
        <v>3132</v>
      </c>
      <c r="E413" s="169" t="s">
        <v>1948</v>
      </c>
      <c r="F413" s="141" t="s">
        <v>1340</v>
      </c>
      <c r="G413" s="141" t="s">
        <v>703</v>
      </c>
      <c r="H413" s="141" t="s">
        <v>1334</v>
      </c>
      <c r="I413" s="141" t="s">
        <v>1335</v>
      </c>
      <c r="J413" s="129" t="s">
        <v>971</v>
      </c>
      <c r="K413" s="129" t="s">
        <v>971</v>
      </c>
      <c r="L413" s="129" t="s">
        <v>712</v>
      </c>
      <c r="M413" s="129" t="s">
        <v>712</v>
      </c>
      <c r="N413" s="129">
        <v>10</v>
      </c>
      <c r="O413" s="129" t="s">
        <v>712</v>
      </c>
      <c r="P413" s="129" t="s">
        <v>712</v>
      </c>
      <c r="Q413" s="141">
        <v>8</v>
      </c>
      <c r="R413" s="141">
        <v>39</v>
      </c>
      <c r="S413" s="141">
        <v>45</v>
      </c>
      <c r="T413" s="141">
        <v>11</v>
      </c>
      <c r="U413" s="141" t="s">
        <v>713</v>
      </c>
      <c r="V413" s="141" t="s">
        <v>714</v>
      </c>
      <c r="W413" s="141" t="s">
        <v>703</v>
      </c>
      <c r="X413" s="141" t="s">
        <v>703</v>
      </c>
      <c r="Y413" s="129" t="s">
        <v>1341</v>
      </c>
      <c r="Z413" s="129" t="s">
        <v>194</v>
      </c>
      <c r="AA413" s="141">
        <v>0.125</v>
      </c>
      <c r="AB413" s="141" t="s">
        <v>703</v>
      </c>
      <c r="AC413" s="141" t="s">
        <v>703</v>
      </c>
      <c r="AD413" s="141" t="s">
        <v>703</v>
      </c>
      <c r="AE413" s="141" t="s">
        <v>703</v>
      </c>
      <c r="AF413" s="141">
        <v>0</v>
      </c>
      <c r="AG413" s="141">
        <v>0</v>
      </c>
      <c r="AH413" s="141">
        <v>170</v>
      </c>
      <c r="AI413" s="141" t="s">
        <v>230</v>
      </c>
      <c r="AJ413" s="164" t="s">
        <v>2156</v>
      </c>
      <c r="AK413" s="141" t="s">
        <v>703</v>
      </c>
      <c r="AL413" s="141" t="s">
        <v>703</v>
      </c>
      <c r="AM413" s="143"/>
      <c r="AN413" s="143" t="s">
        <v>705</v>
      </c>
      <c r="AO413" s="143"/>
      <c r="AP413" s="143"/>
      <c r="AQ413" s="143"/>
      <c r="AR413" s="143"/>
      <c r="AS413" s="143"/>
      <c r="AT413" s="143"/>
      <c r="AU413" s="143"/>
      <c r="AV413" s="143"/>
      <c r="AW413" s="144"/>
      <c r="AX413" s="145"/>
      <c r="AY413" s="138"/>
      <c r="AZ413" s="138"/>
      <c r="BA413" s="138"/>
      <c r="BB413" s="138"/>
      <c r="BC413" s="138"/>
      <c r="BD413" s="138"/>
      <c r="BE413" s="138"/>
    </row>
    <row r="414" spans="1:57" s="139" customFormat="1" ht="30">
      <c r="A414" s="140" t="s">
        <v>6</v>
      </c>
      <c r="B414" s="129">
        <v>412</v>
      </c>
      <c r="C414" s="129" t="s">
        <v>1331</v>
      </c>
      <c r="D414" s="129" t="s">
        <v>3132</v>
      </c>
      <c r="E414" s="169" t="s">
        <v>1968</v>
      </c>
      <c r="F414" s="141" t="s">
        <v>1342</v>
      </c>
      <c r="G414" s="141" t="s">
        <v>703</v>
      </c>
      <c r="H414" s="141" t="s">
        <v>1334</v>
      </c>
      <c r="I414" s="141" t="s">
        <v>1335</v>
      </c>
      <c r="J414" s="129" t="s">
        <v>971</v>
      </c>
      <c r="K414" s="129" t="s">
        <v>971</v>
      </c>
      <c r="L414" s="129" t="s">
        <v>712</v>
      </c>
      <c r="M414" s="129" t="s">
        <v>712</v>
      </c>
      <c r="N414" s="129">
        <v>10</v>
      </c>
      <c r="O414" s="129" t="s">
        <v>712</v>
      </c>
      <c r="P414" s="129" t="s">
        <v>712</v>
      </c>
      <c r="Q414" s="141">
        <v>8</v>
      </c>
      <c r="R414" s="141">
        <v>44</v>
      </c>
      <c r="S414" s="141">
        <v>44</v>
      </c>
      <c r="T414" s="141">
        <v>1</v>
      </c>
      <c r="U414" s="141" t="s">
        <v>713</v>
      </c>
      <c r="V414" s="141" t="s">
        <v>714</v>
      </c>
      <c r="W414" s="141" t="s">
        <v>703</v>
      </c>
      <c r="X414" s="141" t="s">
        <v>703</v>
      </c>
      <c r="Y414" s="129" t="s">
        <v>715</v>
      </c>
      <c r="Z414" s="129" t="s">
        <v>194</v>
      </c>
      <c r="AA414" s="141">
        <v>1</v>
      </c>
      <c r="AB414" s="141" t="s">
        <v>703</v>
      </c>
      <c r="AC414" s="141" t="s">
        <v>703</v>
      </c>
      <c r="AD414" s="141" t="s">
        <v>703</v>
      </c>
      <c r="AE414" s="141" t="s">
        <v>703</v>
      </c>
      <c r="AF414" s="141">
        <v>0</v>
      </c>
      <c r="AG414" s="141">
        <v>0</v>
      </c>
      <c r="AH414" s="141">
        <v>1</v>
      </c>
      <c r="AI414" s="129" t="s">
        <v>198</v>
      </c>
      <c r="AJ414" s="159" t="s">
        <v>228</v>
      </c>
      <c r="AK414" s="141" t="s">
        <v>703</v>
      </c>
      <c r="AL414" s="169" t="s">
        <v>2013</v>
      </c>
      <c r="AM414" s="143"/>
      <c r="AN414" s="143" t="s">
        <v>705</v>
      </c>
      <c r="AO414" s="143"/>
      <c r="AP414" s="143"/>
      <c r="AQ414" s="143"/>
      <c r="AR414" s="143"/>
      <c r="AS414" s="143"/>
      <c r="AT414" s="143"/>
      <c r="AU414" s="143"/>
      <c r="AV414" s="143"/>
      <c r="AW414" s="144"/>
      <c r="AX414" s="145"/>
      <c r="AY414" s="138"/>
      <c r="AZ414" s="138"/>
      <c r="BA414" s="138"/>
      <c r="BB414" s="138"/>
      <c r="BC414" s="138"/>
      <c r="BD414" s="138"/>
      <c r="BE414" s="138"/>
    </row>
    <row r="415" spans="1:57" s="139" customFormat="1" ht="86">
      <c r="A415" s="140" t="s">
        <v>6</v>
      </c>
      <c r="B415" s="129">
        <v>413</v>
      </c>
      <c r="C415" s="129" t="s">
        <v>1331</v>
      </c>
      <c r="D415" s="129" t="s">
        <v>3133</v>
      </c>
      <c r="E415" s="169" t="s">
        <v>1949</v>
      </c>
      <c r="F415" s="141" t="s">
        <v>231</v>
      </c>
      <c r="G415" s="141" t="s">
        <v>703</v>
      </c>
      <c r="H415" s="141" t="s">
        <v>1334</v>
      </c>
      <c r="I415" s="141" t="s">
        <v>1335</v>
      </c>
      <c r="J415" s="129" t="s">
        <v>971</v>
      </c>
      <c r="K415" s="129" t="s">
        <v>971</v>
      </c>
      <c r="L415" s="129" t="s">
        <v>712</v>
      </c>
      <c r="M415" s="129" t="s">
        <v>712</v>
      </c>
      <c r="N415" s="129">
        <v>10</v>
      </c>
      <c r="O415" s="129" t="s">
        <v>712</v>
      </c>
      <c r="P415" s="129" t="s">
        <v>712</v>
      </c>
      <c r="Q415" s="141">
        <v>8</v>
      </c>
      <c r="R415" s="141">
        <v>43</v>
      </c>
      <c r="S415" s="141">
        <v>42</v>
      </c>
      <c r="T415" s="141">
        <v>2</v>
      </c>
      <c r="U415" s="141" t="s">
        <v>713</v>
      </c>
      <c r="V415" s="141" t="s">
        <v>714</v>
      </c>
      <c r="W415" s="141" t="s">
        <v>703</v>
      </c>
      <c r="X415" s="141" t="s">
        <v>703</v>
      </c>
      <c r="Y415" s="129" t="s">
        <v>715</v>
      </c>
      <c r="Z415" s="129" t="s">
        <v>194</v>
      </c>
      <c r="AA415" s="141">
        <v>1</v>
      </c>
      <c r="AB415" s="141" t="s">
        <v>703</v>
      </c>
      <c r="AC415" s="141" t="s">
        <v>703</v>
      </c>
      <c r="AD415" s="141" t="s">
        <v>703</v>
      </c>
      <c r="AE415" s="141" t="s">
        <v>703</v>
      </c>
      <c r="AF415" s="141">
        <v>0</v>
      </c>
      <c r="AG415" s="141">
        <v>0</v>
      </c>
      <c r="AH415" s="141">
        <v>3</v>
      </c>
      <c r="AI415" s="129" t="s">
        <v>198</v>
      </c>
      <c r="AJ415" s="164" t="s">
        <v>232</v>
      </c>
      <c r="AK415" s="141" t="s">
        <v>703</v>
      </c>
      <c r="AL415" s="169" t="s">
        <v>2059</v>
      </c>
      <c r="AM415" s="143" t="s">
        <v>705</v>
      </c>
      <c r="AN415" s="143" t="s">
        <v>705</v>
      </c>
      <c r="AO415" s="143" t="s">
        <v>2952</v>
      </c>
      <c r="AP415" s="143"/>
      <c r="AQ415" s="143"/>
      <c r="AR415" s="143"/>
      <c r="AS415" s="143"/>
      <c r="AT415" s="143"/>
      <c r="AU415" s="143"/>
      <c r="AV415" s="143"/>
      <c r="AW415" s="144"/>
      <c r="AX415" s="145"/>
      <c r="AY415" s="138"/>
      <c r="AZ415" s="138"/>
      <c r="BA415" s="138"/>
      <c r="BB415" s="138"/>
      <c r="BC415" s="138"/>
      <c r="BD415" s="138"/>
      <c r="BE415" s="138"/>
    </row>
    <row r="416" spans="1:57" s="139" customFormat="1" ht="44">
      <c r="A416" s="140" t="s">
        <v>6</v>
      </c>
      <c r="B416" s="129">
        <v>414</v>
      </c>
      <c r="C416" s="129" t="s">
        <v>1331</v>
      </c>
      <c r="D416" s="129" t="s">
        <v>3134</v>
      </c>
      <c r="E416" s="169" t="s">
        <v>1950</v>
      </c>
      <c r="F416" s="141" t="s">
        <v>233</v>
      </c>
      <c r="G416" s="141" t="s">
        <v>703</v>
      </c>
      <c r="H416" s="141" t="s">
        <v>1334</v>
      </c>
      <c r="I416" s="141" t="s">
        <v>1335</v>
      </c>
      <c r="J416" s="129" t="s">
        <v>971</v>
      </c>
      <c r="K416" s="129" t="s">
        <v>971</v>
      </c>
      <c r="L416" s="129" t="s">
        <v>712</v>
      </c>
      <c r="M416" s="129" t="s">
        <v>712</v>
      </c>
      <c r="N416" s="129">
        <v>10</v>
      </c>
      <c r="O416" s="129" t="s">
        <v>712</v>
      </c>
      <c r="P416" s="129" t="s">
        <v>712</v>
      </c>
      <c r="Q416" s="141">
        <v>8</v>
      </c>
      <c r="R416" s="141">
        <v>41</v>
      </c>
      <c r="S416" s="141">
        <v>40</v>
      </c>
      <c r="T416" s="141">
        <v>2</v>
      </c>
      <c r="U416" s="141" t="s">
        <v>713</v>
      </c>
      <c r="V416" s="141" t="s">
        <v>714</v>
      </c>
      <c r="W416" s="141" t="s">
        <v>703</v>
      </c>
      <c r="X416" s="141" t="s">
        <v>703</v>
      </c>
      <c r="Y416" s="129" t="s">
        <v>715</v>
      </c>
      <c r="Z416" s="129" t="s">
        <v>194</v>
      </c>
      <c r="AA416" s="141">
        <v>1</v>
      </c>
      <c r="AB416" s="141" t="s">
        <v>703</v>
      </c>
      <c r="AC416" s="141" t="s">
        <v>703</v>
      </c>
      <c r="AD416" s="141" t="s">
        <v>703</v>
      </c>
      <c r="AE416" s="141" t="s">
        <v>703</v>
      </c>
      <c r="AF416" s="141">
        <v>0</v>
      </c>
      <c r="AG416" s="141">
        <v>0</v>
      </c>
      <c r="AH416" s="141">
        <v>1</v>
      </c>
      <c r="AI416" s="129" t="s">
        <v>198</v>
      </c>
      <c r="AJ416" s="164" t="s">
        <v>2126</v>
      </c>
      <c r="AK416" s="141" t="s">
        <v>703</v>
      </c>
      <c r="AL416" s="169" t="s">
        <v>2013</v>
      </c>
      <c r="AM416" s="143" t="s">
        <v>2628</v>
      </c>
      <c r="AN416" s="143" t="s">
        <v>705</v>
      </c>
      <c r="AO416" s="143"/>
      <c r="AP416" s="143"/>
      <c r="AQ416" s="143"/>
      <c r="AR416" s="143"/>
      <c r="AS416" s="143"/>
      <c r="AT416" s="143"/>
      <c r="AU416" s="143"/>
      <c r="AV416" s="143"/>
      <c r="AW416" s="144"/>
      <c r="AX416" s="145"/>
      <c r="AY416" s="138"/>
      <c r="AZ416" s="138"/>
      <c r="BA416" s="138"/>
      <c r="BB416" s="138"/>
      <c r="BC416" s="138"/>
      <c r="BD416" s="138"/>
      <c r="BE416" s="138"/>
    </row>
    <row r="417" spans="1:57" s="139" customFormat="1" ht="30">
      <c r="A417" s="140" t="s">
        <v>6</v>
      </c>
      <c r="B417" s="129">
        <v>415</v>
      </c>
      <c r="C417" s="129" t="s">
        <v>1331</v>
      </c>
      <c r="D417" s="129" t="s">
        <v>3132</v>
      </c>
      <c r="E417" s="169" t="s">
        <v>1969</v>
      </c>
      <c r="F417" s="141" t="s">
        <v>1345</v>
      </c>
      <c r="G417" s="141" t="s">
        <v>703</v>
      </c>
      <c r="H417" s="141" t="s">
        <v>1334</v>
      </c>
      <c r="I417" s="141" t="s">
        <v>1335</v>
      </c>
      <c r="J417" s="129" t="s">
        <v>971</v>
      </c>
      <c r="K417" s="129" t="s">
        <v>971</v>
      </c>
      <c r="L417" s="129" t="s">
        <v>712</v>
      </c>
      <c r="M417" s="129" t="s">
        <v>712</v>
      </c>
      <c r="N417" s="129">
        <v>10</v>
      </c>
      <c r="O417" s="129" t="s">
        <v>712</v>
      </c>
      <c r="P417" s="129" t="s">
        <v>712</v>
      </c>
      <c r="Q417" s="141">
        <v>8</v>
      </c>
      <c r="R417" s="141">
        <v>62</v>
      </c>
      <c r="S417" s="141">
        <v>62</v>
      </c>
      <c r="T417" s="141">
        <v>1</v>
      </c>
      <c r="U417" s="141" t="s">
        <v>713</v>
      </c>
      <c r="V417" s="141" t="s">
        <v>714</v>
      </c>
      <c r="W417" s="141" t="s">
        <v>703</v>
      </c>
      <c r="X417" s="141" t="s">
        <v>703</v>
      </c>
      <c r="Y417" s="129" t="s">
        <v>715</v>
      </c>
      <c r="Z417" s="129" t="s">
        <v>194</v>
      </c>
      <c r="AA417" s="141">
        <v>1</v>
      </c>
      <c r="AB417" s="141" t="s">
        <v>703</v>
      </c>
      <c r="AC417" s="141" t="s">
        <v>703</v>
      </c>
      <c r="AD417" s="141" t="s">
        <v>703</v>
      </c>
      <c r="AE417" s="141" t="s">
        <v>703</v>
      </c>
      <c r="AF417" s="141">
        <v>0</v>
      </c>
      <c r="AG417" s="141">
        <v>0</v>
      </c>
      <c r="AH417" s="141">
        <v>1</v>
      </c>
      <c r="AI417" s="129" t="s">
        <v>198</v>
      </c>
      <c r="AJ417" s="159" t="s">
        <v>228</v>
      </c>
      <c r="AK417" s="141" t="s">
        <v>703</v>
      </c>
      <c r="AL417" s="141" t="s">
        <v>703</v>
      </c>
      <c r="AM417" s="143"/>
      <c r="AN417" s="143" t="s">
        <v>705</v>
      </c>
      <c r="AO417" s="143"/>
      <c r="AP417" s="143"/>
      <c r="AQ417" s="143"/>
      <c r="AR417" s="143"/>
      <c r="AS417" s="143"/>
      <c r="AT417" s="143"/>
      <c r="AU417" s="143"/>
      <c r="AV417" s="143"/>
      <c r="AW417" s="144"/>
      <c r="AX417" s="145"/>
      <c r="AY417" s="138"/>
      <c r="AZ417" s="138"/>
      <c r="BA417" s="138"/>
      <c r="BB417" s="138"/>
      <c r="BC417" s="138"/>
      <c r="BD417" s="138"/>
      <c r="BE417" s="138"/>
    </row>
    <row r="418" spans="1:57" s="139" customFormat="1" ht="25">
      <c r="A418" s="140" t="s">
        <v>6</v>
      </c>
      <c r="B418" s="129">
        <v>416</v>
      </c>
      <c r="C418" s="129" t="s">
        <v>1331</v>
      </c>
      <c r="D418" s="129" t="s">
        <v>3132</v>
      </c>
      <c r="E418" s="169" t="s">
        <v>1346</v>
      </c>
      <c r="F418" s="141" t="s">
        <v>1347</v>
      </c>
      <c r="G418" s="141" t="s">
        <v>703</v>
      </c>
      <c r="H418" s="141" t="s">
        <v>1334</v>
      </c>
      <c r="I418" s="141" t="s">
        <v>1335</v>
      </c>
      <c r="J418" s="129" t="s">
        <v>971</v>
      </c>
      <c r="K418" s="129" t="s">
        <v>971</v>
      </c>
      <c r="L418" s="129" t="s">
        <v>712</v>
      </c>
      <c r="M418" s="129" t="s">
        <v>712</v>
      </c>
      <c r="N418" s="129">
        <v>10</v>
      </c>
      <c r="O418" s="129" t="s">
        <v>712</v>
      </c>
      <c r="P418" s="129" t="s">
        <v>712</v>
      </c>
      <c r="Q418" s="141">
        <v>8</v>
      </c>
      <c r="R418" s="141">
        <v>59</v>
      </c>
      <c r="S418" s="141">
        <v>56</v>
      </c>
      <c r="T418" s="141">
        <v>4</v>
      </c>
      <c r="U418" s="141" t="s">
        <v>713</v>
      </c>
      <c r="V418" s="141" t="s">
        <v>714</v>
      </c>
      <c r="W418" s="141" t="s">
        <v>703</v>
      </c>
      <c r="X418" s="141" t="s">
        <v>703</v>
      </c>
      <c r="Y418" s="129" t="s">
        <v>715</v>
      </c>
      <c r="Z418" s="129" t="s">
        <v>194</v>
      </c>
      <c r="AA418" s="141">
        <v>1</v>
      </c>
      <c r="AB418" s="141" t="s">
        <v>703</v>
      </c>
      <c r="AC418" s="141" t="s">
        <v>703</v>
      </c>
      <c r="AD418" s="141" t="s">
        <v>703</v>
      </c>
      <c r="AE418" s="141" t="s">
        <v>703</v>
      </c>
      <c r="AF418" s="141">
        <v>0</v>
      </c>
      <c r="AG418" s="141">
        <v>0</v>
      </c>
      <c r="AH418" s="141">
        <v>15</v>
      </c>
      <c r="AI418" s="129" t="s">
        <v>198</v>
      </c>
      <c r="AJ418" s="164" t="s">
        <v>2123</v>
      </c>
      <c r="AK418" s="141" t="s">
        <v>703</v>
      </c>
      <c r="AL418" s="141" t="s">
        <v>703</v>
      </c>
      <c r="AM418" s="143"/>
      <c r="AN418" s="143" t="s">
        <v>705</v>
      </c>
      <c r="AO418" s="143"/>
      <c r="AP418" s="143"/>
      <c r="AQ418" s="143"/>
      <c r="AR418" s="143"/>
      <c r="AS418" s="143"/>
      <c r="AT418" s="143"/>
      <c r="AU418" s="143"/>
      <c r="AV418" s="143"/>
      <c r="AW418" s="144"/>
      <c r="AX418" s="145"/>
      <c r="AY418" s="138"/>
      <c r="AZ418" s="138"/>
      <c r="BA418" s="138"/>
      <c r="BB418" s="138"/>
      <c r="BC418" s="138"/>
      <c r="BD418" s="138"/>
      <c r="BE418" s="138"/>
    </row>
    <row r="419" spans="1:57" s="139" customFormat="1" ht="44">
      <c r="A419" s="140" t="s">
        <v>6</v>
      </c>
      <c r="B419" s="129">
        <v>417</v>
      </c>
      <c r="C419" s="129" t="s">
        <v>1331</v>
      </c>
      <c r="D419" s="129" t="s">
        <v>3132</v>
      </c>
      <c r="E419" s="169" t="s">
        <v>1348</v>
      </c>
      <c r="F419" s="141" t="s">
        <v>1273</v>
      </c>
      <c r="G419" s="141" t="s">
        <v>703</v>
      </c>
      <c r="H419" s="141" t="s">
        <v>1349</v>
      </c>
      <c r="I419" s="141" t="s">
        <v>1350</v>
      </c>
      <c r="J419" s="129" t="s">
        <v>935</v>
      </c>
      <c r="K419" s="129" t="s">
        <v>935</v>
      </c>
      <c r="L419" s="129" t="s">
        <v>725</v>
      </c>
      <c r="M419" s="129" t="s">
        <v>725</v>
      </c>
      <c r="N419" s="129">
        <v>10</v>
      </c>
      <c r="O419" s="129" t="s">
        <v>725</v>
      </c>
      <c r="P419" s="129" t="s">
        <v>725</v>
      </c>
      <c r="Q419" s="141">
        <v>8</v>
      </c>
      <c r="R419" s="141">
        <v>7</v>
      </c>
      <c r="S419" s="141">
        <v>0</v>
      </c>
      <c r="T419" s="141">
        <v>8</v>
      </c>
      <c r="U419" s="141" t="s">
        <v>726</v>
      </c>
      <c r="V419" s="141" t="s">
        <v>727</v>
      </c>
      <c r="W419" s="141" t="s">
        <v>684</v>
      </c>
      <c r="X419" s="141" t="s">
        <v>684</v>
      </c>
      <c r="Y419" s="141" t="s">
        <v>874</v>
      </c>
      <c r="Z419" s="129" t="s">
        <v>194</v>
      </c>
      <c r="AA419" s="141">
        <v>1</v>
      </c>
      <c r="AB419" s="141" t="s">
        <v>684</v>
      </c>
      <c r="AC419" s="141" t="s">
        <v>684</v>
      </c>
      <c r="AD419" s="141" t="s">
        <v>684</v>
      </c>
      <c r="AE419" s="141" t="s">
        <v>684</v>
      </c>
      <c r="AF419" s="141">
        <v>0</v>
      </c>
      <c r="AG419" s="141">
        <v>0</v>
      </c>
      <c r="AH419" s="141">
        <v>255</v>
      </c>
      <c r="AI419" s="129" t="s">
        <v>198</v>
      </c>
      <c r="AJ419" s="159" t="s">
        <v>2121</v>
      </c>
      <c r="AK419" s="141" t="s">
        <v>684</v>
      </c>
      <c r="AL419" s="141"/>
      <c r="AM419" s="143"/>
      <c r="AN419" s="143" t="s">
        <v>685</v>
      </c>
      <c r="AO419" s="143"/>
      <c r="AP419" s="143"/>
      <c r="AQ419" s="143"/>
      <c r="AR419" s="143"/>
      <c r="AS419" s="143"/>
      <c r="AT419" s="143"/>
      <c r="AU419" s="143"/>
      <c r="AV419" s="143"/>
      <c r="AW419" s="144"/>
      <c r="AX419" s="145"/>
      <c r="AY419" s="138"/>
      <c r="AZ419" s="138"/>
      <c r="BA419" s="138"/>
      <c r="BB419" s="138"/>
      <c r="BC419" s="138"/>
      <c r="BD419" s="138"/>
      <c r="BE419" s="138"/>
    </row>
    <row r="420" spans="1:57" s="139" customFormat="1" ht="30">
      <c r="A420" s="140" t="s">
        <v>6</v>
      </c>
      <c r="B420" s="129">
        <v>418</v>
      </c>
      <c r="C420" s="129" t="s">
        <v>1315</v>
      </c>
      <c r="D420" s="129" t="s">
        <v>3135</v>
      </c>
      <c r="E420" s="169" t="s">
        <v>2990</v>
      </c>
      <c r="F420" s="141" t="s">
        <v>1351</v>
      </c>
      <c r="G420" s="141" t="s">
        <v>684</v>
      </c>
      <c r="H420" s="141" t="s">
        <v>1352</v>
      </c>
      <c r="I420" s="141" t="s">
        <v>1350</v>
      </c>
      <c r="J420" s="129" t="s">
        <v>935</v>
      </c>
      <c r="K420" s="129" t="s">
        <v>935</v>
      </c>
      <c r="L420" s="129" t="s">
        <v>725</v>
      </c>
      <c r="M420" s="129" t="s">
        <v>725</v>
      </c>
      <c r="N420" s="129">
        <v>10</v>
      </c>
      <c r="O420" s="129" t="s">
        <v>725</v>
      </c>
      <c r="P420" s="129" t="s">
        <v>725</v>
      </c>
      <c r="Q420" s="141">
        <v>8</v>
      </c>
      <c r="R420" s="141">
        <v>15</v>
      </c>
      <c r="S420" s="141">
        <v>16</v>
      </c>
      <c r="T420" s="141">
        <v>16</v>
      </c>
      <c r="U420" s="141" t="s">
        <v>726</v>
      </c>
      <c r="V420" s="141" t="s">
        <v>727</v>
      </c>
      <c r="W420" s="141" t="s">
        <v>684</v>
      </c>
      <c r="X420" s="141" t="s">
        <v>684</v>
      </c>
      <c r="Y420" s="129" t="s">
        <v>941</v>
      </c>
      <c r="Z420" s="129" t="s">
        <v>194</v>
      </c>
      <c r="AA420" s="141">
        <v>1</v>
      </c>
      <c r="AB420" s="141" t="s">
        <v>684</v>
      </c>
      <c r="AC420" s="141" t="s">
        <v>684</v>
      </c>
      <c r="AD420" s="141" t="s">
        <v>684</v>
      </c>
      <c r="AE420" s="141" t="s">
        <v>684</v>
      </c>
      <c r="AF420" s="141">
        <v>-14000</v>
      </c>
      <c r="AG420" s="141">
        <v>-14000</v>
      </c>
      <c r="AH420" s="141">
        <v>14000</v>
      </c>
      <c r="AI420" s="141" t="s">
        <v>234</v>
      </c>
      <c r="AJ420" s="164" t="s">
        <v>2122</v>
      </c>
      <c r="AK420" s="141" t="s">
        <v>1353</v>
      </c>
      <c r="AL420" s="169" t="s">
        <v>2985</v>
      </c>
      <c r="AM420" s="143" t="s">
        <v>2980</v>
      </c>
      <c r="AN420" s="143" t="s">
        <v>1354</v>
      </c>
      <c r="AO420" s="143"/>
      <c r="AP420" s="143"/>
      <c r="AQ420" s="143"/>
      <c r="AR420" s="143"/>
      <c r="AS420" s="143"/>
      <c r="AT420" s="143"/>
      <c r="AU420" s="143"/>
      <c r="AV420" s="143" t="s">
        <v>1354</v>
      </c>
      <c r="AW420" s="144"/>
      <c r="AX420" s="145"/>
      <c r="AY420" s="138"/>
      <c r="AZ420" s="138"/>
      <c r="BA420" s="138"/>
      <c r="BB420" s="138"/>
      <c r="BC420" s="138"/>
      <c r="BD420" s="138"/>
      <c r="BE420" s="138"/>
    </row>
    <row r="421" spans="1:57" s="139" customFormat="1" ht="184">
      <c r="A421" s="140" t="s">
        <v>6</v>
      </c>
      <c r="B421" s="129">
        <v>419</v>
      </c>
      <c r="C421" s="129" t="s">
        <v>1355</v>
      </c>
      <c r="D421" s="129" t="s">
        <v>3132</v>
      </c>
      <c r="E421" s="169" t="s">
        <v>2340</v>
      </c>
      <c r="F421" s="141" t="s">
        <v>1356</v>
      </c>
      <c r="G421" s="141" t="s">
        <v>1353</v>
      </c>
      <c r="H421" s="141" t="s">
        <v>1357</v>
      </c>
      <c r="I421" s="169" t="s">
        <v>2119</v>
      </c>
      <c r="J421" s="129" t="s">
        <v>1359</v>
      </c>
      <c r="K421" s="129" t="s">
        <v>1359</v>
      </c>
      <c r="L421" s="129" t="s">
        <v>1360</v>
      </c>
      <c r="M421" s="129" t="s">
        <v>1360</v>
      </c>
      <c r="N421" s="129">
        <v>10</v>
      </c>
      <c r="O421" s="129" t="s">
        <v>1360</v>
      </c>
      <c r="P421" s="129" t="s">
        <v>1360</v>
      </c>
      <c r="Q421" s="141">
        <v>8</v>
      </c>
      <c r="R421" s="141">
        <v>31</v>
      </c>
      <c r="S421" s="141">
        <v>28</v>
      </c>
      <c r="T421" s="141">
        <v>4</v>
      </c>
      <c r="U421" s="141" t="s">
        <v>1361</v>
      </c>
      <c r="V421" s="141" t="s">
        <v>1362</v>
      </c>
      <c r="W421" s="141" t="s">
        <v>1353</v>
      </c>
      <c r="X421" s="141" t="s">
        <v>1353</v>
      </c>
      <c r="Y421" s="129" t="s">
        <v>1363</v>
      </c>
      <c r="Z421" s="129" t="s">
        <v>194</v>
      </c>
      <c r="AA421" s="141">
        <v>1</v>
      </c>
      <c r="AB421" s="141" t="s">
        <v>1353</v>
      </c>
      <c r="AC421" s="141" t="s">
        <v>1353</v>
      </c>
      <c r="AD421" s="141" t="s">
        <v>1353</v>
      </c>
      <c r="AE421" s="141" t="s">
        <v>1353</v>
      </c>
      <c r="AF421" s="141">
        <v>0</v>
      </c>
      <c r="AG421" s="141">
        <v>0</v>
      </c>
      <c r="AH421" s="141">
        <v>14</v>
      </c>
      <c r="AI421" s="129" t="s">
        <v>198</v>
      </c>
      <c r="AJ421" s="212" t="s">
        <v>2342</v>
      </c>
      <c r="AK421" s="141" t="s">
        <v>1353</v>
      </c>
      <c r="AL421" s="169" t="s">
        <v>2060</v>
      </c>
      <c r="AM421" s="143"/>
      <c r="AN421" s="143" t="s">
        <v>1354</v>
      </c>
      <c r="AO421" s="143"/>
      <c r="AP421" s="143"/>
      <c r="AQ421" s="143"/>
      <c r="AR421" s="143"/>
      <c r="AS421" s="143"/>
      <c r="AT421" s="143"/>
      <c r="AU421" s="143"/>
      <c r="AV421" s="143"/>
      <c r="AW421" s="144"/>
      <c r="AX421" s="145"/>
      <c r="AY421" s="138"/>
      <c r="AZ421" s="138"/>
      <c r="BA421" s="138"/>
      <c r="BB421" s="138"/>
      <c r="BC421" s="138"/>
      <c r="BD421" s="138"/>
      <c r="BE421" s="138"/>
    </row>
    <row r="422" spans="1:57" s="139" customFormat="1" ht="30">
      <c r="A422" s="140" t="s">
        <v>6</v>
      </c>
      <c r="B422" s="129">
        <v>420</v>
      </c>
      <c r="C422" s="129" t="s">
        <v>1315</v>
      </c>
      <c r="D422" s="172" t="s">
        <v>3095</v>
      </c>
      <c r="E422" s="169" t="s">
        <v>2329</v>
      </c>
      <c r="F422" s="169" t="s">
        <v>2330</v>
      </c>
      <c r="G422" s="141" t="s">
        <v>1353</v>
      </c>
      <c r="H422" s="141" t="s">
        <v>1357</v>
      </c>
      <c r="I422" s="169" t="s">
        <v>1350</v>
      </c>
      <c r="J422" s="129" t="s">
        <v>1359</v>
      </c>
      <c r="K422" s="129" t="s">
        <v>1359</v>
      </c>
      <c r="L422" s="129" t="s">
        <v>1360</v>
      </c>
      <c r="M422" s="129" t="s">
        <v>1360</v>
      </c>
      <c r="N422" s="129">
        <v>10</v>
      </c>
      <c r="O422" s="129" t="s">
        <v>1360</v>
      </c>
      <c r="P422" s="129" t="s">
        <v>1360</v>
      </c>
      <c r="Q422" s="141">
        <v>8</v>
      </c>
      <c r="R422" s="141">
        <v>27</v>
      </c>
      <c r="S422" s="141">
        <v>27</v>
      </c>
      <c r="T422" s="141">
        <v>1</v>
      </c>
      <c r="U422" s="141" t="s">
        <v>1361</v>
      </c>
      <c r="V422" s="141" t="s">
        <v>1362</v>
      </c>
      <c r="W422" s="141" t="s">
        <v>1353</v>
      </c>
      <c r="X422" s="141" t="s">
        <v>1353</v>
      </c>
      <c r="Y422" s="172" t="s">
        <v>2331</v>
      </c>
      <c r="Z422" s="129" t="s">
        <v>194</v>
      </c>
      <c r="AA422" s="141">
        <v>1</v>
      </c>
      <c r="AB422" s="141" t="s">
        <v>1353</v>
      </c>
      <c r="AC422" s="141" t="s">
        <v>1353</v>
      </c>
      <c r="AD422" s="141" t="s">
        <v>1353</v>
      </c>
      <c r="AE422" s="141" t="s">
        <v>1353</v>
      </c>
      <c r="AF422" s="141">
        <v>0</v>
      </c>
      <c r="AG422" s="141">
        <v>0</v>
      </c>
      <c r="AH422" s="141">
        <v>1</v>
      </c>
      <c r="AI422" s="129" t="s">
        <v>198</v>
      </c>
      <c r="AJ422" s="212" t="s">
        <v>2332</v>
      </c>
      <c r="AK422" s="141" t="s">
        <v>1353</v>
      </c>
      <c r="AL422" s="169" t="s">
        <v>1353</v>
      </c>
      <c r="AM422" s="143" t="s">
        <v>2335</v>
      </c>
      <c r="AN422" s="143"/>
      <c r="AO422" s="143"/>
      <c r="AP422" s="143"/>
      <c r="AQ422" s="143"/>
      <c r="AR422" s="143"/>
      <c r="AS422" s="143"/>
      <c r="AT422" s="143"/>
      <c r="AU422" s="143"/>
      <c r="AV422" s="143"/>
      <c r="AW422" s="144"/>
      <c r="AX422" s="145"/>
      <c r="AY422" s="138"/>
      <c r="AZ422" s="138"/>
      <c r="BA422" s="138"/>
      <c r="BB422" s="138"/>
      <c r="BC422" s="138"/>
      <c r="BD422" s="138"/>
      <c r="BE422" s="138"/>
    </row>
    <row r="423" spans="1:57" s="139" customFormat="1" ht="86">
      <c r="A423" s="140" t="s">
        <v>6</v>
      </c>
      <c r="B423" s="129">
        <v>421</v>
      </c>
      <c r="C423" s="129" t="s">
        <v>1355</v>
      </c>
      <c r="D423" s="129" t="s">
        <v>3132</v>
      </c>
      <c r="E423" s="169" t="s">
        <v>2341</v>
      </c>
      <c r="F423" s="141" t="s">
        <v>1364</v>
      </c>
      <c r="G423" s="141" t="s">
        <v>1353</v>
      </c>
      <c r="H423" s="169" t="s">
        <v>1349</v>
      </c>
      <c r="I423" s="141" t="s">
        <v>1358</v>
      </c>
      <c r="J423" s="129" t="s">
        <v>1359</v>
      </c>
      <c r="K423" s="129" t="s">
        <v>1359</v>
      </c>
      <c r="L423" s="129" t="s">
        <v>1360</v>
      </c>
      <c r="M423" s="129" t="s">
        <v>1360</v>
      </c>
      <c r="N423" s="129">
        <v>10</v>
      </c>
      <c r="O423" s="129" t="s">
        <v>1360</v>
      </c>
      <c r="P423" s="129" t="s">
        <v>1360</v>
      </c>
      <c r="Q423" s="141">
        <v>8</v>
      </c>
      <c r="R423" s="141">
        <v>26</v>
      </c>
      <c r="S423" s="141">
        <v>24</v>
      </c>
      <c r="T423" s="141">
        <v>3</v>
      </c>
      <c r="U423" s="141" t="s">
        <v>1361</v>
      </c>
      <c r="V423" s="141" t="s">
        <v>1362</v>
      </c>
      <c r="W423" s="141" t="s">
        <v>1353</v>
      </c>
      <c r="X423" s="141" t="s">
        <v>1353</v>
      </c>
      <c r="Y423" s="129" t="s">
        <v>1365</v>
      </c>
      <c r="Z423" s="129" t="s">
        <v>194</v>
      </c>
      <c r="AA423" s="141">
        <v>1</v>
      </c>
      <c r="AB423" s="141" t="s">
        <v>1353</v>
      </c>
      <c r="AC423" s="141" t="s">
        <v>1353</v>
      </c>
      <c r="AD423" s="141" t="s">
        <v>1353</v>
      </c>
      <c r="AE423" s="141" t="s">
        <v>1353</v>
      </c>
      <c r="AF423" s="141">
        <v>0</v>
      </c>
      <c r="AG423" s="141">
        <v>0</v>
      </c>
      <c r="AH423" s="141">
        <v>7</v>
      </c>
      <c r="AI423" s="129" t="s">
        <v>198</v>
      </c>
      <c r="AJ423" s="212" t="s">
        <v>2389</v>
      </c>
      <c r="AK423" s="141" t="s">
        <v>1353</v>
      </c>
      <c r="AL423" s="169" t="s">
        <v>1353</v>
      </c>
      <c r="AM423" s="143"/>
      <c r="AN423" s="143" t="s">
        <v>1354</v>
      </c>
      <c r="AO423" s="143"/>
      <c r="AP423" s="143"/>
      <c r="AQ423" s="143"/>
      <c r="AR423" s="143"/>
      <c r="AS423" s="143"/>
      <c r="AT423" s="143"/>
      <c r="AU423" s="143"/>
      <c r="AV423" s="143"/>
      <c r="AW423" s="144"/>
      <c r="AX423" s="145"/>
      <c r="AY423" s="138"/>
      <c r="AZ423" s="138"/>
      <c r="BA423" s="138"/>
      <c r="BB423" s="138"/>
      <c r="BC423" s="138"/>
      <c r="BD423" s="138"/>
      <c r="BE423" s="138"/>
    </row>
    <row r="424" spans="1:57" s="139" customFormat="1" ht="25">
      <c r="A424" s="140" t="s">
        <v>6</v>
      </c>
      <c r="B424" s="129">
        <v>422</v>
      </c>
      <c r="C424" s="129" t="s">
        <v>1355</v>
      </c>
      <c r="D424" s="129" t="s">
        <v>3132</v>
      </c>
      <c r="E424" s="169" t="s">
        <v>2703</v>
      </c>
      <c r="F424" s="169" t="s">
        <v>1366</v>
      </c>
      <c r="G424" s="141" t="s">
        <v>1353</v>
      </c>
      <c r="H424" s="141" t="s">
        <v>1357</v>
      </c>
      <c r="I424" s="141" t="s">
        <v>1358</v>
      </c>
      <c r="J424" s="129" t="s">
        <v>1359</v>
      </c>
      <c r="K424" s="129" t="s">
        <v>1359</v>
      </c>
      <c r="L424" s="129" t="s">
        <v>1360</v>
      </c>
      <c r="M424" s="129" t="s">
        <v>1360</v>
      </c>
      <c r="N424" s="129">
        <v>10</v>
      </c>
      <c r="O424" s="129" t="s">
        <v>1360</v>
      </c>
      <c r="P424" s="129" t="s">
        <v>1360</v>
      </c>
      <c r="Q424" s="141">
        <v>8</v>
      </c>
      <c r="R424" s="141">
        <v>39</v>
      </c>
      <c r="S424" s="141">
        <v>32</v>
      </c>
      <c r="T424" s="141">
        <v>8</v>
      </c>
      <c r="U424" s="141" t="s">
        <v>1361</v>
      </c>
      <c r="V424" s="141" t="s">
        <v>1362</v>
      </c>
      <c r="W424" s="141" t="s">
        <v>1353</v>
      </c>
      <c r="X424" s="141" t="s">
        <v>1353</v>
      </c>
      <c r="Y424" s="141" t="s">
        <v>1367</v>
      </c>
      <c r="Z424" s="129" t="s">
        <v>194</v>
      </c>
      <c r="AA424" s="141">
        <v>1</v>
      </c>
      <c r="AB424" s="141" t="s">
        <v>1353</v>
      </c>
      <c r="AC424" s="141" t="s">
        <v>1353</v>
      </c>
      <c r="AD424" s="141" t="s">
        <v>1353</v>
      </c>
      <c r="AE424" s="141" t="s">
        <v>1353</v>
      </c>
      <c r="AF424" s="141">
        <v>0</v>
      </c>
      <c r="AG424" s="141">
        <v>0</v>
      </c>
      <c r="AH424" s="141">
        <v>255</v>
      </c>
      <c r="AI424" s="141" t="s">
        <v>198</v>
      </c>
      <c r="AJ424" s="142" t="s">
        <v>2702</v>
      </c>
      <c r="AK424" s="141" t="s">
        <v>1353</v>
      </c>
      <c r="AL424" s="169" t="s">
        <v>2060</v>
      </c>
      <c r="AM424" s="143"/>
      <c r="AN424" s="143" t="s">
        <v>1354</v>
      </c>
      <c r="AO424" s="143"/>
      <c r="AP424" s="143"/>
      <c r="AQ424" s="143"/>
      <c r="AR424" s="143"/>
      <c r="AS424" s="143"/>
      <c r="AT424" s="143"/>
      <c r="AU424" s="143"/>
      <c r="AV424" s="143"/>
      <c r="AW424" s="144"/>
      <c r="AX424" s="145"/>
      <c r="AY424" s="138"/>
      <c r="AZ424" s="138"/>
      <c r="BA424" s="138"/>
      <c r="BB424" s="138"/>
      <c r="BC424" s="138"/>
      <c r="BD424" s="138"/>
      <c r="BE424" s="138"/>
    </row>
    <row r="425" spans="1:57" s="139" customFormat="1" ht="44">
      <c r="A425" s="140" t="s">
        <v>6</v>
      </c>
      <c r="B425" s="129">
        <v>423</v>
      </c>
      <c r="C425" s="129" t="s">
        <v>1355</v>
      </c>
      <c r="D425" s="129" t="s">
        <v>3132</v>
      </c>
      <c r="E425" s="169" t="s">
        <v>1368</v>
      </c>
      <c r="F425" s="141" t="s">
        <v>1369</v>
      </c>
      <c r="G425" s="141" t="s">
        <v>1353</v>
      </c>
      <c r="H425" s="141" t="s">
        <v>1357</v>
      </c>
      <c r="I425" s="141" t="s">
        <v>1358</v>
      </c>
      <c r="J425" s="129" t="s">
        <v>1359</v>
      </c>
      <c r="K425" s="129" t="s">
        <v>1359</v>
      </c>
      <c r="L425" s="129" t="s">
        <v>1360</v>
      </c>
      <c r="M425" s="129" t="s">
        <v>1360</v>
      </c>
      <c r="N425" s="129">
        <v>10</v>
      </c>
      <c r="O425" s="129" t="s">
        <v>1360</v>
      </c>
      <c r="P425" s="129" t="s">
        <v>1360</v>
      </c>
      <c r="Q425" s="141">
        <v>8</v>
      </c>
      <c r="R425" s="141">
        <v>47</v>
      </c>
      <c r="S425" s="141">
        <v>53</v>
      </c>
      <c r="T425" s="141">
        <v>11</v>
      </c>
      <c r="U425" s="141" t="s">
        <v>1361</v>
      </c>
      <c r="V425" s="141" t="s">
        <v>1362</v>
      </c>
      <c r="W425" s="141" t="s">
        <v>1353</v>
      </c>
      <c r="X425" s="141" t="s">
        <v>1353</v>
      </c>
      <c r="Y425" s="141" t="s">
        <v>1370</v>
      </c>
      <c r="Z425" s="129" t="s">
        <v>194</v>
      </c>
      <c r="AA425" s="141">
        <v>0.5</v>
      </c>
      <c r="AB425" s="141" t="s">
        <v>1353</v>
      </c>
      <c r="AC425" s="141" t="s">
        <v>1353</v>
      </c>
      <c r="AD425" s="141" t="s">
        <v>1353</v>
      </c>
      <c r="AE425" s="141" t="s">
        <v>1353</v>
      </c>
      <c r="AF425" s="141">
        <v>-300</v>
      </c>
      <c r="AG425" s="141">
        <v>-300</v>
      </c>
      <c r="AH425" s="141">
        <v>300</v>
      </c>
      <c r="AI425" s="141" t="s">
        <v>196</v>
      </c>
      <c r="AJ425" s="159" t="s">
        <v>2158</v>
      </c>
      <c r="AK425" s="141" t="s">
        <v>1353</v>
      </c>
      <c r="AL425" s="169" t="s">
        <v>2060</v>
      </c>
      <c r="AM425" s="143"/>
      <c r="AN425" s="143" t="s">
        <v>1354</v>
      </c>
      <c r="AO425" s="143"/>
      <c r="AP425" s="143"/>
      <c r="AQ425" s="143"/>
      <c r="AR425" s="143"/>
      <c r="AS425" s="143"/>
      <c r="AT425" s="143"/>
      <c r="AU425" s="143"/>
      <c r="AV425" s="143"/>
      <c r="AW425" s="144"/>
      <c r="AX425" s="145"/>
      <c r="AY425" s="138"/>
      <c r="AZ425" s="138"/>
      <c r="BA425" s="138"/>
      <c r="BB425" s="138"/>
      <c r="BC425" s="138"/>
      <c r="BD425" s="138"/>
      <c r="BE425" s="138"/>
    </row>
    <row r="426" spans="1:57" s="139" customFormat="1" ht="58">
      <c r="A426" s="140" t="s">
        <v>6</v>
      </c>
      <c r="B426" s="129">
        <v>424</v>
      </c>
      <c r="C426" s="129" t="s">
        <v>1355</v>
      </c>
      <c r="D426" s="129" t="s">
        <v>3132</v>
      </c>
      <c r="E426" s="169" t="s">
        <v>1970</v>
      </c>
      <c r="F426" s="141" t="s">
        <v>235</v>
      </c>
      <c r="G426" s="141" t="s">
        <v>1353</v>
      </c>
      <c r="H426" s="141" t="s">
        <v>1357</v>
      </c>
      <c r="I426" s="141" t="s">
        <v>1358</v>
      </c>
      <c r="J426" s="129" t="s">
        <v>1359</v>
      </c>
      <c r="K426" s="129" t="s">
        <v>1359</v>
      </c>
      <c r="L426" s="129" t="s">
        <v>1360</v>
      </c>
      <c r="M426" s="129" t="s">
        <v>1360</v>
      </c>
      <c r="N426" s="129">
        <v>10</v>
      </c>
      <c r="O426" s="129" t="s">
        <v>1360</v>
      </c>
      <c r="P426" s="129" t="s">
        <v>1360</v>
      </c>
      <c r="Q426" s="141">
        <v>8</v>
      </c>
      <c r="R426" s="141">
        <v>52</v>
      </c>
      <c r="S426" s="141">
        <v>51</v>
      </c>
      <c r="T426" s="141">
        <v>2</v>
      </c>
      <c r="U426" s="141" t="s">
        <v>1361</v>
      </c>
      <c r="V426" s="141" t="s">
        <v>1362</v>
      </c>
      <c r="W426" s="141" t="s">
        <v>1353</v>
      </c>
      <c r="X426" s="141" t="s">
        <v>1353</v>
      </c>
      <c r="Y426" s="129" t="s">
        <v>1365</v>
      </c>
      <c r="Z426" s="129" t="s">
        <v>194</v>
      </c>
      <c r="AA426" s="141">
        <v>1</v>
      </c>
      <c r="AB426" s="141" t="s">
        <v>1353</v>
      </c>
      <c r="AC426" s="141" t="s">
        <v>1353</v>
      </c>
      <c r="AD426" s="141" t="s">
        <v>1353</v>
      </c>
      <c r="AE426" s="141" t="s">
        <v>1353</v>
      </c>
      <c r="AF426" s="141">
        <v>0</v>
      </c>
      <c r="AG426" s="141">
        <v>0</v>
      </c>
      <c r="AH426" s="141">
        <v>3</v>
      </c>
      <c r="AI426" s="129" t="s">
        <v>198</v>
      </c>
      <c r="AJ426" s="164" t="s">
        <v>2611</v>
      </c>
      <c r="AK426" s="141" t="s">
        <v>1353</v>
      </c>
      <c r="AL426" s="141"/>
      <c r="AM426" s="143"/>
      <c r="AN426" s="143" t="s">
        <v>1354</v>
      </c>
      <c r="AO426" s="143"/>
      <c r="AP426" s="143"/>
      <c r="AQ426" s="143"/>
      <c r="AR426" s="143"/>
      <c r="AS426" s="143"/>
      <c r="AT426" s="143"/>
      <c r="AU426" s="143"/>
      <c r="AV426" s="143"/>
      <c r="AW426" s="144"/>
      <c r="AX426" s="145"/>
      <c r="AY426" s="138"/>
      <c r="AZ426" s="138"/>
      <c r="BA426" s="138"/>
      <c r="BB426" s="138"/>
      <c r="BC426" s="138"/>
      <c r="BD426" s="138"/>
      <c r="BE426" s="138"/>
    </row>
    <row r="427" spans="1:57" s="139" customFormat="1" ht="58">
      <c r="A427" s="140" t="s">
        <v>6</v>
      </c>
      <c r="B427" s="129">
        <v>425</v>
      </c>
      <c r="C427" s="129" t="s">
        <v>1355</v>
      </c>
      <c r="D427" s="129" t="s">
        <v>3115</v>
      </c>
      <c r="E427" s="169" t="s">
        <v>1990</v>
      </c>
      <c r="F427" s="169" t="s">
        <v>1989</v>
      </c>
      <c r="G427" s="141" t="s">
        <v>1353</v>
      </c>
      <c r="H427" s="141" t="s">
        <v>1357</v>
      </c>
      <c r="I427" s="141" t="s">
        <v>1358</v>
      </c>
      <c r="J427" s="129" t="s">
        <v>1359</v>
      </c>
      <c r="K427" s="129" t="s">
        <v>1359</v>
      </c>
      <c r="L427" s="129" t="s">
        <v>1360</v>
      </c>
      <c r="M427" s="129" t="s">
        <v>1360</v>
      </c>
      <c r="N427" s="129">
        <v>10</v>
      </c>
      <c r="O427" s="129" t="s">
        <v>1360</v>
      </c>
      <c r="P427" s="129" t="s">
        <v>1360</v>
      </c>
      <c r="Q427" s="141">
        <v>8</v>
      </c>
      <c r="R427" s="141">
        <v>50</v>
      </c>
      <c r="S427" s="141">
        <v>49</v>
      </c>
      <c r="T427" s="141">
        <v>2</v>
      </c>
      <c r="U427" s="141" t="s">
        <v>1361</v>
      </c>
      <c r="V427" s="141" t="s">
        <v>1362</v>
      </c>
      <c r="W427" s="141" t="s">
        <v>1353</v>
      </c>
      <c r="X427" s="141" t="s">
        <v>1353</v>
      </c>
      <c r="Y427" s="129" t="s">
        <v>1365</v>
      </c>
      <c r="Z427" s="129" t="s">
        <v>194</v>
      </c>
      <c r="AA427" s="141">
        <v>1</v>
      </c>
      <c r="AB427" s="141" t="s">
        <v>1353</v>
      </c>
      <c r="AC427" s="141" t="s">
        <v>1353</v>
      </c>
      <c r="AD427" s="141" t="s">
        <v>1353</v>
      </c>
      <c r="AE427" s="141" t="s">
        <v>1353</v>
      </c>
      <c r="AF427" s="141">
        <v>0</v>
      </c>
      <c r="AG427" s="141">
        <v>0</v>
      </c>
      <c r="AH427" s="141">
        <v>3</v>
      </c>
      <c r="AI427" s="129" t="s">
        <v>198</v>
      </c>
      <c r="AJ427" s="164" t="s">
        <v>1371</v>
      </c>
      <c r="AK427" s="141" t="s">
        <v>1353</v>
      </c>
      <c r="AL427" s="141"/>
      <c r="AM427" s="143"/>
      <c r="AN427" s="143" t="s">
        <v>1354</v>
      </c>
      <c r="AO427" s="143"/>
      <c r="AP427" s="143"/>
      <c r="AQ427" s="143"/>
      <c r="AR427" s="143"/>
      <c r="AS427" s="143"/>
      <c r="AT427" s="143"/>
      <c r="AU427" s="143"/>
      <c r="AV427" s="143"/>
      <c r="AW427" s="144"/>
      <c r="AX427" s="145"/>
      <c r="AY427" s="138"/>
      <c r="AZ427" s="138"/>
      <c r="BA427" s="138"/>
      <c r="BB427" s="138"/>
      <c r="BC427" s="138"/>
      <c r="BD427" s="138"/>
      <c r="BE427" s="138"/>
    </row>
    <row r="428" spans="1:57" s="139" customFormat="1" ht="30">
      <c r="A428" s="140" t="s">
        <v>6</v>
      </c>
      <c r="B428" s="129">
        <v>426</v>
      </c>
      <c r="C428" s="129" t="s">
        <v>2920</v>
      </c>
      <c r="D428" s="129" t="s">
        <v>3115</v>
      </c>
      <c r="E428" s="212" t="s">
        <v>2921</v>
      </c>
      <c r="F428" s="212" t="s">
        <v>2922</v>
      </c>
      <c r="G428" s="141" t="s">
        <v>2923</v>
      </c>
      <c r="H428" s="141" t="s">
        <v>2924</v>
      </c>
      <c r="I428" s="141" t="s">
        <v>2925</v>
      </c>
      <c r="J428" s="129" t="s">
        <v>2926</v>
      </c>
      <c r="K428" s="129" t="s">
        <v>2926</v>
      </c>
      <c r="L428" s="129" t="s">
        <v>2927</v>
      </c>
      <c r="M428" s="129" t="s">
        <v>2927</v>
      </c>
      <c r="N428" s="129">
        <v>10</v>
      </c>
      <c r="O428" s="129" t="s">
        <v>2927</v>
      </c>
      <c r="P428" s="129" t="s">
        <v>2927</v>
      </c>
      <c r="Q428" s="141">
        <v>8</v>
      </c>
      <c r="R428" s="141">
        <v>48</v>
      </c>
      <c r="S428" s="141">
        <v>48</v>
      </c>
      <c r="T428" s="141">
        <v>1</v>
      </c>
      <c r="U428" s="141" t="s">
        <v>2916</v>
      </c>
      <c r="V428" s="141" t="s">
        <v>2917</v>
      </c>
      <c r="W428" s="141" t="s">
        <v>2923</v>
      </c>
      <c r="X428" s="141" t="s">
        <v>2923</v>
      </c>
      <c r="Y428" s="129" t="s">
        <v>2918</v>
      </c>
      <c r="Z428" s="129" t="s">
        <v>194</v>
      </c>
      <c r="AA428" s="141">
        <v>1</v>
      </c>
      <c r="AB428" s="141" t="s">
        <v>2923</v>
      </c>
      <c r="AC428" s="141" t="s">
        <v>2923</v>
      </c>
      <c r="AD428" s="141" t="s">
        <v>2923</v>
      </c>
      <c r="AE428" s="141" t="s">
        <v>2923</v>
      </c>
      <c r="AF428" s="141">
        <v>0</v>
      </c>
      <c r="AG428" s="141">
        <v>0</v>
      </c>
      <c r="AH428" s="141">
        <v>1</v>
      </c>
      <c r="AI428" s="129" t="s">
        <v>198</v>
      </c>
      <c r="AJ428" s="164" t="s">
        <v>228</v>
      </c>
      <c r="AK428" s="164"/>
      <c r="AL428" s="141"/>
      <c r="AM428" s="141"/>
      <c r="AN428" s="143" t="s">
        <v>2928</v>
      </c>
      <c r="AO428" s="143"/>
      <c r="AP428" s="143"/>
      <c r="AQ428" s="143"/>
      <c r="AR428" s="143"/>
      <c r="AS428" s="143"/>
      <c r="AT428" s="143"/>
      <c r="AU428" s="143"/>
      <c r="AV428" s="143"/>
      <c r="AW428" s="144"/>
      <c r="AX428" s="145"/>
      <c r="AY428" s="138"/>
      <c r="AZ428" s="138"/>
      <c r="BA428" s="138"/>
      <c r="BB428" s="138"/>
      <c r="BC428" s="138"/>
      <c r="BD428" s="138"/>
      <c r="BE428" s="138"/>
    </row>
    <row r="429" spans="1:57" s="139" customFormat="1" ht="25">
      <c r="A429" s="140" t="s">
        <v>6</v>
      </c>
      <c r="B429" s="129">
        <v>427</v>
      </c>
      <c r="C429" s="129" t="s">
        <v>1355</v>
      </c>
      <c r="D429" s="129" t="s">
        <v>3132</v>
      </c>
      <c r="E429" s="169" t="s">
        <v>1372</v>
      </c>
      <c r="F429" s="141" t="s">
        <v>1373</v>
      </c>
      <c r="G429" s="141" t="s">
        <v>1353</v>
      </c>
      <c r="H429" s="141" t="s">
        <v>1357</v>
      </c>
      <c r="I429" s="169" t="s">
        <v>1350</v>
      </c>
      <c r="J429" s="129" t="s">
        <v>1359</v>
      </c>
      <c r="K429" s="129" t="s">
        <v>1359</v>
      </c>
      <c r="L429" s="129" t="s">
        <v>1360</v>
      </c>
      <c r="M429" s="129" t="s">
        <v>1360</v>
      </c>
      <c r="N429" s="129">
        <v>10</v>
      </c>
      <c r="O429" s="129" t="s">
        <v>1360</v>
      </c>
      <c r="P429" s="129" t="s">
        <v>1360</v>
      </c>
      <c r="Q429" s="141">
        <v>8</v>
      </c>
      <c r="R429" s="141">
        <v>59</v>
      </c>
      <c r="S429" s="141">
        <v>56</v>
      </c>
      <c r="T429" s="141">
        <v>4</v>
      </c>
      <c r="U429" s="141" t="s">
        <v>1361</v>
      </c>
      <c r="V429" s="141" t="s">
        <v>1362</v>
      </c>
      <c r="W429" s="141" t="s">
        <v>1353</v>
      </c>
      <c r="X429" s="141" t="s">
        <v>1353</v>
      </c>
      <c r="Y429" s="129" t="s">
        <v>1365</v>
      </c>
      <c r="Z429" s="129" t="s">
        <v>194</v>
      </c>
      <c r="AA429" s="141">
        <v>1</v>
      </c>
      <c r="AB429" s="141" t="s">
        <v>1353</v>
      </c>
      <c r="AC429" s="141" t="s">
        <v>1353</v>
      </c>
      <c r="AD429" s="141" t="s">
        <v>1353</v>
      </c>
      <c r="AE429" s="141" t="s">
        <v>1353</v>
      </c>
      <c r="AF429" s="141">
        <v>0</v>
      </c>
      <c r="AG429" s="141">
        <v>0</v>
      </c>
      <c r="AH429" s="141">
        <v>15</v>
      </c>
      <c r="AI429" s="129" t="s">
        <v>198</v>
      </c>
      <c r="AJ429" s="164" t="s">
        <v>2123</v>
      </c>
      <c r="AK429" s="141" t="s">
        <v>1353</v>
      </c>
      <c r="AL429" s="141"/>
      <c r="AM429" s="143"/>
      <c r="AN429" s="143" t="s">
        <v>1354</v>
      </c>
      <c r="AO429" s="143"/>
      <c r="AP429" s="143"/>
      <c r="AQ429" s="143"/>
      <c r="AR429" s="143"/>
      <c r="AS429" s="143"/>
      <c r="AT429" s="143"/>
      <c r="AU429" s="143"/>
      <c r="AV429" s="143"/>
      <c r="AW429" s="144"/>
      <c r="AX429" s="145"/>
      <c r="AY429" s="138"/>
      <c r="AZ429" s="138"/>
      <c r="BA429" s="138"/>
      <c r="BB429" s="138"/>
      <c r="BC429" s="138"/>
      <c r="BD429" s="138"/>
      <c r="BE429" s="138"/>
    </row>
    <row r="430" spans="1:57" s="139" customFormat="1" ht="44">
      <c r="A430" s="140" t="s">
        <v>6</v>
      </c>
      <c r="B430" s="129">
        <v>428</v>
      </c>
      <c r="C430" s="129" t="s">
        <v>1355</v>
      </c>
      <c r="D430" s="129" t="s">
        <v>3132</v>
      </c>
      <c r="E430" s="169" t="s">
        <v>1374</v>
      </c>
      <c r="F430" s="141" t="s">
        <v>1375</v>
      </c>
      <c r="G430" s="141" t="s">
        <v>1353</v>
      </c>
      <c r="H430" s="141" t="s">
        <v>1376</v>
      </c>
      <c r="I430" s="141" t="s">
        <v>1377</v>
      </c>
      <c r="J430" s="129" t="s">
        <v>1359</v>
      </c>
      <c r="K430" s="129" t="s">
        <v>1359</v>
      </c>
      <c r="L430" s="129" t="s">
        <v>1360</v>
      </c>
      <c r="M430" s="129" t="s">
        <v>1360</v>
      </c>
      <c r="N430" s="129">
        <v>10</v>
      </c>
      <c r="O430" s="129" t="s">
        <v>1360</v>
      </c>
      <c r="P430" s="129" t="s">
        <v>1360</v>
      </c>
      <c r="Q430" s="141">
        <v>8</v>
      </c>
      <c r="R430" s="141">
        <v>7</v>
      </c>
      <c r="S430" s="141">
        <v>0</v>
      </c>
      <c r="T430" s="141">
        <v>8</v>
      </c>
      <c r="U430" s="141" t="s">
        <v>1361</v>
      </c>
      <c r="V430" s="141" t="s">
        <v>1362</v>
      </c>
      <c r="W430" s="141" t="s">
        <v>1353</v>
      </c>
      <c r="X430" s="141" t="s">
        <v>1353</v>
      </c>
      <c r="Y430" s="141" t="s">
        <v>1367</v>
      </c>
      <c r="Z430" s="129" t="s">
        <v>194</v>
      </c>
      <c r="AA430" s="141">
        <v>1</v>
      </c>
      <c r="AB430" s="141" t="s">
        <v>1353</v>
      </c>
      <c r="AC430" s="141" t="s">
        <v>1353</v>
      </c>
      <c r="AD430" s="141" t="s">
        <v>1353</v>
      </c>
      <c r="AE430" s="141" t="s">
        <v>1353</v>
      </c>
      <c r="AF430" s="141">
        <v>0</v>
      </c>
      <c r="AG430" s="141">
        <v>0</v>
      </c>
      <c r="AH430" s="141">
        <v>255</v>
      </c>
      <c r="AI430" s="129" t="s">
        <v>1378</v>
      </c>
      <c r="AJ430" s="159" t="s">
        <v>2121</v>
      </c>
      <c r="AK430" s="141" t="s">
        <v>1353</v>
      </c>
      <c r="AL430" s="141" t="s">
        <v>1353</v>
      </c>
      <c r="AM430" s="143"/>
      <c r="AN430" s="143" t="s">
        <v>1354</v>
      </c>
      <c r="AO430" s="143"/>
      <c r="AP430" s="143"/>
      <c r="AQ430" s="143"/>
      <c r="AR430" s="143"/>
      <c r="AS430" s="143"/>
      <c r="AT430" s="143"/>
      <c r="AU430" s="143"/>
      <c r="AV430" s="143"/>
      <c r="AW430" s="144"/>
      <c r="AX430" s="145"/>
      <c r="AY430" s="138"/>
      <c r="AZ430" s="138"/>
      <c r="BA430" s="138"/>
      <c r="BB430" s="138"/>
      <c r="BC430" s="138"/>
      <c r="BD430" s="138"/>
      <c r="BE430" s="138"/>
    </row>
    <row r="431" spans="1:57" s="139" customFormat="1" ht="30">
      <c r="A431" s="140" t="s">
        <v>6</v>
      </c>
      <c r="B431" s="129">
        <v>429</v>
      </c>
      <c r="C431" s="129" t="s">
        <v>1355</v>
      </c>
      <c r="D431" s="129" t="s">
        <v>3132</v>
      </c>
      <c r="E431" s="169" t="s">
        <v>1379</v>
      </c>
      <c r="F431" s="141" t="s">
        <v>1380</v>
      </c>
      <c r="G431" s="141" t="s">
        <v>1353</v>
      </c>
      <c r="H431" s="129" t="s">
        <v>1376</v>
      </c>
      <c r="I431" s="141" t="s">
        <v>1377</v>
      </c>
      <c r="J431" s="129" t="s">
        <v>1359</v>
      </c>
      <c r="K431" s="129" t="s">
        <v>1359</v>
      </c>
      <c r="L431" s="129" t="s">
        <v>1360</v>
      </c>
      <c r="M431" s="129" t="s">
        <v>1360</v>
      </c>
      <c r="N431" s="129">
        <v>10</v>
      </c>
      <c r="O431" s="129" t="s">
        <v>1360</v>
      </c>
      <c r="P431" s="129" t="s">
        <v>1360</v>
      </c>
      <c r="Q431" s="141">
        <v>8</v>
      </c>
      <c r="R431" s="141">
        <v>15</v>
      </c>
      <c r="S431" s="141">
        <v>20</v>
      </c>
      <c r="T431" s="141">
        <v>12</v>
      </c>
      <c r="U431" s="141" t="s">
        <v>1361</v>
      </c>
      <c r="V431" s="141" t="s">
        <v>1362</v>
      </c>
      <c r="W431" s="141" t="s">
        <v>1353</v>
      </c>
      <c r="X431" s="141" t="s">
        <v>1353</v>
      </c>
      <c r="Y431" s="129" t="s">
        <v>1370</v>
      </c>
      <c r="Z431" s="129" t="s">
        <v>194</v>
      </c>
      <c r="AA431" s="141">
        <v>1</v>
      </c>
      <c r="AB431" s="141" t="s">
        <v>1353</v>
      </c>
      <c r="AC431" s="141" t="s">
        <v>1353</v>
      </c>
      <c r="AD431" s="141" t="s">
        <v>1353</v>
      </c>
      <c r="AE431" s="141" t="s">
        <v>1353</v>
      </c>
      <c r="AF431" s="141">
        <v>-1000</v>
      </c>
      <c r="AG431" s="141">
        <v>-1000</v>
      </c>
      <c r="AH431" s="141">
        <v>1000</v>
      </c>
      <c r="AI431" s="141" t="s">
        <v>230</v>
      </c>
      <c r="AJ431" s="159" t="s">
        <v>2159</v>
      </c>
      <c r="AK431" s="141" t="s">
        <v>1353</v>
      </c>
      <c r="AL431" s="169" t="s">
        <v>2060</v>
      </c>
      <c r="AM431" s="143"/>
      <c r="AN431" s="143" t="s">
        <v>1354</v>
      </c>
      <c r="AO431" s="143"/>
      <c r="AP431" s="143"/>
      <c r="AQ431" s="143"/>
      <c r="AR431" s="143"/>
      <c r="AS431" s="143"/>
      <c r="AT431" s="143"/>
      <c r="AU431" s="143"/>
      <c r="AV431" s="143"/>
      <c r="AW431" s="144"/>
      <c r="AX431" s="145"/>
      <c r="AY431" s="138"/>
      <c r="AZ431" s="138"/>
      <c r="BA431" s="138"/>
      <c r="BB431" s="138"/>
      <c r="BC431" s="138"/>
      <c r="BD431" s="138"/>
      <c r="BE431" s="138"/>
    </row>
    <row r="432" spans="1:57" s="139" customFormat="1" ht="30">
      <c r="A432" s="140" t="s">
        <v>6</v>
      </c>
      <c r="B432" s="129">
        <v>430</v>
      </c>
      <c r="C432" s="129" t="s">
        <v>1355</v>
      </c>
      <c r="D432" s="129" t="s">
        <v>3127</v>
      </c>
      <c r="E432" s="169" t="s">
        <v>1381</v>
      </c>
      <c r="F432" s="141" t="s">
        <v>1382</v>
      </c>
      <c r="G432" s="141" t="s">
        <v>1353</v>
      </c>
      <c r="H432" s="129" t="s">
        <v>1376</v>
      </c>
      <c r="I432" s="141" t="s">
        <v>1377</v>
      </c>
      <c r="J432" s="129" t="s">
        <v>1359</v>
      </c>
      <c r="K432" s="129" t="s">
        <v>1359</v>
      </c>
      <c r="L432" s="129" t="s">
        <v>1360</v>
      </c>
      <c r="M432" s="129" t="s">
        <v>1360</v>
      </c>
      <c r="N432" s="129">
        <v>10</v>
      </c>
      <c r="O432" s="129" t="s">
        <v>1360</v>
      </c>
      <c r="P432" s="129" t="s">
        <v>1360</v>
      </c>
      <c r="Q432" s="141">
        <v>8</v>
      </c>
      <c r="R432" s="141">
        <v>19</v>
      </c>
      <c r="S432" s="141">
        <v>26</v>
      </c>
      <c r="T432" s="141">
        <v>10</v>
      </c>
      <c r="U432" s="141" t="s">
        <v>1361</v>
      </c>
      <c r="V432" s="141" t="s">
        <v>1362</v>
      </c>
      <c r="W432" s="141" t="s">
        <v>1353</v>
      </c>
      <c r="X432" s="141" t="s">
        <v>1353</v>
      </c>
      <c r="Y432" s="129" t="s">
        <v>1370</v>
      </c>
      <c r="Z432" s="129" t="s">
        <v>194</v>
      </c>
      <c r="AA432" s="141">
        <v>1</v>
      </c>
      <c r="AB432" s="141" t="s">
        <v>1353</v>
      </c>
      <c r="AC432" s="141" t="s">
        <v>1353</v>
      </c>
      <c r="AD432" s="141" t="s">
        <v>1353</v>
      </c>
      <c r="AE432" s="141" t="s">
        <v>1353</v>
      </c>
      <c r="AF432" s="141">
        <v>0</v>
      </c>
      <c r="AG432" s="141">
        <v>0</v>
      </c>
      <c r="AH432" s="141">
        <v>1000</v>
      </c>
      <c r="AI432" s="141" t="s">
        <v>204</v>
      </c>
      <c r="AJ432" s="159" t="s">
        <v>2160</v>
      </c>
      <c r="AK432" s="141" t="s">
        <v>1353</v>
      </c>
      <c r="AL432" s="169" t="s">
        <v>2060</v>
      </c>
      <c r="AM432" s="143"/>
      <c r="AN432" s="143" t="s">
        <v>1354</v>
      </c>
      <c r="AO432" s="143" t="s">
        <v>537</v>
      </c>
      <c r="AP432" s="143"/>
      <c r="AQ432" s="143"/>
      <c r="AR432" s="143"/>
      <c r="AS432" s="143"/>
      <c r="AT432" s="143"/>
      <c r="AU432" s="143"/>
      <c r="AV432" s="143"/>
      <c r="AW432" s="144"/>
      <c r="AX432" s="145"/>
      <c r="AY432" s="138"/>
      <c r="AZ432" s="138"/>
      <c r="BA432" s="138"/>
      <c r="BB432" s="138"/>
      <c r="BC432" s="138"/>
      <c r="BD432" s="138"/>
      <c r="BE432" s="138"/>
    </row>
    <row r="433" spans="1:57" s="139" customFormat="1" ht="44">
      <c r="A433" s="140" t="s">
        <v>6</v>
      </c>
      <c r="B433" s="129">
        <v>431</v>
      </c>
      <c r="C433" s="129" t="s">
        <v>1355</v>
      </c>
      <c r="D433" s="129" t="s">
        <v>3132</v>
      </c>
      <c r="E433" s="169" t="s">
        <v>2328</v>
      </c>
      <c r="F433" s="141" t="s">
        <v>1383</v>
      </c>
      <c r="G433" s="141" t="s">
        <v>1353</v>
      </c>
      <c r="H433" s="129" t="s">
        <v>1376</v>
      </c>
      <c r="I433" s="141" t="s">
        <v>1377</v>
      </c>
      <c r="J433" s="129" t="s">
        <v>1359</v>
      </c>
      <c r="K433" s="129" t="s">
        <v>1359</v>
      </c>
      <c r="L433" s="129" t="s">
        <v>1360</v>
      </c>
      <c r="M433" s="129" t="s">
        <v>1360</v>
      </c>
      <c r="N433" s="129">
        <v>10</v>
      </c>
      <c r="O433" s="129" t="s">
        <v>1360</v>
      </c>
      <c r="P433" s="129" t="s">
        <v>1360</v>
      </c>
      <c r="Q433" s="141">
        <v>8</v>
      </c>
      <c r="R433" s="141">
        <v>32</v>
      </c>
      <c r="S433" s="141">
        <v>40</v>
      </c>
      <c r="T433" s="141">
        <v>9</v>
      </c>
      <c r="U433" s="141" t="s">
        <v>1361</v>
      </c>
      <c r="V433" s="141" t="s">
        <v>1362</v>
      </c>
      <c r="W433" s="141" t="s">
        <v>1353</v>
      </c>
      <c r="X433" s="141" t="s">
        <v>1353</v>
      </c>
      <c r="Y433" s="141" t="s">
        <v>1370</v>
      </c>
      <c r="Z433" s="129" t="s">
        <v>194</v>
      </c>
      <c r="AA433" s="141">
        <v>1</v>
      </c>
      <c r="AB433" s="141" t="s">
        <v>1353</v>
      </c>
      <c r="AC433" s="141" t="s">
        <v>1353</v>
      </c>
      <c r="AD433" s="141" t="s">
        <v>1353</v>
      </c>
      <c r="AE433" s="141" t="s">
        <v>1353</v>
      </c>
      <c r="AF433" s="141">
        <v>-300</v>
      </c>
      <c r="AG433" s="141">
        <v>-300</v>
      </c>
      <c r="AH433" s="141">
        <v>0</v>
      </c>
      <c r="AI433" s="141" t="s">
        <v>196</v>
      </c>
      <c r="AJ433" s="159" t="s">
        <v>2157</v>
      </c>
      <c r="AK433" s="141" t="s">
        <v>1353</v>
      </c>
      <c r="AL433" s="141" t="s">
        <v>1353</v>
      </c>
      <c r="AM433" s="143"/>
      <c r="AN433" s="143" t="s">
        <v>1354</v>
      </c>
      <c r="AO433" s="143"/>
      <c r="AP433" s="143"/>
      <c r="AQ433" s="143"/>
      <c r="AR433" s="143"/>
      <c r="AS433" s="143"/>
      <c r="AT433" s="143"/>
      <c r="AU433" s="143"/>
      <c r="AV433" s="143"/>
      <c r="AW433" s="144"/>
      <c r="AX433" s="145"/>
      <c r="AY433" s="138"/>
      <c r="AZ433" s="138"/>
      <c r="BA433" s="138"/>
      <c r="BB433" s="138"/>
      <c r="BC433" s="138"/>
      <c r="BD433" s="138"/>
      <c r="BE433" s="138"/>
    </row>
    <row r="434" spans="1:57" s="139" customFormat="1" ht="30">
      <c r="A434" s="140" t="s">
        <v>6</v>
      </c>
      <c r="B434" s="129">
        <v>432</v>
      </c>
      <c r="C434" s="129" t="s">
        <v>1355</v>
      </c>
      <c r="D434" s="129" t="s">
        <v>3132</v>
      </c>
      <c r="E434" s="169" t="s">
        <v>1384</v>
      </c>
      <c r="F434" s="141" t="s">
        <v>1385</v>
      </c>
      <c r="G434" s="141" t="s">
        <v>1353</v>
      </c>
      <c r="H434" s="129" t="s">
        <v>1376</v>
      </c>
      <c r="I434" s="141" t="s">
        <v>1377</v>
      </c>
      <c r="J434" s="129" t="s">
        <v>1359</v>
      </c>
      <c r="K434" s="129" t="s">
        <v>1359</v>
      </c>
      <c r="L434" s="129" t="s">
        <v>1360</v>
      </c>
      <c r="M434" s="129" t="s">
        <v>1360</v>
      </c>
      <c r="N434" s="129">
        <v>10</v>
      </c>
      <c r="O434" s="129" t="s">
        <v>1360</v>
      </c>
      <c r="P434" s="129" t="s">
        <v>1360</v>
      </c>
      <c r="Q434" s="141">
        <v>8</v>
      </c>
      <c r="R434" s="141">
        <v>55</v>
      </c>
      <c r="S434" s="141">
        <v>63</v>
      </c>
      <c r="T434" s="141">
        <v>9</v>
      </c>
      <c r="U434" s="141" t="s">
        <v>1361</v>
      </c>
      <c r="V434" s="141" t="s">
        <v>1362</v>
      </c>
      <c r="W434" s="141" t="s">
        <v>1353</v>
      </c>
      <c r="X434" s="141" t="s">
        <v>1353</v>
      </c>
      <c r="Y434" s="129" t="s">
        <v>1370</v>
      </c>
      <c r="Z434" s="129" t="s">
        <v>194</v>
      </c>
      <c r="AA434" s="141">
        <v>1</v>
      </c>
      <c r="AB434" s="141" t="s">
        <v>1353</v>
      </c>
      <c r="AC434" s="141" t="s">
        <v>1353</v>
      </c>
      <c r="AD434" s="141" t="s">
        <v>1353</v>
      </c>
      <c r="AE434" s="141" t="s">
        <v>1353</v>
      </c>
      <c r="AF434" s="141">
        <v>0</v>
      </c>
      <c r="AG434" s="141">
        <v>0</v>
      </c>
      <c r="AH434" s="141">
        <v>300</v>
      </c>
      <c r="AI434" s="141" t="s">
        <v>196</v>
      </c>
      <c r="AJ434" s="159" t="s">
        <v>2161</v>
      </c>
      <c r="AK434" s="141" t="s">
        <v>1353</v>
      </c>
      <c r="AL434" s="141" t="s">
        <v>1353</v>
      </c>
      <c r="AM434" s="143"/>
      <c r="AN434" s="143" t="s">
        <v>1354</v>
      </c>
      <c r="AO434" s="143"/>
      <c r="AP434" s="143"/>
      <c r="AQ434" s="143"/>
      <c r="AR434" s="143"/>
      <c r="AS434" s="143"/>
      <c r="AT434" s="143"/>
      <c r="AU434" s="143"/>
      <c r="AV434" s="143"/>
      <c r="AW434" s="144"/>
      <c r="AX434" s="145"/>
      <c r="AY434" s="138"/>
      <c r="AZ434" s="138"/>
      <c r="BA434" s="138"/>
      <c r="BB434" s="138"/>
      <c r="BC434" s="138"/>
      <c r="BD434" s="138"/>
      <c r="BE434" s="138"/>
    </row>
    <row r="435" spans="1:57" s="139" customFormat="1" ht="25">
      <c r="A435" s="140" t="s">
        <v>6</v>
      </c>
      <c r="B435" s="129">
        <v>433</v>
      </c>
      <c r="C435" s="129" t="s">
        <v>1355</v>
      </c>
      <c r="D435" s="129" t="s">
        <v>3132</v>
      </c>
      <c r="E435" s="169" t="s">
        <v>1386</v>
      </c>
      <c r="F435" s="141" t="s">
        <v>1387</v>
      </c>
      <c r="G435" s="141" t="s">
        <v>1353</v>
      </c>
      <c r="H435" s="141" t="s">
        <v>1376</v>
      </c>
      <c r="I435" s="141" t="s">
        <v>1377</v>
      </c>
      <c r="J435" s="129" t="s">
        <v>1359</v>
      </c>
      <c r="K435" s="129" t="s">
        <v>1359</v>
      </c>
      <c r="L435" s="129" t="s">
        <v>1360</v>
      </c>
      <c r="M435" s="129" t="s">
        <v>1360</v>
      </c>
      <c r="N435" s="129">
        <v>10</v>
      </c>
      <c r="O435" s="129" t="s">
        <v>1360</v>
      </c>
      <c r="P435" s="129" t="s">
        <v>1360</v>
      </c>
      <c r="Q435" s="141">
        <v>8</v>
      </c>
      <c r="R435" s="141">
        <v>59</v>
      </c>
      <c r="S435" s="141">
        <v>56</v>
      </c>
      <c r="T435" s="141">
        <v>4</v>
      </c>
      <c r="U435" s="141" t="s">
        <v>1361</v>
      </c>
      <c r="V435" s="141" t="s">
        <v>1362</v>
      </c>
      <c r="W435" s="141" t="s">
        <v>1353</v>
      </c>
      <c r="X435" s="141" t="s">
        <v>1353</v>
      </c>
      <c r="Y435" s="129" t="s">
        <v>1365</v>
      </c>
      <c r="Z435" s="129" t="s">
        <v>194</v>
      </c>
      <c r="AA435" s="141">
        <v>1</v>
      </c>
      <c r="AB435" s="141" t="s">
        <v>1353</v>
      </c>
      <c r="AC435" s="141" t="s">
        <v>1353</v>
      </c>
      <c r="AD435" s="141" t="s">
        <v>1353</v>
      </c>
      <c r="AE435" s="141" t="s">
        <v>1353</v>
      </c>
      <c r="AF435" s="141">
        <v>0</v>
      </c>
      <c r="AG435" s="141">
        <v>0</v>
      </c>
      <c r="AH435" s="141">
        <v>15</v>
      </c>
      <c r="AI435" s="129" t="s">
        <v>1378</v>
      </c>
      <c r="AJ435" s="164" t="s">
        <v>2123</v>
      </c>
      <c r="AK435" s="141" t="s">
        <v>1353</v>
      </c>
      <c r="AL435" s="141" t="s">
        <v>1353</v>
      </c>
      <c r="AM435" s="143"/>
      <c r="AN435" s="143" t="s">
        <v>1354</v>
      </c>
      <c r="AO435" s="143"/>
      <c r="AP435" s="143"/>
      <c r="AQ435" s="143"/>
      <c r="AR435" s="143"/>
      <c r="AS435" s="143"/>
      <c r="AT435" s="143"/>
      <c r="AU435" s="143"/>
      <c r="AV435" s="143"/>
      <c r="AW435" s="144"/>
      <c r="AX435" s="145"/>
      <c r="AY435" s="138"/>
      <c r="AZ435" s="138"/>
      <c r="BA435" s="138"/>
      <c r="BB435" s="138"/>
      <c r="BC435" s="138"/>
      <c r="BD435" s="138"/>
      <c r="BE435" s="138"/>
    </row>
    <row r="436" spans="1:57" s="139" customFormat="1" ht="44">
      <c r="A436" s="140" t="s">
        <v>6</v>
      </c>
      <c r="B436" s="129">
        <v>434</v>
      </c>
      <c r="C436" s="129" t="s">
        <v>1355</v>
      </c>
      <c r="D436" s="129" t="s">
        <v>3132</v>
      </c>
      <c r="E436" s="169" t="s">
        <v>1388</v>
      </c>
      <c r="F436" s="141" t="s">
        <v>1375</v>
      </c>
      <c r="G436" s="141" t="s">
        <v>1353</v>
      </c>
      <c r="H436" s="141" t="s">
        <v>1389</v>
      </c>
      <c r="I436" s="141" t="s">
        <v>1390</v>
      </c>
      <c r="J436" s="129" t="s">
        <v>1359</v>
      </c>
      <c r="K436" s="129" t="s">
        <v>1359</v>
      </c>
      <c r="L436" s="129" t="s">
        <v>1360</v>
      </c>
      <c r="M436" s="129" t="s">
        <v>1360</v>
      </c>
      <c r="N436" s="129">
        <v>100</v>
      </c>
      <c r="O436" s="129" t="s">
        <v>1360</v>
      </c>
      <c r="P436" s="129" t="s">
        <v>1360</v>
      </c>
      <c r="Q436" s="141">
        <v>8</v>
      </c>
      <c r="R436" s="141">
        <v>7</v>
      </c>
      <c r="S436" s="141">
        <v>0</v>
      </c>
      <c r="T436" s="141">
        <v>8</v>
      </c>
      <c r="U436" s="141" t="s">
        <v>1361</v>
      </c>
      <c r="V436" s="141" t="s">
        <v>1362</v>
      </c>
      <c r="W436" s="141" t="s">
        <v>1353</v>
      </c>
      <c r="X436" s="141" t="s">
        <v>1353</v>
      </c>
      <c r="Y436" s="141" t="s">
        <v>1367</v>
      </c>
      <c r="Z436" s="129" t="s">
        <v>194</v>
      </c>
      <c r="AA436" s="141">
        <v>1</v>
      </c>
      <c r="AB436" s="141" t="s">
        <v>1353</v>
      </c>
      <c r="AC436" s="141" t="s">
        <v>1353</v>
      </c>
      <c r="AD436" s="141" t="s">
        <v>1353</v>
      </c>
      <c r="AE436" s="141" t="s">
        <v>1353</v>
      </c>
      <c r="AF436" s="141">
        <v>0</v>
      </c>
      <c r="AG436" s="141">
        <v>0</v>
      </c>
      <c r="AH436" s="141">
        <v>255</v>
      </c>
      <c r="AI436" s="129" t="s">
        <v>1378</v>
      </c>
      <c r="AJ436" s="159" t="s">
        <v>2121</v>
      </c>
      <c r="AK436" s="141" t="s">
        <v>1353</v>
      </c>
      <c r="AL436" s="141" t="s">
        <v>1353</v>
      </c>
      <c r="AM436" s="143"/>
      <c r="AN436" s="143" t="s">
        <v>1354</v>
      </c>
      <c r="AO436" s="143"/>
      <c r="AP436" s="143"/>
      <c r="AQ436" s="143"/>
      <c r="AR436" s="143"/>
      <c r="AS436" s="143"/>
      <c r="AT436" s="143"/>
      <c r="AU436" s="143"/>
      <c r="AV436" s="143"/>
      <c r="AW436" s="144"/>
      <c r="AX436" s="145"/>
      <c r="AY436" s="138"/>
      <c r="AZ436" s="138"/>
      <c r="BA436" s="138"/>
      <c r="BB436" s="138"/>
      <c r="BC436" s="138"/>
      <c r="BD436" s="138"/>
      <c r="BE436" s="138"/>
    </row>
    <row r="437" spans="1:57" s="139" customFormat="1" ht="30">
      <c r="A437" s="140" t="s">
        <v>6</v>
      </c>
      <c r="B437" s="129">
        <v>435</v>
      </c>
      <c r="C437" s="129" t="s">
        <v>1355</v>
      </c>
      <c r="D437" s="129" t="s">
        <v>3132</v>
      </c>
      <c r="E437" s="169" t="s">
        <v>1391</v>
      </c>
      <c r="F437" s="141" t="s">
        <v>1392</v>
      </c>
      <c r="G437" s="141" t="s">
        <v>1353</v>
      </c>
      <c r="H437" s="129" t="s">
        <v>1389</v>
      </c>
      <c r="I437" s="141" t="s">
        <v>1390</v>
      </c>
      <c r="J437" s="129" t="s">
        <v>1359</v>
      </c>
      <c r="K437" s="129" t="s">
        <v>1359</v>
      </c>
      <c r="L437" s="129" t="s">
        <v>1360</v>
      </c>
      <c r="M437" s="129" t="s">
        <v>1360</v>
      </c>
      <c r="N437" s="129">
        <v>100</v>
      </c>
      <c r="O437" s="129" t="s">
        <v>1360</v>
      </c>
      <c r="P437" s="129" t="s">
        <v>1360</v>
      </c>
      <c r="Q437" s="141">
        <v>8</v>
      </c>
      <c r="R437" s="141">
        <v>15</v>
      </c>
      <c r="S437" s="141">
        <v>8</v>
      </c>
      <c r="T437" s="141">
        <v>8</v>
      </c>
      <c r="U437" s="141" t="s">
        <v>1361</v>
      </c>
      <c r="V437" s="141" t="s">
        <v>1362</v>
      </c>
      <c r="W437" s="141" t="s">
        <v>1353</v>
      </c>
      <c r="X437" s="141" t="s">
        <v>1353</v>
      </c>
      <c r="Y437" s="141" t="s">
        <v>1367</v>
      </c>
      <c r="Z437" s="129" t="s">
        <v>194</v>
      </c>
      <c r="AA437" s="129">
        <v>1</v>
      </c>
      <c r="AB437" s="141" t="s">
        <v>1353</v>
      </c>
      <c r="AC437" s="141" t="s">
        <v>1353</v>
      </c>
      <c r="AD437" s="141" t="s">
        <v>1353</v>
      </c>
      <c r="AE437" s="141" t="s">
        <v>1353</v>
      </c>
      <c r="AF437" s="141">
        <v>-40</v>
      </c>
      <c r="AG437" s="129">
        <v>-40</v>
      </c>
      <c r="AH437" s="141">
        <v>214</v>
      </c>
      <c r="AI437" s="141" t="s">
        <v>236</v>
      </c>
      <c r="AJ437" s="159" t="s">
        <v>2154</v>
      </c>
      <c r="AK437" s="141" t="s">
        <v>1353</v>
      </c>
      <c r="AL437" s="141" t="s">
        <v>665</v>
      </c>
      <c r="AM437" s="143"/>
      <c r="AN437" s="143" t="s">
        <v>1354</v>
      </c>
      <c r="AO437" s="143"/>
      <c r="AP437" s="143"/>
      <c r="AQ437" s="143"/>
      <c r="AR437" s="143"/>
      <c r="AS437" s="143"/>
      <c r="AT437" s="143"/>
      <c r="AU437" s="143"/>
      <c r="AV437" s="143"/>
      <c r="AW437" s="144"/>
      <c r="AX437" s="145"/>
      <c r="AY437" s="138"/>
      <c r="AZ437" s="138"/>
      <c r="BA437" s="138"/>
      <c r="BB437" s="138"/>
      <c r="BC437" s="138"/>
      <c r="BD437" s="138"/>
      <c r="BE437" s="138"/>
    </row>
    <row r="438" spans="1:57" s="139" customFormat="1" ht="30">
      <c r="A438" s="140" t="s">
        <v>6</v>
      </c>
      <c r="B438" s="129">
        <v>436</v>
      </c>
      <c r="C438" s="129" t="s">
        <v>1355</v>
      </c>
      <c r="D438" s="129" t="s">
        <v>3132</v>
      </c>
      <c r="E438" s="169" t="s">
        <v>1393</v>
      </c>
      <c r="F438" s="141" t="s">
        <v>1394</v>
      </c>
      <c r="G438" s="141" t="s">
        <v>1353</v>
      </c>
      <c r="H438" s="129" t="s">
        <v>1389</v>
      </c>
      <c r="I438" s="141" t="s">
        <v>1390</v>
      </c>
      <c r="J438" s="129" t="s">
        <v>1359</v>
      </c>
      <c r="K438" s="129" t="s">
        <v>1359</v>
      </c>
      <c r="L438" s="129" t="s">
        <v>1360</v>
      </c>
      <c r="M438" s="129" t="s">
        <v>1360</v>
      </c>
      <c r="N438" s="129">
        <v>100</v>
      </c>
      <c r="O438" s="129" t="s">
        <v>1360</v>
      </c>
      <c r="P438" s="129" t="s">
        <v>1360</v>
      </c>
      <c r="Q438" s="141">
        <v>8</v>
      </c>
      <c r="R438" s="141">
        <v>23</v>
      </c>
      <c r="S438" s="141">
        <v>16</v>
      </c>
      <c r="T438" s="141">
        <v>8</v>
      </c>
      <c r="U438" s="141" t="s">
        <v>1361</v>
      </c>
      <c r="V438" s="141" t="s">
        <v>1362</v>
      </c>
      <c r="W438" s="141" t="s">
        <v>1353</v>
      </c>
      <c r="X438" s="141" t="s">
        <v>1353</v>
      </c>
      <c r="Y438" s="141" t="s">
        <v>1367</v>
      </c>
      <c r="Z438" s="129" t="s">
        <v>194</v>
      </c>
      <c r="AA438" s="129">
        <v>1</v>
      </c>
      <c r="AB438" s="141" t="s">
        <v>1353</v>
      </c>
      <c r="AC438" s="141" t="s">
        <v>1353</v>
      </c>
      <c r="AD438" s="141" t="s">
        <v>1353</v>
      </c>
      <c r="AE438" s="141" t="s">
        <v>1353</v>
      </c>
      <c r="AF438" s="129">
        <v>-40</v>
      </c>
      <c r="AG438" s="129">
        <v>-40</v>
      </c>
      <c r="AH438" s="141">
        <v>214</v>
      </c>
      <c r="AI438" s="129" t="s">
        <v>1395</v>
      </c>
      <c r="AJ438" s="159" t="s">
        <v>2154</v>
      </c>
      <c r="AK438" s="141" t="s">
        <v>684</v>
      </c>
      <c r="AL438" s="141" t="s">
        <v>665</v>
      </c>
      <c r="AM438" s="143"/>
      <c r="AN438" s="143" t="s">
        <v>685</v>
      </c>
      <c r="AO438" s="143"/>
      <c r="AP438" s="143"/>
      <c r="AQ438" s="143"/>
      <c r="AR438" s="143"/>
      <c r="AS438" s="143"/>
      <c r="AT438" s="143"/>
      <c r="AU438" s="143"/>
      <c r="AV438" s="143"/>
      <c r="AW438" s="144"/>
      <c r="AX438" s="145"/>
      <c r="AY438" s="138"/>
      <c r="AZ438" s="138"/>
      <c r="BA438" s="138"/>
      <c r="BB438" s="138"/>
      <c r="BC438" s="138"/>
      <c r="BD438" s="138"/>
      <c r="BE438" s="138"/>
    </row>
    <row r="439" spans="1:57" s="139" customFormat="1" ht="30">
      <c r="A439" s="140" t="s">
        <v>6</v>
      </c>
      <c r="B439" s="129">
        <v>437</v>
      </c>
      <c r="C439" s="129" t="s">
        <v>1315</v>
      </c>
      <c r="D439" s="129" t="s">
        <v>3132</v>
      </c>
      <c r="E439" s="169" t="s">
        <v>1396</v>
      </c>
      <c r="F439" s="141" t="s">
        <v>1397</v>
      </c>
      <c r="G439" s="141" t="s">
        <v>684</v>
      </c>
      <c r="H439" s="129" t="s">
        <v>1398</v>
      </c>
      <c r="I439" s="141" t="s">
        <v>1399</v>
      </c>
      <c r="J439" s="129" t="s">
        <v>935</v>
      </c>
      <c r="K439" s="129" t="s">
        <v>935</v>
      </c>
      <c r="L439" s="129" t="s">
        <v>725</v>
      </c>
      <c r="M439" s="129" t="s">
        <v>725</v>
      </c>
      <c r="N439" s="129">
        <v>100</v>
      </c>
      <c r="O439" s="129" t="s">
        <v>725</v>
      </c>
      <c r="P439" s="129" t="s">
        <v>725</v>
      </c>
      <c r="Q439" s="141">
        <v>8</v>
      </c>
      <c r="R439" s="141">
        <v>31</v>
      </c>
      <c r="S439" s="141">
        <v>24</v>
      </c>
      <c r="T439" s="141">
        <v>8</v>
      </c>
      <c r="U439" s="141" t="s">
        <v>726</v>
      </c>
      <c r="V439" s="141" t="s">
        <v>727</v>
      </c>
      <c r="W439" s="141" t="s">
        <v>684</v>
      </c>
      <c r="X439" s="141" t="s">
        <v>684</v>
      </c>
      <c r="Y439" s="141" t="s">
        <v>874</v>
      </c>
      <c r="Z439" s="129" t="s">
        <v>194</v>
      </c>
      <c r="AA439" s="129">
        <v>1</v>
      </c>
      <c r="AB439" s="141" t="s">
        <v>684</v>
      </c>
      <c r="AC439" s="141" t="s">
        <v>684</v>
      </c>
      <c r="AD439" s="141" t="s">
        <v>684</v>
      </c>
      <c r="AE439" s="141" t="s">
        <v>684</v>
      </c>
      <c r="AF439" s="129">
        <v>-40</v>
      </c>
      <c r="AG439" s="129">
        <v>-40</v>
      </c>
      <c r="AH439" s="141">
        <v>214</v>
      </c>
      <c r="AI439" s="129" t="s">
        <v>1400</v>
      </c>
      <c r="AJ439" s="159" t="s">
        <v>2154</v>
      </c>
      <c r="AK439" s="141" t="s">
        <v>684</v>
      </c>
      <c r="AL439" s="141" t="s">
        <v>684</v>
      </c>
      <c r="AM439" s="143"/>
      <c r="AN439" s="143" t="s">
        <v>685</v>
      </c>
      <c r="AO439" s="143"/>
      <c r="AP439" s="143"/>
      <c r="AQ439" s="143"/>
      <c r="AR439" s="143"/>
      <c r="AS439" s="143"/>
      <c r="AT439" s="143"/>
      <c r="AU439" s="143"/>
      <c r="AV439" s="143"/>
      <c r="AW439" s="144"/>
      <c r="AX439" s="145"/>
      <c r="AY439" s="138"/>
      <c r="AZ439" s="138"/>
      <c r="BA439" s="138"/>
      <c r="BB439" s="138"/>
      <c r="BC439" s="138"/>
      <c r="BD439" s="138"/>
      <c r="BE439" s="138"/>
    </row>
    <row r="440" spans="1:57" s="139" customFormat="1" ht="114">
      <c r="A440" s="140" t="s">
        <v>6</v>
      </c>
      <c r="B440" s="129">
        <v>438</v>
      </c>
      <c r="C440" s="129" t="s">
        <v>1315</v>
      </c>
      <c r="D440" s="141" t="s">
        <v>3136</v>
      </c>
      <c r="E440" s="169" t="s">
        <v>2349</v>
      </c>
      <c r="F440" s="141" t="s">
        <v>242</v>
      </c>
      <c r="G440" s="141" t="s">
        <v>684</v>
      </c>
      <c r="H440" s="129" t="s">
        <v>1398</v>
      </c>
      <c r="I440" s="141" t="s">
        <v>1399</v>
      </c>
      <c r="J440" s="129" t="s">
        <v>935</v>
      </c>
      <c r="K440" s="129" t="s">
        <v>935</v>
      </c>
      <c r="L440" s="141" t="s">
        <v>684</v>
      </c>
      <c r="M440" s="141" t="s">
        <v>684</v>
      </c>
      <c r="N440" s="141">
        <v>100</v>
      </c>
      <c r="O440" s="141" t="s">
        <v>684</v>
      </c>
      <c r="P440" s="129" t="s">
        <v>684</v>
      </c>
      <c r="Q440" s="173">
        <v>8</v>
      </c>
      <c r="R440" s="141">
        <v>63</v>
      </c>
      <c r="S440" s="141">
        <v>60</v>
      </c>
      <c r="T440" s="141">
        <v>4</v>
      </c>
      <c r="U440" s="141" t="s">
        <v>240</v>
      </c>
      <c r="V440" s="141" t="s">
        <v>727</v>
      </c>
      <c r="W440" s="129" t="s">
        <v>684</v>
      </c>
      <c r="X440" s="141" t="s">
        <v>684</v>
      </c>
      <c r="Y440" s="141" t="s">
        <v>2350</v>
      </c>
      <c r="Z440" s="141" t="s">
        <v>684</v>
      </c>
      <c r="AA440" s="141">
        <v>1</v>
      </c>
      <c r="AB440" s="141" t="s">
        <v>684</v>
      </c>
      <c r="AC440" s="141" t="s">
        <v>684</v>
      </c>
      <c r="AD440" s="141" t="s">
        <v>684</v>
      </c>
      <c r="AE440" s="141" t="s">
        <v>684</v>
      </c>
      <c r="AF440" s="141">
        <v>0</v>
      </c>
      <c r="AG440" s="141">
        <v>0</v>
      </c>
      <c r="AH440" s="141">
        <v>8</v>
      </c>
      <c r="AI440" s="141" t="s">
        <v>875</v>
      </c>
      <c r="AJ440" s="164" t="s">
        <v>2373</v>
      </c>
      <c r="AK440" s="143" t="s">
        <v>684</v>
      </c>
      <c r="AL440" s="143" t="s">
        <v>684</v>
      </c>
      <c r="AM440" s="143" t="s">
        <v>685</v>
      </c>
      <c r="AN440" s="143" t="s">
        <v>685</v>
      </c>
      <c r="AO440" s="143" t="s">
        <v>685</v>
      </c>
      <c r="AP440" s="143" t="s">
        <v>685</v>
      </c>
      <c r="AQ440" s="143"/>
      <c r="AR440" s="143"/>
      <c r="AS440" s="143"/>
      <c r="AT440" s="143"/>
      <c r="AU440" s="143"/>
      <c r="AV440" s="143"/>
      <c r="AW440" s="144"/>
      <c r="AX440" s="145"/>
      <c r="AY440" s="138"/>
      <c r="AZ440" s="138"/>
      <c r="BA440" s="138"/>
      <c r="BB440" s="138"/>
      <c r="BC440" s="138"/>
      <c r="BD440" s="138"/>
      <c r="BE440" s="138"/>
    </row>
    <row r="441" spans="1:57" s="139" customFormat="1" ht="25">
      <c r="A441" s="140" t="s">
        <v>6</v>
      </c>
      <c r="B441" s="129">
        <v>439</v>
      </c>
      <c r="C441" s="129" t="s">
        <v>1315</v>
      </c>
      <c r="D441" s="129" t="s">
        <v>3132</v>
      </c>
      <c r="E441" s="169" t="s">
        <v>1401</v>
      </c>
      <c r="F441" s="141" t="s">
        <v>1402</v>
      </c>
      <c r="G441" s="141" t="s">
        <v>684</v>
      </c>
      <c r="H441" s="141" t="s">
        <v>1398</v>
      </c>
      <c r="I441" s="141" t="s">
        <v>1399</v>
      </c>
      <c r="J441" s="129" t="s">
        <v>935</v>
      </c>
      <c r="K441" s="129" t="s">
        <v>935</v>
      </c>
      <c r="L441" s="129" t="s">
        <v>725</v>
      </c>
      <c r="M441" s="129" t="s">
        <v>725</v>
      </c>
      <c r="N441" s="129">
        <v>100</v>
      </c>
      <c r="O441" s="129" t="s">
        <v>725</v>
      </c>
      <c r="P441" s="129" t="s">
        <v>725</v>
      </c>
      <c r="Q441" s="141">
        <v>8</v>
      </c>
      <c r="R441" s="141">
        <v>59</v>
      </c>
      <c r="S441" s="141">
        <v>56</v>
      </c>
      <c r="T441" s="141">
        <v>4</v>
      </c>
      <c r="U441" s="141" t="s">
        <v>726</v>
      </c>
      <c r="V441" s="141" t="s">
        <v>727</v>
      </c>
      <c r="W441" s="141" t="s">
        <v>684</v>
      </c>
      <c r="X441" s="141" t="s">
        <v>684</v>
      </c>
      <c r="Y441" s="129" t="s">
        <v>728</v>
      </c>
      <c r="Z441" s="129" t="s">
        <v>194</v>
      </c>
      <c r="AA441" s="141">
        <v>1</v>
      </c>
      <c r="AB441" s="141" t="s">
        <v>684</v>
      </c>
      <c r="AC441" s="141" t="s">
        <v>684</v>
      </c>
      <c r="AD441" s="141" t="s">
        <v>684</v>
      </c>
      <c r="AE441" s="141" t="s">
        <v>684</v>
      </c>
      <c r="AF441" s="141">
        <v>0</v>
      </c>
      <c r="AG441" s="141">
        <v>0</v>
      </c>
      <c r="AH441" s="141">
        <v>15</v>
      </c>
      <c r="AI441" s="129" t="s">
        <v>875</v>
      </c>
      <c r="AJ441" s="164" t="s">
        <v>2123</v>
      </c>
      <c r="AK441" s="141" t="s">
        <v>684</v>
      </c>
      <c r="AL441" s="141" t="s">
        <v>684</v>
      </c>
      <c r="AM441" s="143"/>
      <c r="AN441" s="143" t="s">
        <v>685</v>
      </c>
      <c r="AO441" s="143"/>
      <c r="AP441" s="143"/>
      <c r="AQ441" s="143"/>
      <c r="AR441" s="143"/>
      <c r="AS441" s="143"/>
      <c r="AT441" s="143"/>
      <c r="AU441" s="143"/>
      <c r="AV441" s="143"/>
      <c r="AW441" s="144"/>
      <c r="AX441" s="145"/>
      <c r="AY441" s="138"/>
      <c r="AZ441" s="138"/>
      <c r="BA441" s="138"/>
      <c r="BB441" s="138"/>
      <c r="BC441" s="138"/>
      <c r="BD441" s="138"/>
      <c r="BE441" s="138"/>
    </row>
    <row r="442" spans="1:57" s="139" customFormat="1" ht="25">
      <c r="A442" s="140" t="s">
        <v>6</v>
      </c>
      <c r="B442" s="129">
        <v>440</v>
      </c>
      <c r="C442" s="129" t="s">
        <v>1315</v>
      </c>
      <c r="D442" s="129" t="s">
        <v>3105</v>
      </c>
      <c r="E442" s="169" t="s">
        <v>1403</v>
      </c>
      <c r="F442" s="141" t="s">
        <v>1404</v>
      </c>
      <c r="G442" s="141" t="s">
        <v>684</v>
      </c>
      <c r="H442" s="129" t="s">
        <v>1405</v>
      </c>
      <c r="I442" s="141" t="s">
        <v>1406</v>
      </c>
      <c r="J442" s="129" t="s">
        <v>935</v>
      </c>
      <c r="K442" s="129" t="s">
        <v>935</v>
      </c>
      <c r="L442" s="129" t="s">
        <v>725</v>
      </c>
      <c r="M442" s="129" t="s">
        <v>725</v>
      </c>
      <c r="N442" s="129">
        <v>1000</v>
      </c>
      <c r="O442" s="129" t="s">
        <v>725</v>
      </c>
      <c r="P442" s="129" t="s">
        <v>725</v>
      </c>
      <c r="Q442" s="141">
        <v>8</v>
      </c>
      <c r="R442" s="141">
        <v>7</v>
      </c>
      <c r="S442" s="141">
        <v>0</v>
      </c>
      <c r="T442" s="141">
        <v>8</v>
      </c>
      <c r="U442" s="141" t="s">
        <v>726</v>
      </c>
      <c r="V442" s="141" t="s">
        <v>727</v>
      </c>
      <c r="W442" s="141" t="s">
        <v>684</v>
      </c>
      <c r="X442" s="141" t="s">
        <v>684</v>
      </c>
      <c r="Y442" s="141" t="s">
        <v>874</v>
      </c>
      <c r="Z442" s="129" t="s">
        <v>194</v>
      </c>
      <c r="AA442" s="129">
        <v>1</v>
      </c>
      <c r="AB442" s="141" t="s">
        <v>684</v>
      </c>
      <c r="AC442" s="141" t="s">
        <v>684</v>
      </c>
      <c r="AD442" s="141" t="s">
        <v>684</v>
      </c>
      <c r="AE442" s="141" t="s">
        <v>684</v>
      </c>
      <c r="AF442" s="129">
        <v>0</v>
      </c>
      <c r="AG442" s="129">
        <v>0</v>
      </c>
      <c r="AH442" s="141">
        <v>255</v>
      </c>
      <c r="AI442" s="129" t="s">
        <v>198</v>
      </c>
      <c r="AJ442" s="159" t="s">
        <v>2121</v>
      </c>
      <c r="AK442" s="141" t="s">
        <v>684</v>
      </c>
      <c r="AL442" s="141" t="s">
        <v>684</v>
      </c>
      <c r="AM442" s="143"/>
      <c r="AN442" s="143"/>
      <c r="AO442" s="143"/>
      <c r="AP442" s="143"/>
      <c r="AQ442" s="143"/>
      <c r="AR442" s="143"/>
      <c r="AS442" s="143"/>
      <c r="AT442" s="143"/>
      <c r="AU442" s="143"/>
      <c r="AV442" s="143"/>
      <c r="AW442" s="144"/>
      <c r="AX442" s="145" t="s">
        <v>685</v>
      </c>
      <c r="AY442" s="138"/>
      <c r="AZ442" s="138"/>
      <c r="BA442" s="138"/>
      <c r="BB442" s="138"/>
      <c r="BC442" s="138"/>
      <c r="BD442" s="138"/>
      <c r="BE442" s="138"/>
    </row>
    <row r="443" spans="1:57" s="139" customFormat="1" ht="25">
      <c r="A443" s="140" t="s">
        <v>6</v>
      </c>
      <c r="B443" s="129">
        <v>441</v>
      </c>
      <c r="C443" s="129" t="s">
        <v>1315</v>
      </c>
      <c r="D443" s="129" t="s">
        <v>3105</v>
      </c>
      <c r="E443" s="169" t="s">
        <v>1971</v>
      </c>
      <c r="F443" s="141" t="s">
        <v>1404</v>
      </c>
      <c r="G443" s="141" t="s">
        <v>684</v>
      </c>
      <c r="H443" s="129" t="s">
        <v>1405</v>
      </c>
      <c r="I443" s="141" t="s">
        <v>1406</v>
      </c>
      <c r="J443" s="129" t="s">
        <v>935</v>
      </c>
      <c r="K443" s="129" t="s">
        <v>935</v>
      </c>
      <c r="L443" s="129" t="s">
        <v>725</v>
      </c>
      <c r="M443" s="129" t="s">
        <v>725</v>
      </c>
      <c r="N443" s="129">
        <v>1000</v>
      </c>
      <c r="O443" s="129" t="s">
        <v>725</v>
      </c>
      <c r="P443" s="129" t="s">
        <v>725</v>
      </c>
      <c r="Q443" s="141">
        <v>8</v>
      </c>
      <c r="R443" s="141">
        <v>15</v>
      </c>
      <c r="S443" s="141">
        <v>8</v>
      </c>
      <c r="T443" s="141">
        <v>8</v>
      </c>
      <c r="U443" s="141" t="s">
        <v>726</v>
      </c>
      <c r="V443" s="141" t="s">
        <v>727</v>
      </c>
      <c r="W443" s="141" t="s">
        <v>684</v>
      </c>
      <c r="X443" s="141" t="s">
        <v>684</v>
      </c>
      <c r="Y443" s="141" t="s">
        <v>874</v>
      </c>
      <c r="Z443" s="129" t="s">
        <v>194</v>
      </c>
      <c r="AA443" s="129">
        <v>1</v>
      </c>
      <c r="AB443" s="141" t="s">
        <v>684</v>
      </c>
      <c r="AC443" s="141" t="s">
        <v>684</v>
      </c>
      <c r="AD443" s="141" t="s">
        <v>684</v>
      </c>
      <c r="AE443" s="141" t="s">
        <v>684</v>
      </c>
      <c r="AF443" s="129">
        <v>0</v>
      </c>
      <c r="AG443" s="129">
        <v>0</v>
      </c>
      <c r="AH443" s="141">
        <v>255</v>
      </c>
      <c r="AI443" s="129" t="s">
        <v>198</v>
      </c>
      <c r="AJ443" s="159" t="s">
        <v>2121</v>
      </c>
      <c r="AK443" s="141" t="s">
        <v>684</v>
      </c>
      <c r="AL443" s="141" t="s">
        <v>684</v>
      </c>
      <c r="AM443" s="143"/>
      <c r="AN443" s="143" t="s">
        <v>1197</v>
      </c>
      <c r="AO443" s="143"/>
      <c r="AP443" s="143"/>
      <c r="AQ443" s="143"/>
      <c r="AR443" s="143"/>
      <c r="AS443" s="143"/>
      <c r="AT443" s="143"/>
      <c r="AU443" s="143"/>
      <c r="AV443" s="143"/>
      <c r="AW443" s="144"/>
      <c r="AX443" s="145" t="s">
        <v>685</v>
      </c>
      <c r="AY443" s="138"/>
      <c r="AZ443" s="138"/>
      <c r="BA443" s="138"/>
      <c r="BB443" s="138"/>
      <c r="BC443" s="138"/>
      <c r="BD443" s="138"/>
      <c r="BE443" s="138"/>
    </row>
    <row r="444" spans="1:57" s="139" customFormat="1" ht="25">
      <c r="A444" s="140" t="s">
        <v>6</v>
      </c>
      <c r="B444" s="129">
        <v>442</v>
      </c>
      <c r="C444" s="129" t="s">
        <v>1315</v>
      </c>
      <c r="D444" s="129" t="s">
        <v>3105</v>
      </c>
      <c r="E444" s="169" t="s">
        <v>1972</v>
      </c>
      <c r="F444" s="141" t="s">
        <v>1404</v>
      </c>
      <c r="G444" s="141" t="s">
        <v>684</v>
      </c>
      <c r="H444" s="129" t="s">
        <v>1405</v>
      </c>
      <c r="I444" s="141" t="s">
        <v>1406</v>
      </c>
      <c r="J444" s="129" t="s">
        <v>935</v>
      </c>
      <c r="K444" s="129" t="s">
        <v>935</v>
      </c>
      <c r="L444" s="129" t="s">
        <v>725</v>
      </c>
      <c r="M444" s="129" t="s">
        <v>725</v>
      </c>
      <c r="N444" s="129">
        <v>1000</v>
      </c>
      <c r="O444" s="129" t="s">
        <v>725</v>
      </c>
      <c r="P444" s="129" t="s">
        <v>725</v>
      </c>
      <c r="Q444" s="141">
        <v>8</v>
      </c>
      <c r="R444" s="141">
        <v>23</v>
      </c>
      <c r="S444" s="141">
        <v>16</v>
      </c>
      <c r="T444" s="141">
        <v>8</v>
      </c>
      <c r="U444" s="141" t="s">
        <v>726</v>
      </c>
      <c r="V444" s="141" t="s">
        <v>727</v>
      </c>
      <c r="W444" s="141" t="s">
        <v>684</v>
      </c>
      <c r="X444" s="141" t="s">
        <v>684</v>
      </c>
      <c r="Y444" s="141" t="s">
        <v>874</v>
      </c>
      <c r="Z444" s="129" t="s">
        <v>194</v>
      </c>
      <c r="AA444" s="129">
        <v>1</v>
      </c>
      <c r="AB444" s="141" t="s">
        <v>684</v>
      </c>
      <c r="AC444" s="141" t="s">
        <v>684</v>
      </c>
      <c r="AD444" s="141" t="s">
        <v>684</v>
      </c>
      <c r="AE444" s="141" t="s">
        <v>684</v>
      </c>
      <c r="AF444" s="129">
        <v>0</v>
      </c>
      <c r="AG444" s="129">
        <v>0</v>
      </c>
      <c r="AH444" s="141">
        <v>255</v>
      </c>
      <c r="AI444" s="129" t="s">
        <v>198</v>
      </c>
      <c r="AJ444" s="159" t="s">
        <v>2121</v>
      </c>
      <c r="AK444" s="141" t="s">
        <v>684</v>
      </c>
      <c r="AL444" s="141" t="s">
        <v>684</v>
      </c>
      <c r="AM444" s="143"/>
      <c r="AN444" s="143" t="s">
        <v>1197</v>
      </c>
      <c r="AO444" s="143"/>
      <c r="AP444" s="143"/>
      <c r="AQ444" s="143"/>
      <c r="AR444" s="143"/>
      <c r="AS444" s="143"/>
      <c r="AT444" s="143"/>
      <c r="AU444" s="143"/>
      <c r="AV444" s="143"/>
      <c r="AW444" s="144"/>
      <c r="AX444" s="145" t="s">
        <v>2343</v>
      </c>
      <c r="AY444" s="138"/>
      <c r="AZ444" s="138"/>
      <c r="BA444" s="138"/>
      <c r="BB444" s="138"/>
      <c r="BC444" s="138"/>
      <c r="BD444" s="138"/>
      <c r="BE444" s="138"/>
    </row>
    <row r="445" spans="1:57" s="139" customFormat="1" ht="25">
      <c r="A445" s="140" t="s">
        <v>6</v>
      </c>
      <c r="B445" s="129">
        <v>443</v>
      </c>
      <c r="C445" s="129" t="s">
        <v>1315</v>
      </c>
      <c r="D445" s="129" t="s">
        <v>3105</v>
      </c>
      <c r="E445" s="169" t="s">
        <v>1973</v>
      </c>
      <c r="F445" s="141" t="s">
        <v>1404</v>
      </c>
      <c r="G445" s="141" t="s">
        <v>684</v>
      </c>
      <c r="H445" s="129" t="s">
        <v>1405</v>
      </c>
      <c r="I445" s="141" t="s">
        <v>1406</v>
      </c>
      <c r="J445" s="129" t="s">
        <v>935</v>
      </c>
      <c r="K445" s="129" t="s">
        <v>935</v>
      </c>
      <c r="L445" s="129" t="s">
        <v>725</v>
      </c>
      <c r="M445" s="129" t="s">
        <v>725</v>
      </c>
      <c r="N445" s="129">
        <v>1000</v>
      </c>
      <c r="O445" s="129" t="s">
        <v>725</v>
      </c>
      <c r="P445" s="129" t="s">
        <v>725</v>
      </c>
      <c r="Q445" s="141">
        <v>8</v>
      </c>
      <c r="R445" s="141">
        <v>31</v>
      </c>
      <c r="S445" s="141">
        <v>24</v>
      </c>
      <c r="T445" s="141">
        <v>8</v>
      </c>
      <c r="U445" s="141" t="s">
        <v>726</v>
      </c>
      <c r="V445" s="141" t="s">
        <v>727</v>
      </c>
      <c r="W445" s="141" t="s">
        <v>684</v>
      </c>
      <c r="X445" s="141" t="s">
        <v>684</v>
      </c>
      <c r="Y445" s="141" t="s">
        <v>874</v>
      </c>
      <c r="Z445" s="129" t="s">
        <v>194</v>
      </c>
      <c r="AA445" s="129">
        <v>1</v>
      </c>
      <c r="AB445" s="141" t="s">
        <v>684</v>
      </c>
      <c r="AC445" s="141" t="s">
        <v>684</v>
      </c>
      <c r="AD445" s="141" t="s">
        <v>684</v>
      </c>
      <c r="AE445" s="141" t="s">
        <v>684</v>
      </c>
      <c r="AF445" s="129">
        <v>0</v>
      </c>
      <c r="AG445" s="129">
        <v>0</v>
      </c>
      <c r="AH445" s="141">
        <v>255</v>
      </c>
      <c r="AI445" s="129" t="s">
        <v>198</v>
      </c>
      <c r="AJ445" s="159" t="s">
        <v>2121</v>
      </c>
      <c r="AK445" s="141" t="s">
        <v>684</v>
      </c>
      <c r="AL445" s="141" t="s">
        <v>684</v>
      </c>
      <c r="AM445" s="143"/>
      <c r="AN445" s="143" t="s">
        <v>1197</v>
      </c>
      <c r="AO445" s="143"/>
      <c r="AP445" s="143"/>
      <c r="AQ445" s="143"/>
      <c r="AR445" s="143"/>
      <c r="AS445" s="143"/>
      <c r="AT445" s="143"/>
      <c r="AU445" s="143"/>
      <c r="AV445" s="143"/>
      <c r="AW445" s="144"/>
      <c r="AX445" s="145" t="s">
        <v>685</v>
      </c>
      <c r="AY445" s="138"/>
      <c r="AZ445" s="138"/>
      <c r="BA445" s="138"/>
      <c r="BB445" s="138"/>
      <c r="BC445" s="138"/>
      <c r="BD445" s="138"/>
      <c r="BE445" s="138"/>
    </row>
    <row r="446" spans="1:57" s="139" customFormat="1" ht="25">
      <c r="A446" s="140" t="s">
        <v>6</v>
      </c>
      <c r="B446" s="129">
        <v>444</v>
      </c>
      <c r="C446" s="129" t="s">
        <v>1315</v>
      </c>
      <c r="D446" s="129" t="s">
        <v>3105</v>
      </c>
      <c r="E446" s="169" t="s">
        <v>1974</v>
      </c>
      <c r="F446" s="141" t="s">
        <v>1404</v>
      </c>
      <c r="G446" s="141" t="s">
        <v>684</v>
      </c>
      <c r="H446" s="129" t="s">
        <v>1405</v>
      </c>
      <c r="I446" s="141" t="s">
        <v>1406</v>
      </c>
      <c r="J446" s="129" t="s">
        <v>935</v>
      </c>
      <c r="K446" s="129" t="s">
        <v>935</v>
      </c>
      <c r="L446" s="129" t="s">
        <v>725</v>
      </c>
      <c r="M446" s="129" t="s">
        <v>725</v>
      </c>
      <c r="N446" s="129">
        <v>1000</v>
      </c>
      <c r="O446" s="129" t="s">
        <v>725</v>
      </c>
      <c r="P446" s="129" t="s">
        <v>725</v>
      </c>
      <c r="Q446" s="141">
        <v>8</v>
      </c>
      <c r="R446" s="141">
        <v>39</v>
      </c>
      <c r="S446" s="141">
        <v>32</v>
      </c>
      <c r="T446" s="141">
        <v>8</v>
      </c>
      <c r="U446" s="141" t="s">
        <v>726</v>
      </c>
      <c r="V446" s="141" t="s">
        <v>727</v>
      </c>
      <c r="W446" s="141" t="s">
        <v>684</v>
      </c>
      <c r="X446" s="141" t="s">
        <v>684</v>
      </c>
      <c r="Y446" s="141" t="s">
        <v>874</v>
      </c>
      <c r="Z446" s="129" t="s">
        <v>194</v>
      </c>
      <c r="AA446" s="129">
        <v>1</v>
      </c>
      <c r="AB446" s="141" t="s">
        <v>684</v>
      </c>
      <c r="AC446" s="141" t="s">
        <v>684</v>
      </c>
      <c r="AD446" s="141" t="s">
        <v>684</v>
      </c>
      <c r="AE446" s="141" t="s">
        <v>684</v>
      </c>
      <c r="AF446" s="129">
        <v>0</v>
      </c>
      <c r="AG446" s="129">
        <v>0</v>
      </c>
      <c r="AH446" s="141">
        <v>255</v>
      </c>
      <c r="AI446" s="129" t="s">
        <v>198</v>
      </c>
      <c r="AJ446" s="159" t="s">
        <v>2121</v>
      </c>
      <c r="AK446" s="141" t="s">
        <v>684</v>
      </c>
      <c r="AL446" s="141" t="s">
        <v>684</v>
      </c>
      <c r="AM446" s="143"/>
      <c r="AN446" s="143" t="s">
        <v>1197</v>
      </c>
      <c r="AO446" s="143"/>
      <c r="AP446" s="143"/>
      <c r="AQ446" s="143"/>
      <c r="AR446" s="143"/>
      <c r="AS446" s="143"/>
      <c r="AT446" s="143"/>
      <c r="AU446" s="143"/>
      <c r="AV446" s="143"/>
      <c r="AW446" s="144"/>
      <c r="AX446" s="145" t="s">
        <v>2347</v>
      </c>
      <c r="AY446" s="138"/>
      <c r="AZ446" s="138"/>
      <c r="BA446" s="138"/>
      <c r="BB446" s="138"/>
      <c r="BC446" s="138"/>
      <c r="BD446" s="138"/>
      <c r="BE446" s="138"/>
    </row>
    <row r="447" spans="1:57" s="139" customFormat="1" ht="25">
      <c r="A447" s="140" t="s">
        <v>6</v>
      </c>
      <c r="B447" s="129">
        <v>445</v>
      </c>
      <c r="C447" s="129" t="s">
        <v>1315</v>
      </c>
      <c r="D447" s="129" t="s">
        <v>3105</v>
      </c>
      <c r="E447" s="169" t="s">
        <v>1975</v>
      </c>
      <c r="F447" s="141" t="s">
        <v>1404</v>
      </c>
      <c r="G447" s="141" t="s">
        <v>684</v>
      </c>
      <c r="H447" s="129" t="s">
        <v>1405</v>
      </c>
      <c r="I447" s="141" t="s">
        <v>1406</v>
      </c>
      <c r="J447" s="129" t="s">
        <v>935</v>
      </c>
      <c r="K447" s="129" t="s">
        <v>935</v>
      </c>
      <c r="L447" s="129" t="s">
        <v>725</v>
      </c>
      <c r="M447" s="129" t="s">
        <v>725</v>
      </c>
      <c r="N447" s="129">
        <v>1000</v>
      </c>
      <c r="O447" s="129" t="s">
        <v>725</v>
      </c>
      <c r="P447" s="129" t="s">
        <v>725</v>
      </c>
      <c r="Q447" s="141">
        <v>8</v>
      </c>
      <c r="R447" s="141">
        <v>47</v>
      </c>
      <c r="S447" s="141">
        <v>40</v>
      </c>
      <c r="T447" s="141">
        <v>8</v>
      </c>
      <c r="U447" s="141" t="s">
        <v>726</v>
      </c>
      <c r="V447" s="141" t="s">
        <v>727</v>
      </c>
      <c r="W447" s="141" t="s">
        <v>684</v>
      </c>
      <c r="X447" s="141" t="s">
        <v>684</v>
      </c>
      <c r="Y447" s="141" t="s">
        <v>874</v>
      </c>
      <c r="Z447" s="129" t="s">
        <v>194</v>
      </c>
      <c r="AA447" s="129">
        <v>1</v>
      </c>
      <c r="AB447" s="141" t="s">
        <v>684</v>
      </c>
      <c r="AC447" s="141" t="s">
        <v>684</v>
      </c>
      <c r="AD447" s="141" t="s">
        <v>684</v>
      </c>
      <c r="AE447" s="141" t="s">
        <v>684</v>
      </c>
      <c r="AF447" s="129">
        <v>0</v>
      </c>
      <c r="AG447" s="129">
        <v>0</v>
      </c>
      <c r="AH447" s="141">
        <v>255</v>
      </c>
      <c r="AI447" s="129" t="s">
        <v>198</v>
      </c>
      <c r="AJ447" s="159" t="s">
        <v>2121</v>
      </c>
      <c r="AK447" s="141" t="s">
        <v>684</v>
      </c>
      <c r="AL447" s="141" t="s">
        <v>684</v>
      </c>
      <c r="AM447" s="143"/>
      <c r="AN447" s="143" t="s">
        <v>1407</v>
      </c>
      <c r="AO447" s="143"/>
      <c r="AP447" s="143"/>
      <c r="AQ447" s="143"/>
      <c r="AR447" s="143"/>
      <c r="AS447" s="143"/>
      <c r="AT447" s="143"/>
      <c r="AU447" s="143"/>
      <c r="AV447" s="143"/>
      <c r="AW447" s="144"/>
      <c r="AX447" s="145" t="s">
        <v>685</v>
      </c>
      <c r="AY447" s="138"/>
      <c r="AZ447" s="138"/>
      <c r="BA447" s="138"/>
      <c r="BB447" s="138"/>
      <c r="BC447" s="138"/>
      <c r="BD447" s="138"/>
      <c r="BE447" s="138"/>
    </row>
    <row r="448" spans="1:57" s="139" customFormat="1" ht="25">
      <c r="A448" s="140" t="s">
        <v>6</v>
      </c>
      <c r="B448" s="129">
        <v>446</v>
      </c>
      <c r="C448" s="129" t="s">
        <v>1315</v>
      </c>
      <c r="D448" s="129" t="s">
        <v>3105</v>
      </c>
      <c r="E448" s="169" t="s">
        <v>1976</v>
      </c>
      <c r="F448" s="141" t="s">
        <v>1404</v>
      </c>
      <c r="G448" s="141" t="s">
        <v>684</v>
      </c>
      <c r="H448" s="129" t="s">
        <v>1405</v>
      </c>
      <c r="I448" s="141" t="s">
        <v>1406</v>
      </c>
      <c r="J448" s="129" t="s">
        <v>935</v>
      </c>
      <c r="K448" s="129" t="s">
        <v>935</v>
      </c>
      <c r="L448" s="129" t="s">
        <v>725</v>
      </c>
      <c r="M448" s="129" t="s">
        <v>725</v>
      </c>
      <c r="N448" s="129">
        <v>1000</v>
      </c>
      <c r="O448" s="129" t="s">
        <v>725</v>
      </c>
      <c r="P448" s="129" t="s">
        <v>725</v>
      </c>
      <c r="Q448" s="141">
        <v>8</v>
      </c>
      <c r="R448" s="141">
        <v>55</v>
      </c>
      <c r="S448" s="141">
        <v>48</v>
      </c>
      <c r="T448" s="141">
        <v>8</v>
      </c>
      <c r="U448" s="141" t="s">
        <v>726</v>
      </c>
      <c r="V448" s="141" t="s">
        <v>727</v>
      </c>
      <c r="W448" s="141" t="s">
        <v>684</v>
      </c>
      <c r="X448" s="141" t="s">
        <v>684</v>
      </c>
      <c r="Y448" s="141" t="s">
        <v>874</v>
      </c>
      <c r="Z448" s="129" t="s">
        <v>194</v>
      </c>
      <c r="AA448" s="129">
        <v>1</v>
      </c>
      <c r="AB448" s="141" t="s">
        <v>684</v>
      </c>
      <c r="AC448" s="141" t="s">
        <v>684</v>
      </c>
      <c r="AD448" s="141" t="s">
        <v>684</v>
      </c>
      <c r="AE448" s="141" t="s">
        <v>684</v>
      </c>
      <c r="AF448" s="129">
        <v>0</v>
      </c>
      <c r="AG448" s="129">
        <v>0</v>
      </c>
      <c r="AH448" s="141">
        <v>255</v>
      </c>
      <c r="AI448" s="129" t="s">
        <v>198</v>
      </c>
      <c r="AJ448" s="159" t="s">
        <v>2121</v>
      </c>
      <c r="AK448" s="141" t="s">
        <v>684</v>
      </c>
      <c r="AL448" s="141" t="s">
        <v>684</v>
      </c>
      <c r="AM448" s="143"/>
      <c r="AN448" s="143" t="s">
        <v>1197</v>
      </c>
      <c r="AO448" s="143"/>
      <c r="AP448" s="143"/>
      <c r="AQ448" s="143"/>
      <c r="AR448" s="143"/>
      <c r="AS448" s="143"/>
      <c r="AT448" s="143"/>
      <c r="AU448" s="143"/>
      <c r="AV448" s="143"/>
      <c r="AW448" s="144"/>
      <c r="AX448" s="145" t="s">
        <v>2344</v>
      </c>
      <c r="AY448" s="138"/>
      <c r="AZ448" s="138"/>
      <c r="BA448" s="138"/>
      <c r="BB448" s="138"/>
      <c r="BC448" s="138"/>
      <c r="BD448" s="138"/>
      <c r="BE448" s="138"/>
    </row>
    <row r="449" spans="1:57" s="139" customFormat="1" ht="44">
      <c r="A449" s="140" t="s">
        <v>6</v>
      </c>
      <c r="B449" s="129">
        <v>447</v>
      </c>
      <c r="C449" s="129" t="s">
        <v>1315</v>
      </c>
      <c r="D449" s="129" t="s">
        <v>3137</v>
      </c>
      <c r="E449" s="169" t="s">
        <v>1408</v>
      </c>
      <c r="F449" s="141" t="s">
        <v>968</v>
      </c>
      <c r="G449" s="141" t="s">
        <v>684</v>
      </c>
      <c r="H449" s="129" t="s">
        <v>1409</v>
      </c>
      <c r="I449" s="141" t="s">
        <v>1410</v>
      </c>
      <c r="J449" s="129" t="s">
        <v>935</v>
      </c>
      <c r="K449" s="129" t="s">
        <v>935</v>
      </c>
      <c r="L449" s="129" t="s">
        <v>725</v>
      </c>
      <c r="M449" s="129" t="s">
        <v>725</v>
      </c>
      <c r="N449" s="129">
        <v>10</v>
      </c>
      <c r="O449" s="129" t="s">
        <v>725</v>
      </c>
      <c r="P449" s="129" t="s">
        <v>725</v>
      </c>
      <c r="Q449" s="141">
        <v>8</v>
      </c>
      <c r="R449" s="141">
        <v>7</v>
      </c>
      <c r="S449" s="141">
        <v>0</v>
      </c>
      <c r="T449" s="141">
        <v>8</v>
      </c>
      <c r="U449" s="141" t="s">
        <v>726</v>
      </c>
      <c r="V449" s="141" t="s">
        <v>727</v>
      </c>
      <c r="W449" s="141" t="s">
        <v>684</v>
      </c>
      <c r="X449" s="141" t="s">
        <v>684</v>
      </c>
      <c r="Y449" s="141" t="s">
        <v>874</v>
      </c>
      <c r="Z449" s="129" t="s">
        <v>194</v>
      </c>
      <c r="AA449" s="141">
        <v>1</v>
      </c>
      <c r="AB449" s="141" t="s">
        <v>684</v>
      </c>
      <c r="AC449" s="141" t="s">
        <v>684</v>
      </c>
      <c r="AD449" s="141" t="s">
        <v>684</v>
      </c>
      <c r="AE449" s="141" t="s">
        <v>684</v>
      </c>
      <c r="AF449" s="141">
        <v>0</v>
      </c>
      <c r="AG449" s="141">
        <v>0</v>
      </c>
      <c r="AH449" s="141">
        <v>255</v>
      </c>
      <c r="AI449" s="129" t="s">
        <v>875</v>
      </c>
      <c r="AJ449" s="159" t="s">
        <v>2121</v>
      </c>
      <c r="AK449" s="141" t="s">
        <v>684</v>
      </c>
      <c r="AL449" s="141" t="s">
        <v>684</v>
      </c>
      <c r="AM449" s="143"/>
      <c r="AN449" s="160" t="s">
        <v>2397</v>
      </c>
      <c r="AO449" s="143"/>
      <c r="AP449" s="143"/>
      <c r="AQ449" s="143"/>
      <c r="AR449" s="143" t="s">
        <v>685</v>
      </c>
      <c r="AS449" s="143"/>
      <c r="AT449" s="143"/>
      <c r="AU449" s="143"/>
      <c r="AV449" s="143"/>
      <c r="AW449" s="144"/>
      <c r="AX449" s="145"/>
      <c r="AY449" s="138"/>
      <c r="AZ449" s="138"/>
      <c r="BA449" s="138"/>
      <c r="BB449" s="138"/>
      <c r="BC449" s="138"/>
      <c r="BD449" s="138"/>
      <c r="BE449" s="138"/>
    </row>
    <row r="450" spans="1:57" s="139" customFormat="1" ht="44">
      <c r="A450" s="140" t="s">
        <v>6</v>
      </c>
      <c r="B450" s="129">
        <v>448</v>
      </c>
      <c r="C450" s="129" t="s">
        <v>1315</v>
      </c>
      <c r="D450" s="172" t="s">
        <v>3109</v>
      </c>
      <c r="E450" s="169" t="s">
        <v>1411</v>
      </c>
      <c r="F450" s="141" t="s">
        <v>1412</v>
      </c>
      <c r="G450" s="141" t="s">
        <v>684</v>
      </c>
      <c r="H450" s="129" t="s">
        <v>1409</v>
      </c>
      <c r="I450" s="141" t="s">
        <v>1410</v>
      </c>
      <c r="J450" s="129" t="s">
        <v>935</v>
      </c>
      <c r="K450" s="129" t="s">
        <v>935</v>
      </c>
      <c r="L450" s="129" t="s">
        <v>725</v>
      </c>
      <c r="M450" s="129" t="s">
        <v>725</v>
      </c>
      <c r="N450" s="129">
        <v>10</v>
      </c>
      <c r="O450" s="129" t="s">
        <v>725</v>
      </c>
      <c r="P450" s="129" t="s">
        <v>725</v>
      </c>
      <c r="Q450" s="141">
        <v>8</v>
      </c>
      <c r="R450" s="141">
        <v>15</v>
      </c>
      <c r="S450" s="141">
        <v>22</v>
      </c>
      <c r="T450" s="141">
        <v>10</v>
      </c>
      <c r="U450" s="141" t="s">
        <v>726</v>
      </c>
      <c r="V450" s="141" t="s">
        <v>727</v>
      </c>
      <c r="W450" s="141" t="s">
        <v>684</v>
      </c>
      <c r="X450" s="141" t="s">
        <v>684</v>
      </c>
      <c r="Y450" s="141" t="s">
        <v>778</v>
      </c>
      <c r="Z450" s="129" t="s">
        <v>194</v>
      </c>
      <c r="AA450" s="129">
        <v>0.5</v>
      </c>
      <c r="AB450" s="141" t="s">
        <v>684</v>
      </c>
      <c r="AC450" s="141" t="s">
        <v>684</v>
      </c>
      <c r="AD450" s="141" t="s">
        <v>684</v>
      </c>
      <c r="AE450" s="141" t="s">
        <v>684</v>
      </c>
      <c r="AF450" s="129">
        <v>0</v>
      </c>
      <c r="AG450" s="129">
        <v>0</v>
      </c>
      <c r="AH450" s="141">
        <v>300</v>
      </c>
      <c r="AI450" s="129" t="s">
        <v>1413</v>
      </c>
      <c r="AJ450" s="159" t="s">
        <v>2162</v>
      </c>
      <c r="AK450" s="141" t="s">
        <v>684</v>
      </c>
      <c r="AL450" s="141" t="s">
        <v>684</v>
      </c>
      <c r="AM450" s="143"/>
      <c r="AN450" s="143"/>
      <c r="AO450" s="143"/>
      <c r="AP450" s="143"/>
      <c r="AQ450" s="143"/>
      <c r="AR450" s="143" t="s">
        <v>685</v>
      </c>
      <c r="AS450" s="143"/>
      <c r="AT450" s="143"/>
      <c r="AU450" s="143"/>
      <c r="AV450" s="143"/>
      <c r="AW450" s="144"/>
      <c r="AX450" s="145"/>
      <c r="AY450" s="138"/>
      <c r="AZ450" s="138"/>
      <c r="BA450" s="138"/>
      <c r="BB450" s="138"/>
      <c r="BC450" s="138"/>
      <c r="BD450" s="138"/>
      <c r="BE450" s="138"/>
    </row>
    <row r="451" spans="1:57" s="139" customFormat="1" ht="44">
      <c r="A451" s="140" t="s">
        <v>6</v>
      </c>
      <c r="B451" s="129">
        <v>449</v>
      </c>
      <c r="C451" s="129" t="s">
        <v>1315</v>
      </c>
      <c r="D451" s="129" t="s">
        <v>3109</v>
      </c>
      <c r="E451" s="169" t="s">
        <v>1414</v>
      </c>
      <c r="F451" s="141" t="s">
        <v>1415</v>
      </c>
      <c r="G451" s="141" t="s">
        <v>684</v>
      </c>
      <c r="H451" s="129" t="s">
        <v>1409</v>
      </c>
      <c r="I451" s="141" t="s">
        <v>1410</v>
      </c>
      <c r="J451" s="129" t="s">
        <v>935</v>
      </c>
      <c r="K451" s="129" t="s">
        <v>935</v>
      </c>
      <c r="L451" s="129" t="s">
        <v>725</v>
      </c>
      <c r="M451" s="129" t="s">
        <v>725</v>
      </c>
      <c r="N451" s="129">
        <v>10</v>
      </c>
      <c r="O451" s="129" t="s">
        <v>725</v>
      </c>
      <c r="P451" s="129" t="s">
        <v>725</v>
      </c>
      <c r="Q451" s="141">
        <v>8</v>
      </c>
      <c r="R451" s="141">
        <v>31</v>
      </c>
      <c r="S451" s="141">
        <v>34</v>
      </c>
      <c r="T451" s="141">
        <v>14</v>
      </c>
      <c r="U451" s="141" t="s">
        <v>726</v>
      </c>
      <c r="V451" s="141" t="s">
        <v>727</v>
      </c>
      <c r="W451" s="141" t="s">
        <v>684</v>
      </c>
      <c r="X451" s="141" t="s">
        <v>684</v>
      </c>
      <c r="Y451" s="141" t="s">
        <v>941</v>
      </c>
      <c r="Z451" s="129" t="s">
        <v>194</v>
      </c>
      <c r="AA451" s="129">
        <v>1</v>
      </c>
      <c r="AB451" s="141" t="s">
        <v>684</v>
      </c>
      <c r="AC451" s="141" t="s">
        <v>684</v>
      </c>
      <c r="AD451" s="141" t="s">
        <v>684</v>
      </c>
      <c r="AE451" s="141" t="s">
        <v>684</v>
      </c>
      <c r="AF451" s="129">
        <v>0</v>
      </c>
      <c r="AG451" s="129">
        <v>0</v>
      </c>
      <c r="AH451" s="141">
        <v>14000</v>
      </c>
      <c r="AI451" s="129" t="s">
        <v>1416</v>
      </c>
      <c r="AJ451" s="159" t="s">
        <v>2163</v>
      </c>
      <c r="AK451" s="141" t="s">
        <v>684</v>
      </c>
      <c r="AL451" s="141" t="s">
        <v>684</v>
      </c>
      <c r="AM451" s="143"/>
      <c r="AN451" s="143"/>
      <c r="AO451" s="143"/>
      <c r="AP451" s="143"/>
      <c r="AQ451" s="143"/>
      <c r="AR451" s="143" t="s">
        <v>685</v>
      </c>
      <c r="AS451" s="143"/>
      <c r="AT451" s="143"/>
      <c r="AU451" s="143"/>
      <c r="AV451" s="143"/>
      <c r="AW451" s="144"/>
      <c r="AX451" s="145"/>
      <c r="AY451" s="138"/>
      <c r="AZ451" s="138"/>
      <c r="BA451" s="138"/>
      <c r="BB451" s="138"/>
      <c r="BC451" s="138"/>
      <c r="BD451" s="138"/>
      <c r="BE451" s="138"/>
    </row>
    <row r="452" spans="1:57" s="139" customFormat="1" ht="44">
      <c r="A452" s="140" t="s">
        <v>6</v>
      </c>
      <c r="B452" s="129">
        <v>450</v>
      </c>
      <c r="C452" s="129" t="s">
        <v>293</v>
      </c>
      <c r="D452" s="129" t="s">
        <v>3115</v>
      </c>
      <c r="E452" s="169" t="s">
        <v>2066</v>
      </c>
      <c r="F452" s="212" t="s">
        <v>2064</v>
      </c>
      <c r="G452" s="169" t="s">
        <v>1952</v>
      </c>
      <c r="H452" s="129" t="s">
        <v>1409</v>
      </c>
      <c r="I452" s="141" t="s">
        <v>1410</v>
      </c>
      <c r="J452" s="129" t="s">
        <v>815</v>
      </c>
      <c r="K452" s="129" t="s">
        <v>815</v>
      </c>
      <c r="L452" s="172" t="s">
        <v>665</v>
      </c>
      <c r="M452" s="172" t="s">
        <v>665</v>
      </c>
      <c r="N452" s="129">
        <v>10</v>
      </c>
      <c r="O452" s="172" t="s">
        <v>665</v>
      </c>
      <c r="P452" s="172" t="s">
        <v>665</v>
      </c>
      <c r="Q452" s="141">
        <v>8</v>
      </c>
      <c r="R452" s="141">
        <v>32</v>
      </c>
      <c r="S452" s="141">
        <v>40</v>
      </c>
      <c r="T452" s="141">
        <v>9</v>
      </c>
      <c r="U452" s="141" t="s">
        <v>670</v>
      </c>
      <c r="V452" s="141" t="s">
        <v>671</v>
      </c>
      <c r="W452" s="172" t="s">
        <v>665</v>
      </c>
      <c r="X452" s="172" t="s">
        <v>665</v>
      </c>
      <c r="Y452" s="129" t="s">
        <v>2062</v>
      </c>
      <c r="Z452" s="129" t="s">
        <v>194</v>
      </c>
      <c r="AA452" s="141">
        <v>1</v>
      </c>
      <c r="AB452" s="172" t="s">
        <v>665</v>
      </c>
      <c r="AC452" s="172" t="s">
        <v>665</v>
      </c>
      <c r="AD452" s="172" t="s">
        <v>665</v>
      </c>
      <c r="AE452" s="172" t="s">
        <v>665</v>
      </c>
      <c r="AF452" s="141">
        <v>-300</v>
      </c>
      <c r="AG452" s="141">
        <v>-300</v>
      </c>
      <c r="AH452" s="141">
        <v>0</v>
      </c>
      <c r="AI452" s="141" t="s">
        <v>196</v>
      </c>
      <c r="AJ452" s="159" t="s">
        <v>2157</v>
      </c>
      <c r="AK452" s="141" t="s">
        <v>665</v>
      </c>
      <c r="AL452" s="141" t="s">
        <v>665</v>
      </c>
      <c r="AM452" s="143"/>
      <c r="AN452" s="160" t="s">
        <v>2053</v>
      </c>
      <c r="AO452" s="143"/>
      <c r="AP452" s="143"/>
      <c r="AQ452" s="143"/>
      <c r="AR452" s="160"/>
      <c r="AS452" s="143"/>
      <c r="AT452" s="143"/>
      <c r="AU452" s="143"/>
      <c r="AV452" s="143"/>
      <c r="AW452" s="144"/>
      <c r="AX452" s="145"/>
      <c r="AY452" s="138"/>
      <c r="AZ452" s="138"/>
      <c r="BA452" s="138"/>
      <c r="BB452" s="138"/>
      <c r="BC452" s="138"/>
      <c r="BD452" s="138"/>
      <c r="BE452" s="138"/>
    </row>
    <row r="453" spans="1:57" s="139" customFormat="1" ht="30">
      <c r="A453" s="140" t="s">
        <v>6</v>
      </c>
      <c r="B453" s="129">
        <v>451</v>
      </c>
      <c r="C453" s="129" t="s">
        <v>293</v>
      </c>
      <c r="D453" s="129" t="s">
        <v>3115</v>
      </c>
      <c r="E453" s="169" t="s">
        <v>2067</v>
      </c>
      <c r="F453" s="212" t="s">
        <v>2065</v>
      </c>
      <c r="G453" s="169" t="s">
        <v>1952</v>
      </c>
      <c r="H453" s="129" t="s">
        <v>1409</v>
      </c>
      <c r="I453" s="141" t="s">
        <v>1410</v>
      </c>
      <c r="J453" s="129" t="s">
        <v>815</v>
      </c>
      <c r="K453" s="129" t="s">
        <v>815</v>
      </c>
      <c r="L453" s="172" t="s">
        <v>665</v>
      </c>
      <c r="M453" s="172" t="s">
        <v>665</v>
      </c>
      <c r="N453" s="129">
        <v>10</v>
      </c>
      <c r="O453" s="172" t="s">
        <v>665</v>
      </c>
      <c r="P453" s="172" t="s">
        <v>665</v>
      </c>
      <c r="Q453" s="141">
        <v>8</v>
      </c>
      <c r="R453" s="141">
        <v>55</v>
      </c>
      <c r="S453" s="141">
        <v>63</v>
      </c>
      <c r="T453" s="141">
        <v>9</v>
      </c>
      <c r="U453" s="141" t="s">
        <v>670</v>
      </c>
      <c r="V453" s="141" t="s">
        <v>671</v>
      </c>
      <c r="W453" s="172" t="s">
        <v>665</v>
      </c>
      <c r="X453" s="172" t="s">
        <v>665</v>
      </c>
      <c r="Y453" s="129" t="s">
        <v>2062</v>
      </c>
      <c r="Z453" s="129" t="s">
        <v>194</v>
      </c>
      <c r="AA453" s="141">
        <v>1</v>
      </c>
      <c r="AB453" s="172" t="s">
        <v>665</v>
      </c>
      <c r="AC453" s="172" t="s">
        <v>665</v>
      </c>
      <c r="AD453" s="172" t="s">
        <v>665</v>
      </c>
      <c r="AE453" s="172" t="s">
        <v>665</v>
      </c>
      <c r="AF453" s="141">
        <v>0</v>
      </c>
      <c r="AG453" s="141">
        <v>0</v>
      </c>
      <c r="AH453" s="141">
        <v>300</v>
      </c>
      <c r="AI453" s="141" t="s">
        <v>196</v>
      </c>
      <c r="AJ453" s="142" t="s">
        <v>2161</v>
      </c>
      <c r="AK453" s="141" t="s">
        <v>665</v>
      </c>
      <c r="AL453" s="141" t="s">
        <v>665</v>
      </c>
      <c r="AM453" s="143"/>
      <c r="AN453" s="160" t="s">
        <v>2053</v>
      </c>
      <c r="AO453" s="143"/>
      <c r="AP453" s="143"/>
      <c r="AQ453" s="143"/>
      <c r="AR453" s="160"/>
      <c r="AS453" s="143"/>
      <c r="AT453" s="143"/>
      <c r="AU453" s="143"/>
      <c r="AV453" s="143"/>
      <c r="AW453" s="144"/>
      <c r="AX453" s="145"/>
      <c r="AY453" s="138"/>
      <c r="AZ453" s="138"/>
      <c r="BA453" s="138"/>
      <c r="BB453" s="138"/>
      <c r="BC453" s="138"/>
      <c r="BD453" s="138"/>
      <c r="BE453" s="138"/>
    </row>
    <row r="454" spans="1:57" s="139" customFormat="1" ht="25">
      <c r="A454" s="140" t="s">
        <v>6</v>
      </c>
      <c r="B454" s="129">
        <v>452</v>
      </c>
      <c r="C454" s="129" t="s">
        <v>1315</v>
      </c>
      <c r="D454" s="129" t="s">
        <v>3137</v>
      </c>
      <c r="E454" s="169" t="s">
        <v>1417</v>
      </c>
      <c r="F454" s="141" t="s">
        <v>1418</v>
      </c>
      <c r="G454" s="141" t="s">
        <v>684</v>
      </c>
      <c r="H454" s="129" t="s">
        <v>1409</v>
      </c>
      <c r="I454" s="141" t="s">
        <v>1410</v>
      </c>
      <c r="J454" s="129" t="s">
        <v>935</v>
      </c>
      <c r="K454" s="129" t="s">
        <v>935</v>
      </c>
      <c r="L454" s="129" t="s">
        <v>725</v>
      </c>
      <c r="M454" s="129" t="s">
        <v>725</v>
      </c>
      <c r="N454" s="129">
        <v>10</v>
      </c>
      <c r="O454" s="129" t="s">
        <v>725</v>
      </c>
      <c r="P454" s="129" t="s">
        <v>725</v>
      </c>
      <c r="Q454" s="141">
        <v>8</v>
      </c>
      <c r="R454" s="141">
        <v>59</v>
      </c>
      <c r="S454" s="141">
        <v>56</v>
      </c>
      <c r="T454" s="141">
        <v>4</v>
      </c>
      <c r="U454" s="141" t="s">
        <v>726</v>
      </c>
      <c r="V454" s="141" t="s">
        <v>727</v>
      </c>
      <c r="W454" s="141" t="s">
        <v>684</v>
      </c>
      <c r="X454" s="141" t="s">
        <v>684</v>
      </c>
      <c r="Y454" s="129" t="s">
        <v>728</v>
      </c>
      <c r="Z454" s="129" t="s">
        <v>194</v>
      </c>
      <c r="AA454" s="141">
        <v>1</v>
      </c>
      <c r="AB454" s="141" t="s">
        <v>684</v>
      </c>
      <c r="AC454" s="141" t="s">
        <v>684</v>
      </c>
      <c r="AD454" s="141" t="s">
        <v>684</v>
      </c>
      <c r="AE454" s="141" t="s">
        <v>684</v>
      </c>
      <c r="AF454" s="141">
        <v>0</v>
      </c>
      <c r="AG454" s="141">
        <v>0</v>
      </c>
      <c r="AH454" s="141">
        <v>15</v>
      </c>
      <c r="AI454" s="129" t="s">
        <v>875</v>
      </c>
      <c r="AJ454" s="164" t="s">
        <v>2123</v>
      </c>
      <c r="AK454" s="141" t="s">
        <v>684</v>
      </c>
      <c r="AL454" s="141" t="s">
        <v>684</v>
      </c>
      <c r="AM454" s="143"/>
      <c r="AN454" s="160" t="s">
        <v>2397</v>
      </c>
      <c r="AO454" s="143"/>
      <c r="AP454" s="143"/>
      <c r="AQ454" s="143"/>
      <c r="AR454" s="143" t="s">
        <v>685</v>
      </c>
      <c r="AS454" s="143"/>
      <c r="AT454" s="143"/>
      <c r="AU454" s="143"/>
      <c r="AV454" s="143"/>
      <c r="AW454" s="144"/>
      <c r="AX454" s="145"/>
      <c r="AY454" s="138"/>
      <c r="AZ454" s="138"/>
      <c r="BA454" s="138"/>
      <c r="BB454" s="138"/>
      <c r="BC454" s="138"/>
      <c r="BD454" s="138"/>
      <c r="BE454" s="138"/>
    </row>
    <row r="455" spans="1:57" s="139" customFormat="1" ht="44">
      <c r="A455" s="140" t="s">
        <v>6</v>
      </c>
      <c r="B455" s="129">
        <v>453</v>
      </c>
      <c r="C455" s="129" t="s">
        <v>2006</v>
      </c>
      <c r="D455" s="129" t="s">
        <v>3095</v>
      </c>
      <c r="E455" s="212" t="s">
        <v>2008</v>
      </c>
      <c r="F455" s="164" t="s">
        <v>2009</v>
      </c>
      <c r="G455" s="141" t="s">
        <v>665</v>
      </c>
      <c r="H455" s="172" t="s">
        <v>2010</v>
      </c>
      <c r="I455" s="169" t="s">
        <v>2011</v>
      </c>
      <c r="J455" s="129" t="s">
        <v>2012</v>
      </c>
      <c r="K455" s="129" t="s">
        <v>2012</v>
      </c>
      <c r="L455" s="129" t="s">
        <v>2013</v>
      </c>
      <c r="M455" s="129" t="s">
        <v>2013</v>
      </c>
      <c r="N455" s="129">
        <v>100</v>
      </c>
      <c r="O455" s="129" t="s">
        <v>2013</v>
      </c>
      <c r="P455" s="129" t="s">
        <v>2013</v>
      </c>
      <c r="Q455" s="141">
        <v>8</v>
      </c>
      <c r="R455" s="141">
        <v>7</v>
      </c>
      <c r="S455" s="141">
        <v>0</v>
      </c>
      <c r="T455" s="141">
        <v>8</v>
      </c>
      <c r="U455" s="141" t="s">
        <v>2014</v>
      </c>
      <c r="V455" s="141" t="s">
        <v>2015</v>
      </c>
      <c r="W455" s="141" t="s">
        <v>2007</v>
      </c>
      <c r="X455" s="141" t="s">
        <v>2007</v>
      </c>
      <c r="Y455" s="129" t="s">
        <v>2016</v>
      </c>
      <c r="Z455" s="129" t="s">
        <v>2017</v>
      </c>
      <c r="AA455" s="141">
        <v>1</v>
      </c>
      <c r="AB455" s="141" t="s">
        <v>2007</v>
      </c>
      <c r="AC455" s="141" t="s">
        <v>2007</v>
      </c>
      <c r="AD455" s="141" t="s">
        <v>2007</v>
      </c>
      <c r="AE455" s="141" t="s">
        <v>2007</v>
      </c>
      <c r="AF455" s="141">
        <v>0</v>
      </c>
      <c r="AG455" s="141">
        <v>0</v>
      </c>
      <c r="AH455" s="141">
        <v>255</v>
      </c>
      <c r="AI455" s="129"/>
      <c r="AJ455" s="164" t="s">
        <v>2164</v>
      </c>
      <c r="AK455" s="141" t="s">
        <v>665</v>
      </c>
      <c r="AL455" s="169" t="s">
        <v>2054</v>
      </c>
      <c r="AM455" s="160" t="s">
        <v>2053</v>
      </c>
      <c r="AN455" s="143"/>
      <c r="AO455" s="143"/>
      <c r="AP455" s="143"/>
      <c r="AQ455" s="143"/>
      <c r="AR455" s="143"/>
      <c r="AS455" s="143"/>
      <c r="AT455" s="143"/>
      <c r="AU455" s="143"/>
      <c r="AV455" s="143"/>
      <c r="AW455" s="144"/>
      <c r="AX455" s="145"/>
      <c r="AY455" s="138"/>
      <c r="AZ455" s="138"/>
      <c r="BA455" s="138"/>
      <c r="BB455" s="138"/>
      <c r="BC455" s="138"/>
      <c r="BD455" s="138"/>
      <c r="BE455" s="138"/>
    </row>
    <row r="456" spans="1:57" s="139" customFormat="1" ht="28">
      <c r="A456" s="140" t="s">
        <v>6</v>
      </c>
      <c r="B456" s="129">
        <v>454</v>
      </c>
      <c r="C456" s="129" t="s">
        <v>2006</v>
      </c>
      <c r="D456" s="129" t="s">
        <v>3095</v>
      </c>
      <c r="E456" s="257" t="s">
        <v>2055</v>
      </c>
      <c r="F456" s="258" t="s">
        <v>2018</v>
      </c>
      <c r="G456" s="141" t="s">
        <v>665</v>
      </c>
      <c r="H456" s="172" t="s">
        <v>2010</v>
      </c>
      <c r="I456" s="169" t="s">
        <v>2011</v>
      </c>
      <c r="J456" s="129" t="s">
        <v>2012</v>
      </c>
      <c r="K456" s="129" t="s">
        <v>2012</v>
      </c>
      <c r="L456" s="129" t="s">
        <v>2013</v>
      </c>
      <c r="M456" s="129" t="s">
        <v>2013</v>
      </c>
      <c r="N456" s="129">
        <v>100</v>
      </c>
      <c r="O456" s="129" t="s">
        <v>2013</v>
      </c>
      <c r="P456" s="129" t="s">
        <v>2013</v>
      </c>
      <c r="Q456" s="141">
        <v>8</v>
      </c>
      <c r="R456" s="141">
        <v>15</v>
      </c>
      <c r="S456" s="141">
        <v>14</v>
      </c>
      <c r="T456" s="141">
        <v>2</v>
      </c>
      <c r="U456" s="141" t="s">
        <v>2014</v>
      </c>
      <c r="V456" s="141" t="s">
        <v>2015</v>
      </c>
      <c r="W456" s="141" t="s">
        <v>2007</v>
      </c>
      <c r="X456" s="141" t="s">
        <v>2007</v>
      </c>
      <c r="Y456" s="129" t="s">
        <v>2016</v>
      </c>
      <c r="Z456" s="129" t="s">
        <v>194</v>
      </c>
      <c r="AA456" s="141">
        <v>1</v>
      </c>
      <c r="AB456" s="141" t="s">
        <v>2007</v>
      </c>
      <c r="AC456" s="141" t="s">
        <v>2007</v>
      </c>
      <c r="AD456" s="141" t="s">
        <v>2007</v>
      </c>
      <c r="AE456" s="141" t="s">
        <v>2007</v>
      </c>
      <c r="AF456" s="141">
        <v>1</v>
      </c>
      <c r="AG456" s="141">
        <v>1</v>
      </c>
      <c r="AH456" s="141">
        <v>4</v>
      </c>
      <c r="AI456" s="129" t="s">
        <v>2007</v>
      </c>
      <c r="AJ456" s="164" t="s">
        <v>2019</v>
      </c>
      <c r="AK456" s="141" t="s">
        <v>665</v>
      </c>
      <c r="AL456" s="169" t="s">
        <v>2054</v>
      </c>
      <c r="AM456" s="160" t="s">
        <v>2053</v>
      </c>
      <c r="AN456" s="143"/>
      <c r="AO456" s="143"/>
      <c r="AP456" s="143"/>
      <c r="AQ456" s="143"/>
      <c r="AR456" s="143"/>
      <c r="AS456" s="143"/>
      <c r="AT456" s="143"/>
      <c r="AU456" s="143"/>
      <c r="AV456" s="143"/>
      <c r="AW456" s="144"/>
      <c r="AX456" s="145"/>
      <c r="AY456" s="138"/>
      <c r="AZ456" s="138"/>
      <c r="BA456" s="138"/>
      <c r="BB456" s="138"/>
      <c r="BC456" s="138"/>
      <c r="BD456" s="138"/>
      <c r="BE456" s="138"/>
    </row>
    <row r="457" spans="1:57" s="139" customFormat="1" ht="72">
      <c r="A457" s="140" t="s">
        <v>6</v>
      </c>
      <c r="B457" s="129">
        <v>455</v>
      </c>
      <c r="C457" s="129" t="s">
        <v>2006</v>
      </c>
      <c r="D457" s="129" t="s">
        <v>3095</v>
      </c>
      <c r="E457" s="257" t="s">
        <v>2020</v>
      </c>
      <c r="F457" s="258" t="s">
        <v>2021</v>
      </c>
      <c r="G457" s="141" t="s">
        <v>665</v>
      </c>
      <c r="H457" s="172" t="s">
        <v>2022</v>
      </c>
      <c r="I457" s="169" t="s">
        <v>2011</v>
      </c>
      <c r="J457" s="129" t="s">
        <v>2012</v>
      </c>
      <c r="K457" s="129" t="s">
        <v>2012</v>
      </c>
      <c r="L457" s="129" t="s">
        <v>2013</v>
      </c>
      <c r="M457" s="129" t="s">
        <v>2013</v>
      </c>
      <c r="N457" s="129">
        <v>100</v>
      </c>
      <c r="O457" s="129" t="s">
        <v>2013</v>
      </c>
      <c r="P457" s="129" t="s">
        <v>2013</v>
      </c>
      <c r="Q457" s="141">
        <v>8</v>
      </c>
      <c r="R457" s="141">
        <v>13</v>
      </c>
      <c r="S457" s="141">
        <v>11</v>
      </c>
      <c r="T457" s="141">
        <v>3</v>
      </c>
      <c r="U457" s="141" t="s">
        <v>2014</v>
      </c>
      <c r="V457" s="141" t="s">
        <v>2015</v>
      </c>
      <c r="W457" s="141" t="s">
        <v>2007</v>
      </c>
      <c r="X457" s="141" t="s">
        <v>2007</v>
      </c>
      <c r="Y457" s="129" t="s">
        <v>2016</v>
      </c>
      <c r="Z457" s="129" t="s">
        <v>194</v>
      </c>
      <c r="AA457" s="141">
        <v>1</v>
      </c>
      <c r="AB457" s="141" t="s">
        <v>2007</v>
      </c>
      <c r="AC457" s="141" t="s">
        <v>2007</v>
      </c>
      <c r="AD457" s="141" t="s">
        <v>2007</v>
      </c>
      <c r="AE457" s="141" t="s">
        <v>2007</v>
      </c>
      <c r="AF457" s="141">
        <v>0</v>
      </c>
      <c r="AG457" s="141">
        <v>0</v>
      </c>
      <c r="AH457" s="141">
        <v>3</v>
      </c>
      <c r="AI457" s="129" t="s">
        <v>2007</v>
      </c>
      <c r="AJ457" s="212" t="s">
        <v>2187</v>
      </c>
      <c r="AK457" s="141" t="s">
        <v>665</v>
      </c>
      <c r="AL457" s="169" t="s">
        <v>2054</v>
      </c>
      <c r="AM457" s="160" t="s">
        <v>2053</v>
      </c>
      <c r="AN457" s="143"/>
      <c r="AO457" s="143"/>
      <c r="AP457" s="143"/>
      <c r="AQ457" s="143"/>
      <c r="AR457" s="143"/>
      <c r="AS457" s="143"/>
      <c r="AT457" s="143"/>
      <c r="AU457" s="143"/>
      <c r="AV457" s="143"/>
      <c r="AW457" s="144"/>
      <c r="AX457" s="145"/>
      <c r="AY457" s="138"/>
      <c r="AZ457" s="138"/>
      <c r="BA457" s="138"/>
      <c r="BB457" s="138"/>
      <c r="BC457" s="138"/>
      <c r="BD457" s="138"/>
      <c r="BE457" s="138"/>
    </row>
    <row r="458" spans="1:57" s="139" customFormat="1" ht="30">
      <c r="A458" s="140" t="s">
        <v>6</v>
      </c>
      <c r="B458" s="129">
        <v>456</v>
      </c>
      <c r="C458" s="129" t="s">
        <v>2006</v>
      </c>
      <c r="D458" s="129" t="s">
        <v>3095</v>
      </c>
      <c r="E458" s="257" t="s">
        <v>2768</v>
      </c>
      <c r="F458" s="212" t="s">
        <v>2023</v>
      </c>
      <c r="G458" s="141" t="s">
        <v>665</v>
      </c>
      <c r="H458" s="172" t="s">
        <v>2022</v>
      </c>
      <c r="I458" s="169" t="s">
        <v>2011</v>
      </c>
      <c r="J458" s="129" t="s">
        <v>2024</v>
      </c>
      <c r="K458" s="129" t="s">
        <v>2024</v>
      </c>
      <c r="L458" s="129" t="s">
        <v>2013</v>
      </c>
      <c r="M458" s="129" t="s">
        <v>2013</v>
      </c>
      <c r="N458" s="129">
        <v>100</v>
      </c>
      <c r="O458" s="129" t="s">
        <v>2013</v>
      </c>
      <c r="P458" s="129" t="s">
        <v>2013</v>
      </c>
      <c r="Q458" s="141">
        <v>8</v>
      </c>
      <c r="R458" s="141">
        <v>23</v>
      </c>
      <c r="S458" s="141">
        <v>16</v>
      </c>
      <c r="T458" s="141">
        <v>8</v>
      </c>
      <c r="U458" s="141" t="s">
        <v>2014</v>
      </c>
      <c r="V458" s="141" t="s">
        <v>2015</v>
      </c>
      <c r="W458" s="141" t="s">
        <v>2007</v>
      </c>
      <c r="X458" s="141" t="s">
        <v>2007</v>
      </c>
      <c r="Y458" s="141" t="s">
        <v>2025</v>
      </c>
      <c r="Z458" s="129" t="s">
        <v>194</v>
      </c>
      <c r="AA458" s="129">
        <v>1</v>
      </c>
      <c r="AB458" s="141" t="s">
        <v>2007</v>
      </c>
      <c r="AC458" s="141" t="s">
        <v>2007</v>
      </c>
      <c r="AD458" s="141" t="s">
        <v>2007</v>
      </c>
      <c r="AE458" s="141" t="s">
        <v>2007</v>
      </c>
      <c r="AF458" s="129">
        <v>-40</v>
      </c>
      <c r="AG458" s="129">
        <v>-40</v>
      </c>
      <c r="AH458" s="141">
        <v>210</v>
      </c>
      <c r="AI458" s="129" t="s">
        <v>2026</v>
      </c>
      <c r="AJ458" s="159" t="s">
        <v>2769</v>
      </c>
      <c r="AK458" s="141" t="s">
        <v>665</v>
      </c>
      <c r="AL458" s="169" t="s">
        <v>2054</v>
      </c>
      <c r="AM458" s="160" t="s">
        <v>2053</v>
      </c>
      <c r="AN458" s="143"/>
      <c r="AO458" s="143"/>
      <c r="AP458" s="143"/>
      <c r="AQ458" s="143"/>
      <c r="AR458" s="143"/>
      <c r="AS458" s="143"/>
      <c r="AT458" s="143"/>
      <c r="AU458" s="143"/>
      <c r="AV458" s="143"/>
      <c r="AW458" s="144"/>
      <c r="AX458" s="145"/>
      <c r="AY458" s="138"/>
      <c r="AZ458" s="138"/>
      <c r="BA458" s="138"/>
      <c r="BB458" s="138"/>
      <c r="BC458" s="138"/>
      <c r="BD458" s="138"/>
      <c r="BE458" s="138"/>
    </row>
    <row r="459" spans="1:57" s="139" customFormat="1" ht="30">
      <c r="A459" s="140" t="s">
        <v>6</v>
      </c>
      <c r="B459" s="129">
        <v>457</v>
      </c>
      <c r="C459" s="129" t="s">
        <v>2006</v>
      </c>
      <c r="D459" s="129" t="s">
        <v>3095</v>
      </c>
      <c r="E459" s="212" t="s">
        <v>2027</v>
      </c>
      <c r="F459" s="212" t="s">
        <v>2028</v>
      </c>
      <c r="G459" s="141" t="s">
        <v>665</v>
      </c>
      <c r="H459" s="172" t="s">
        <v>2022</v>
      </c>
      <c r="I459" s="169" t="s">
        <v>2011</v>
      </c>
      <c r="J459" s="129" t="s">
        <v>2024</v>
      </c>
      <c r="K459" s="129" t="s">
        <v>2024</v>
      </c>
      <c r="L459" s="129" t="s">
        <v>2013</v>
      </c>
      <c r="M459" s="129" t="s">
        <v>2013</v>
      </c>
      <c r="N459" s="129">
        <v>100</v>
      </c>
      <c r="O459" s="129" t="s">
        <v>2013</v>
      </c>
      <c r="P459" s="129" t="s">
        <v>2013</v>
      </c>
      <c r="Q459" s="141">
        <v>8</v>
      </c>
      <c r="R459" s="141">
        <v>31</v>
      </c>
      <c r="S459" s="141">
        <v>32</v>
      </c>
      <c r="T459" s="141">
        <v>16</v>
      </c>
      <c r="U459" s="141" t="s">
        <v>2014</v>
      </c>
      <c r="V459" s="141" t="s">
        <v>2015</v>
      </c>
      <c r="W459" s="141" t="s">
        <v>2007</v>
      </c>
      <c r="X459" s="141" t="s">
        <v>2007</v>
      </c>
      <c r="Y459" s="129" t="s">
        <v>2029</v>
      </c>
      <c r="Z459" s="129" t="s">
        <v>194</v>
      </c>
      <c r="AA459" s="141">
        <v>1</v>
      </c>
      <c r="AB459" s="141" t="s">
        <v>2007</v>
      </c>
      <c r="AC459" s="141" t="s">
        <v>2007</v>
      </c>
      <c r="AD459" s="141" t="s">
        <v>2007</v>
      </c>
      <c r="AE459" s="141" t="s">
        <v>2007</v>
      </c>
      <c r="AF459" s="141">
        <v>-14000</v>
      </c>
      <c r="AG459" s="141">
        <v>-14000</v>
      </c>
      <c r="AH459" s="141">
        <v>14000</v>
      </c>
      <c r="AI459" s="141" t="s">
        <v>234</v>
      </c>
      <c r="AJ459" s="164" t="s">
        <v>2770</v>
      </c>
      <c r="AK459" s="141" t="s">
        <v>665</v>
      </c>
      <c r="AL459" s="169" t="s">
        <v>2054</v>
      </c>
      <c r="AM459" s="160" t="s">
        <v>2053</v>
      </c>
      <c r="AN459" s="143"/>
      <c r="AO459" s="143"/>
      <c r="AP459" s="143"/>
      <c r="AQ459" s="143"/>
      <c r="AR459" s="143"/>
      <c r="AS459" s="143"/>
      <c r="AT459" s="143"/>
      <c r="AU459" s="143"/>
      <c r="AV459" s="143"/>
      <c r="AW459" s="144"/>
      <c r="AX459" s="145"/>
      <c r="AY459" s="138"/>
      <c r="AZ459" s="138"/>
      <c r="BA459" s="138"/>
      <c r="BB459" s="138"/>
      <c r="BC459" s="138"/>
      <c r="BD459" s="138"/>
      <c r="BE459" s="138"/>
    </row>
    <row r="460" spans="1:57" s="139" customFormat="1" ht="44">
      <c r="A460" s="140" t="s">
        <v>6</v>
      </c>
      <c r="B460" s="129">
        <v>458</v>
      </c>
      <c r="C460" s="129" t="s">
        <v>2006</v>
      </c>
      <c r="D460" s="129" t="s">
        <v>3095</v>
      </c>
      <c r="E460" s="212" t="s">
        <v>2030</v>
      </c>
      <c r="F460" s="212" t="s">
        <v>2031</v>
      </c>
      <c r="G460" s="141" t="s">
        <v>665</v>
      </c>
      <c r="H460" s="172" t="s">
        <v>2032</v>
      </c>
      <c r="I460" s="169" t="s">
        <v>2011</v>
      </c>
      <c r="J460" s="129" t="s">
        <v>2024</v>
      </c>
      <c r="K460" s="129" t="s">
        <v>2024</v>
      </c>
      <c r="L460" s="129" t="s">
        <v>2013</v>
      </c>
      <c r="M460" s="129" t="s">
        <v>2013</v>
      </c>
      <c r="N460" s="129">
        <v>100</v>
      </c>
      <c r="O460" s="129" t="s">
        <v>2013</v>
      </c>
      <c r="P460" s="129" t="s">
        <v>2013</v>
      </c>
      <c r="Q460" s="141">
        <v>8</v>
      </c>
      <c r="R460" s="141">
        <v>47</v>
      </c>
      <c r="S460" s="141">
        <v>53</v>
      </c>
      <c r="T460" s="141">
        <v>11</v>
      </c>
      <c r="U460" s="141" t="s">
        <v>2014</v>
      </c>
      <c r="V460" s="141" t="s">
        <v>2015</v>
      </c>
      <c r="W460" s="141" t="s">
        <v>2007</v>
      </c>
      <c r="X460" s="141" t="s">
        <v>2007</v>
      </c>
      <c r="Y460" s="141" t="s">
        <v>2033</v>
      </c>
      <c r="Z460" s="129" t="s">
        <v>194</v>
      </c>
      <c r="AA460" s="141">
        <v>0.5</v>
      </c>
      <c r="AB460" s="141" t="s">
        <v>2007</v>
      </c>
      <c r="AC460" s="141" t="s">
        <v>2007</v>
      </c>
      <c r="AD460" s="141" t="s">
        <v>2007</v>
      </c>
      <c r="AE460" s="141" t="s">
        <v>2007</v>
      </c>
      <c r="AF460" s="141">
        <v>-300</v>
      </c>
      <c r="AG460" s="141">
        <v>-300</v>
      </c>
      <c r="AH460" s="141">
        <v>300</v>
      </c>
      <c r="AI460" s="141" t="s">
        <v>196</v>
      </c>
      <c r="AJ460" s="159" t="s">
        <v>2624</v>
      </c>
      <c r="AK460" s="141" t="s">
        <v>665</v>
      </c>
      <c r="AL460" s="169" t="s">
        <v>2054</v>
      </c>
      <c r="AM460" s="160" t="s">
        <v>2053</v>
      </c>
      <c r="AN460" s="143"/>
      <c r="AO460" s="143"/>
      <c r="AP460" s="143"/>
      <c r="AQ460" s="143"/>
      <c r="AR460" s="143"/>
      <c r="AS460" s="143"/>
      <c r="AT460" s="143"/>
      <c r="AU460" s="143"/>
      <c r="AV460" s="143"/>
      <c r="AW460" s="144"/>
      <c r="AX460" s="145"/>
      <c r="AY460" s="138"/>
      <c r="AZ460" s="138"/>
      <c r="BA460" s="138"/>
      <c r="BB460" s="138"/>
      <c r="BC460" s="138"/>
      <c r="BD460" s="138"/>
      <c r="BE460" s="138"/>
    </row>
    <row r="461" spans="1:57" s="139" customFormat="1" ht="25">
      <c r="A461" s="140" t="s">
        <v>6</v>
      </c>
      <c r="B461" s="129">
        <v>459</v>
      </c>
      <c r="C461" s="129" t="s">
        <v>2006</v>
      </c>
      <c r="D461" s="129" t="s">
        <v>3095</v>
      </c>
      <c r="E461" s="212" t="s">
        <v>2050</v>
      </c>
      <c r="F461" s="164" t="s">
        <v>2051</v>
      </c>
      <c r="G461" s="141" t="s">
        <v>665</v>
      </c>
      <c r="H461" s="172" t="s">
        <v>2032</v>
      </c>
      <c r="I461" s="169" t="s">
        <v>2011</v>
      </c>
      <c r="J461" s="129" t="s">
        <v>2012</v>
      </c>
      <c r="K461" s="129" t="s">
        <v>2012</v>
      </c>
      <c r="L461" s="129" t="s">
        <v>2013</v>
      </c>
      <c r="M461" s="129" t="s">
        <v>2013</v>
      </c>
      <c r="N461" s="129">
        <v>100</v>
      </c>
      <c r="O461" s="129" t="s">
        <v>2013</v>
      </c>
      <c r="P461" s="129" t="s">
        <v>2013</v>
      </c>
      <c r="Q461" s="141">
        <v>8</v>
      </c>
      <c r="R461" s="141">
        <v>59</v>
      </c>
      <c r="S461" s="141">
        <v>56</v>
      </c>
      <c r="T461" s="141">
        <v>4</v>
      </c>
      <c r="U461" s="141" t="s">
        <v>2014</v>
      </c>
      <c r="V461" s="141" t="s">
        <v>2015</v>
      </c>
      <c r="W461" s="141" t="s">
        <v>2007</v>
      </c>
      <c r="X461" s="141" t="s">
        <v>2007</v>
      </c>
      <c r="Y461" s="129" t="s">
        <v>2016</v>
      </c>
      <c r="Z461" s="129" t="s">
        <v>194</v>
      </c>
      <c r="AA461" s="141">
        <v>1</v>
      </c>
      <c r="AB461" s="141" t="s">
        <v>2007</v>
      </c>
      <c r="AC461" s="141" t="s">
        <v>2007</v>
      </c>
      <c r="AD461" s="141" t="s">
        <v>2007</v>
      </c>
      <c r="AE461" s="141" t="s">
        <v>2007</v>
      </c>
      <c r="AF461" s="141">
        <v>0</v>
      </c>
      <c r="AG461" s="141">
        <v>0</v>
      </c>
      <c r="AH461" s="141">
        <v>15</v>
      </c>
      <c r="AI461" s="129" t="s">
        <v>2052</v>
      </c>
      <c r="AJ461" s="164" t="s">
        <v>2123</v>
      </c>
      <c r="AK461" s="141" t="s">
        <v>665</v>
      </c>
      <c r="AL461" s="169" t="s">
        <v>2054</v>
      </c>
      <c r="AM461" s="160" t="s">
        <v>2053</v>
      </c>
      <c r="AN461" s="143"/>
      <c r="AO461" s="143"/>
      <c r="AP461" s="143"/>
      <c r="AQ461" s="143"/>
      <c r="AR461" s="143"/>
      <c r="AS461" s="143"/>
      <c r="AT461" s="143"/>
      <c r="AU461" s="143"/>
      <c r="AV461" s="143"/>
      <c r="AW461" s="144"/>
      <c r="AX461" s="145"/>
      <c r="AY461" s="138"/>
      <c r="AZ461" s="138"/>
      <c r="BA461" s="138"/>
      <c r="BB461" s="138"/>
      <c r="BC461" s="138"/>
      <c r="BD461" s="138"/>
      <c r="BE461" s="138"/>
    </row>
    <row r="462" spans="1:57" s="139" customFormat="1" ht="44">
      <c r="A462" s="140" t="s">
        <v>6</v>
      </c>
      <c r="B462" s="129">
        <v>460</v>
      </c>
      <c r="C462" s="129" t="s">
        <v>2006</v>
      </c>
      <c r="D462" s="129" t="s">
        <v>3095</v>
      </c>
      <c r="E462" s="212" t="s">
        <v>2056</v>
      </c>
      <c r="F462" s="164" t="s">
        <v>2009</v>
      </c>
      <c r="G462" s="141" t="s">
        <v>665</v>
      </c>
      <c r="H462" s="172" t="s">
        <v>2036</v>
      </c>
      <c r="I462" s="169" t="s">
        <v>2037</v>
      </c>
      <c r="J462" s="129" t="s">
        <v>2012</v>
      </c>
      <c r="K462" s="129" t="s">
        <v>2012</v>
      </c>
      <c r="L462" s="129" t="s">
        <v>2013</v>
      </c>
      <c r="M462" s="129" t="s">
        <v>2013</v>
      </c>
      <c r="N462" s="129">
        <v>100</v>
      </c>
      <c r="O462" s="129" t="s">
        <v>2013</v>
      </c>
      <c r="P462" s="129" t="s">
        <v>2013</v>
      </c>
      <c r="Q462" s="141">
        <v>8</v>
      </c>
      <c r="R462" s="141">
        <v>7</v>
      </c>
      <c r="S462" s="141">
        <v>0</v>
      </c>
      <c r="T462" s="141">
        <v>8</v>
      </c>
      <c r="U462" s="141" t="s">
        <v>2014</v>
      </c>
      <c r="V462" s="141" t="s">
        <v>2015</v>
      </c>
      <c r="W462" s="141" t="s">
        <v>2007</v>
      </c>
      <c r="X462" s="141" t="s">
        <v>2007</v>
      </c>
      <c r="Y462" s="129" t="s">
        <v>2016</v>
      </c>
      <c r="Z462" s="129" t="s">
        <v>2017</v>
      </c>
      <c r="AA462" s="141">
        <v>1</v>
      </c>
      <c r="AB462" s="141" t="s">
        <v>2007</v>
      </c>
      <c r="AC462" s="141" t="s">
        <v>2007</v>
      </c>
      <c r="AD462" s="141" t="s">
        <v>2007</v>
      </c>
      <c r="AE462" s="141" t="s">
        <v>2007</v>
      </c>
      <c r="AF462" s="141">
        <v>0</v>
      </c>
      <c r="AG462" s="141">
        <v>0</v>
      </c>
      <c r="AH462" s="141">
        <v>255</v>
      </c>
      <c r="AI462" s="129"/>
      <c r="AJ462" s="164" t="s">
        <v>2164</v>
      </c>
      <c r="AK462" s="141" t="s">
        <v>665</v>
      </c>
      <c r="AL462" s="169" t="s">
        <v>2054</v>
      </c>
      <c r="AM462" s="160" t="s">
        <v>2053</v>
      </c>
      <c r="AN462" s="143"/>
      <c r="AO462" s="143"/>
      <c r="AP462" s="143"/>
      <c r="AQ462" s="143"/>
      <c r="AR462" s="143"/>
      <c r="AS462" s="143"/>
      <c r="AT462" s="143"/>
      <c r="AU462" s="143"/>
      <c r="AV462" s="143"/>
      <c r="AW462" s="144"/>
      <c r="AX462" s="145"/>
      <c r="AY462" s="138"/>
      <c r="AZ462" s="138"/>
      <c r="BA462" s="138"/>
      <c r="BB462" s="138"/>
      <c r="BC462" s="138"/>
      <c r="BD462" s="138"/>
      <c r="BE462" s="138"/>
    </row>
    <row r="463" spans="1:57" s="139" customFormat="1" ht="30">
      <c r="A463" s="140" t="s">
        <v>6</v>
      </c>
      <c r="B463" s="129">
        <v>461</v>
      </c>
      <c r="C463" s="129" t="s">
        <v>2006</v>
      </c>
      <c r="D463" s="129" t="s">
        <v>3095</v>
      </c>
      <c r="E463" s="212" t="s">
        <v>2034</v>
      </c>
      <c r="F463" s="212" t="s">
        <v>2035</v>
      </c>
      <c r="G463" s="141" t="s">
        <v>665</v>
      </c>
      <c r="H463" s="172" t="s">
        <v>2036</v>
      </c>
      <c r="I463" s="169" t="s">
        <v>2037</v>
      </c>
      <c r="J463" s="129" t="s">
        <v>2024</v>
      </c>
      <c r="K463" s="129" t="s">
        <v>2024</v>
      </c>
      <c r="L463" s="129" t="s">
        <v>2013</v>
      </c>
      <c r="M463" s="129" t="s">
        <v>2013</v>
      </c>
      <c r="N463" s="129">
        <v>100</v>
      </c>
      <c r="O463" s="129" t="s">
        <v>2013</v>
      </c>
      <c r="P463" s="129" t="s">
        <v>2013</v>
      </c>
      <c r="Q463" s="141">
        <v>8</v>
      </c>
      <c r="R463" s="141">
        <v>15</v>
      </c>
      <c r="S463" s="141">
        <v>20</v>
      </c>
      <c r="T463" s="141">
        <v>12</v>
      </c>
      <c r="U463" s="141" t="s">
        <v>2014</v>
      </c>
      <c r="V463" s="141" t="s">
        <v>2015</v>
      </c>
      <c r="W463" s="141" t="s">
        <v>2007</v>
      </c>
      <c r="X463" s="141" t="s">
        <v>2007</v>
      </c>
      <c r="Y463" s="129" t="s">
        <v>2033</v>
      </c>
      <c r="Z463" s="129" t="s">
        <v>194</v>
      </c>
      <c r="AA463" s="141">
        <v>1</v>
      </c>
      <c r="AB463" s="141" t="s">
        <v>2007</v>
      </c>
      <c r="AC463" s="141" t="s">
        <v>2007</v>
      </c>
      <c r="AD463" s="141" t="s">
        <v>2007</v>
      </c>
      <c r="AE463" s="141" t="s">
        <v>2007</v>
      </c>
      <c r="AF463" s="141">
        <v>-1000</v>
      </c>
      <c r="AG463" s="141">
        <v>-1000</v>
      </c>
      <c r="AH463" s="141">
        <v>1000</v>
      </c>
      <c r="AI463" s="141" t="s">
        <v>230</v>
      </c>
      <c r="AJ463" s="159" t="s">
        <v>2625</v>
      </c>
      <c r="AK463" s="141" t="s">
        <v>665</v>
      </c>
      <c r="AL463" s="169" t="s">
        <v>2054</v>
      </c>
      <c r="AM463" s="160" t="s">
        <v>2053</v>
      </c>
      <c r="AN463" s="143"/>
      <c r="AO463" s="143"/>
      <c r="AP463" s="143"/>
      <c r="AQ463" s="143"/>
      <c r="AR463" s="143"/>
      <c r="AS463" s="143"/>
      <c r="AT463" s="143"/>
      <c r="AU463" s="143"/>
      <c r="AV463" s="143"/>
      <c r="AW463" s="144"/>
      <c r="AX463" s="145"/>
      <c r="AY463" s="138"/>
      <c r="AZ463" s="138"/>
      <c r="BA463" s="138"/>
      <c r="BB463" s="138"/>
      <c r="BC463" s="138"/>
      <c r="BD463" s="138"/>
      <c r="BE463" s="138"/>
    </row>
    <row r="464" spans="1:57" s="139" customFormat="1" ht="30">
      <c r="A464" s="140" t="s">
        <v>6</v>
      </c>
      <c r="B464" s="129">
        <v>462</v>
      </c>
      <c r="C464" s="129" t="s">
        <v>2006</v>
      </c>
      <c r="D464" s="129" t="s">
        <v>3095</v>
      </c>
      <c r="E464" s="212" t="s">
        <v>2038</v>
      </c>
      <c r="F464" s="212" t="s">
        <v>2039</v>
      </c>
      <c r="G464" s="141" t="s">
        <v>665</v>
      </c>
      <c r="H464" s="172" t="s">
        <v>2036</v>
      </c>
      <c r="I464" s="169" t="s">
        <v>2037</v>
      </c>
      <c r="J464" s="129" t="s">
        <v>2024</v>
      </c>
      <c r="K464" s="129" t="s">
        <v>2024</v>
      </c>
      <c r="L464" s="129" t="s">
        <v>2013</v>
      </c>
      <c r="M464" s="129" t="s">
        <v>2013</v>
      </c>
      <c r="N464" s="129">
        <v>100</v>
      </c>
      <c r="O464" s="129" t="s">
        <v>2013</v>
      </c>
      <c r="P464" s="129" t="s">
        <v>2013</v>
      </c>
      <c r="Q464" s="141">
        <v>8</v>
      </c>
      <c r="R464" s="141">
        <v>31</v>
      </c>
      <c r="S464" s="141">
        <v>38</v>
      </c>
      <c r="T464" s="141">
        <v>10</v>
      </c>
      <c r="U464" s="141" t="s">
        <v>2014</v>
      </c>
      <c r="V464" s="141" t="s">
        <v>2015</v>
      </c>
      <c r="W464" s="141" t="s">
        <v>2007</v>
      </c>
      <c r="X464" s="141" t="s">
        <v>2007</v>
      </c>
      <c r="Y464" s="129" t="s">
        <v>2033</v>
      </c>
      <c r="Z464" s="129" t="s">
        <v>194</v>
      </c>
      <c r="AA464" s="141">
        <v>1</v>
      </c>
      <c r="AB464" s="141" t="s">
        <v>2007</v>
      </c>
      <c r="AC464" s="141" t="s">
        <v>2007</v>
      </c>
      <c r="AD464" s="141" t="s">
        <v>2007</v>
      </c>
      <c r="AE464" s="141" t="s">
        <v>2007</v>
      </c>
      <c r="AF464" s="141">
        <v>0</v>
      </c>
      <c r="AG464" s="141">
        <v>0</v>
      </c>
      <c r="AH464" s="141">
        <v>1000</v>
      </c>
      <c r="AI464" s="141" t="s">
        <v>204</v>
      </c>
      <c r="AJ464" s="159" t="s">
        <v>2626</v>
      </c>
      <c r="AK464" s="141" t="s">
        <v>665</v>
      </c>
      <c r="AL464" s="169" t="s">
        <v>2054</v>
      </c>
      <c r="AM464" s="160" t="s">
        <v>2053</v>
      </c>
      <c r="AN464" s="143"/>
      <c r="AO464" s="143"/>
      <c r="AP464" s="143"/>
      <c r="AQ464" s="143"/>
      <c r="AR464" s="143"/>
      <c r="AS464" s="143"/>
      <c r="AT464" s="143"/>
      <c r="AU464" s="143"/>
      <c r="AV464" s="143"/>
      <c r="AW464" s="144"/>
      <c r="AX464" s="145"/>
      <c r="AY464" s="138"/>
      <c r="AZ464" s="138"/>
      <c r="BA464" s="138"/>
      <c r="BB464" s="138"/>
      <c r="BC464" s="138"/>
      <c r="BD464" s="138"/>
      <c r="BE464" s="138"/>
    </row>
    <row r="465" spans="1:57" s="139" customFormat="1" ht="30">
      <c r="A465" s="140" t="s">
        <v>6</v>
      </c>
      <c r="B465" s="129">
        <v>463</v>
      </c>
      <c r="C465" s="129" t="s">
        <v>2006</v>
      </c>
      <c r="D465" s="129" t="s">
        <v>3095</v>
      </c>
      <c r="E465" s="212" t="s">
        <v>2771</v>
      </c>
      <c r="F465" s="212" t="s">
        <v>2040</v>
      </c>
      <c r="G465" s="141" t="s">
        <v>665</v>
      </c>
      <c r="H465" s="172" t="s">
        <v>2036</v>
      </c>
      <c r="I465" s="169" t="s">
        <v>2037</v>
      </c>
      <c r="J465" s="129" t="s">
        <v>2024</v>
      </c>
      <c r="K465" s="129" t="s">
        <v>2024</v>
      </c>
      <c r="L465" s="129" t="s">
        <v>2013</v>
      </c>
      <c r="M465" s="129" t="s">
        <v>2013</v>
      </c>
      <c r="N465" s="129">
        <v>100</v>
      </c>
      <c r="O465" s="129" t="s">
        <v>2013</v>
      </c>
      <c r="P465" s="129" t="s">
        <v>2013</v>
      </c>
      <c r="Q465" s="141">
        <v>8</v>
      </c>
      <c r="R465" s="141">
        <v>47</v>
      </c>
      <c r="S465" s="141">
        <v>40</v>
      </c>
      <c r="T465" s="141">
        <v>8</v>
      </c>
      <c r="U465" s="141" t="s">
        <v>2014</v>
      </c>
      <c r="V465" s="141" t="s">
        <v>2015</v>
      </c>
      <c r="W465" s="141" t="s">
        <v>2007</v>
      </c>
      <c r="X465" s="141" t="s">
        <v>2007</v>
      </c>
      <c r="Y465" s="141" t="s">
        <v>2025</v>
      </c>
      <c r="Z465" s="129" t="s">
        <v>194</v>
      </c>
      <c r="AA465" s="129">
        <v>1</v>
      </c>
      <c r="AB465" s="141" t="s">
        <v>2007</v>
      </c>
      <c r="AC465" s="141" t="s">
        <v>2007</v>
      </c>
      <c r="AD465" s="141" t="s">
        <v>2007</v>
      </c>
      <c r="AE465" s="141" t="s">
        <v>2007</v>
      </c>
      <c r="AF465" s="141">
        <v>-40</v>
      </c>
      <c r="AG465" s="129">
        <v>-40</v>
      </c>
      <c r="AH465" s="141">
        <v>210</v>
      </c>
      <c r="AI465" s="141" t="s">
        <v>236</v>
      </c>
      <c r="AJ465" s="159" t="s">
        <v>2623</v>
      </c>
      <c r="AK465" s="141" t="s">
        <v>665</v>
      </c>
      <c r="AL465" s="169" t="s">
        <v>2054</v>
      </c>
      <c r="AM465" s="160" t="s">
        <v>2053</v>
      </c>
      <c r="AN465" s="143"/>
      <c r="AO465" s="143"/>
      <c r="AP465" s="143"/>
      <c r="AQ465" s="143"/>
      <c r="AR465" s="143"/>
      <c r="AS465" s="143"/>
      <c r="AT465" s="143"/>
      <c r="AU465" s="143"/>
      <c r="AV465" s="143"/>
      <c r="AW465" s="144"/>
      <c r="AX465" s="145"/>
      <c r="AY465" s="138"/>
      <c r="AZ465" s="138"/>
      <c r="BA465" s="138"/>
      <c r="BB465" s="138"/>
      <c r="BC465" s="138"/>
      <c r="BD465" s="138"/>
      <c r="BE465" s="138"/>
    </row>
    <row r="466" spans="1:57" s="139" customFormat="1" ht="30">
      <c r="A466" s="140" t="s">
        <v>6</v>
      </c>
      <c r="B466" s="129">
        <v>464</v>
      </c>
      <c r="C466" s="129" t="s">
        <v>2006</v>
      </c>
      <c r="D466" s="129" t="s">
        <v>3095</v>
      </c>
      <c r="E466" s="212" t="s">
        <v>2041</v>
      </c>
      <c r="F466" s="212" t="s">
        <v>2042</v>
      </c>
      <c r="G466" s="141" t="s">
        <v>665</v>
      </c>
      <c r="H466" s="172" t="s">
        <v>2036</v>
      </c>
      <c r="I466" s="169" t="s">
        <v>2037</v>
      </c>
      <c r="J466" s="129" t="s">
        <v>2012</v>
      </c>
      <c r="K466" s="129" t="s">
        <v>2012</v>
      </c>
      <c r="L466" s="129" t="s">
        <v>2013</v>
      </c>
      <c r="M466" s="129" t="s">
        <v>2013</v>
      </c>
      <c r="N466" s="129">
        <v>100</v>
      </c>
      <c r="O466" s="129" t="s">
        <v>2013</v>
      </c>
      <c r="P466" s="129" t="s">
        <v>2013</v>
      </c>
      <c r="Q466" s="141">
        <v>8</v>
      </c>
      <c r="R466" s="141">
        <v>55</v>
      </c>
      <c r="S466" s="141">
        <v>55</v>
      </c>
      <c r="T466" s="141">
        <v>1</v>
      </c>
      <c r="U466" s="141" t="s">
        <v>2014</v>
      </c>
      <c r="V466" s="141" t="s">
        <v>2015</v>
      </c>
      <c r="W466" s="141" t="s">
        <v>2007</v>
      </c>
      <c r="X466" s="141" t="s">
        <v>2007</v>
      </c>
      <c r="Y466" s="141" t="s">
        <v>2025</v>
      </c>
      <c r="Z466" s="129" t="s">
        <v>194</v>
      </c>
      <c r="AA466" s="141">
        <v>1</v>
      </c>
      <c r="AB466" s="141" t="s">
        <v>2007</v>
      </c>
      <c r="AC466" s="141" t="s">
        <v>2007</v>
      </c>
      <c r="AD466" s="141" t="s">
        <v>2007</v>
      </c>
      <c r="AE466" s="141" t="s">
        <v>2007</v>
      </c>
      <c r="AF466" s="141">
        <v>0</v>
      </c>
      <c r="AG466" s="141">
        <v>0</v>
      </c>
      <c r="AH466" s="141">
        <v>1</v>
      </c>
      <c r="AI466" s="129"/>
      <c r="AJ466" s="164" t="s">
        <v>2043</v>
      </c>
      <c r="AK466" s="141" t="s">
        <v>665</v>
      </c>
      <c r="AL466" s="169" t="s">
        <v>2054</v>
      </c>
      <c r="AM466" s="160" t="s">
        <v>2053</v>
      </c>
      <c r="AN466" s="143"/>
      <c r="AO466" s="143"/>
      <c r="AP466" s="143"/>
      <c r="AQ466" s="143"/>
      <c r="AR466" s="143"/>
      <c r="AS466" s="143"/>
      <c r="AT466" s="143"/>
      <c r="AU466" s="143"/>
      <c r="AV466" s="143"/>
      <c r="AW466" s="144"/>
      <c r="AX466" s="145"/>
      <c r="AY466" s="138"/>
      <c r="AZ466" s="138"/>
      <c r="BA466" s="138"/>
      <c r="BB466" s="138"/>
      <c r="BC466" s="138"/>
      <c r="BD466" s="138"/>
      <c r="BE466" s="138"/>
    </row>
    <row r="467" spans="1:57" s="139" customFormat="1" ht="30">
      <c r="A467" s="140" t="s">
        <v>6</v>
      </c>
      <c r="B467" s="129">
        <v>465</v>
      </c>
      <c r="C467" s="129" t="s">
        <v>2006</v>
      </c>
      <c r="D467" s="129" t="s">
        <v>3095</v>
      </c>
      <c r="E467" s="212" t="s">
        <v>2044</v>
      </c>
      <c r="F467" s="258" t="s">
        <v>2045</v>
      </c>
      <c r="G467" s="141" t="s">
        <v>665</v>
      </c>
      <c r="H467" s="172" t="s">
        <v>2036</v>
      </c>
      <c r="I467" s="169" t="s">
        <v>2037</v>
      </c>
      <c r="J467" s="129" t="s">
        <v>2012</v>
      </c>
      <c r="K467" s="129" t="s">
        <v>2012</v>
      </c>
      <c r="L467" s="129" t="s">
        <v>2013</v>
      </c>
      <c r="M467" s="129" t="s">
        <v>2013</v>
      </c>
      <c r="N467" s="129">
        <v>100</v>
      </c>
      <c r="O467" s="129" t="s">
        <v>2013</v>
      </c>
      <c r="P467" s="129" t="s">
        <v>2013</v>
      </c>
      <c r="Q467" s="141">
        <v>8</v>
      </c>
      <c r="R467" s="141">
        <v>54</v>
      </c>
      <c r="S467" s="141">
        <v>54</v>
      </c>
      <c r="T467" s="141">
        <v>1</v>
      </c>
      <c r="U467" s="141" t="s">
        <v>2014</v>
      </c>
      <c r="V467" s="141" t="s">
        <v>2015</v>
      </c>
      <c r="W467" s="141" t="s">
        <v>2007</v>
      </c>
      <c r="X467" s="141" t="s">
        <v>2007</v>
      </c>
      <c r="Y467" s="141" t="s">
        <v>2025</v>
      </c>
      <c r="Z467" s="129" t="s">
        <v>194</v>
      </c>
      <c r="AA467" s="141">
        <v>1</v>
      </c>
      <c r="AB467" s="141" t="s">
        <v>2007</v>
      </c>
      <c r="AC467" s="141" t="s">
        <v>2007</v>
      </c>
      <c r="AD467" s="141" t="s">
        <v>2007</v>
      </c>
      <c r="AE467" s="141" t="s">
        <v>2007</v>
      </c>
      <c r="AF467" s="141">
        <v>0</v>
      </c>
      <c r="AG467" s="141">
        <v>0</v>
      </c>
      <c r="AH467" s="141">
        <v>1</v>
      </c>
      <c r="AI467" s="129"/>
      <c r="AJ467" s="164" t="s">
        <v>2043</v>
      </c>
      <c r="AK467" s="141" t="s">
        <v>665</v>
      </c>
      <c r="AL467" s="169" t="s">
        <v>2054</v>
      </c>
      <c r="AM467" s="160" t="s">
        <v>2053</v>
      </c>
      <c r="AN467" s="143"/>
      <c r="AO467" s="143"/>
      <c r="AP467" s="143"/>
      <c r="AQ467" s="143"/>
      <c r="AR467" s="143"/>
      <c r="AS467" s="143"/>
      <c r="AT467" s="143"/>
      <c r="AU467" s="143"/>
      <c r="AV467" s="143"/>
      <c r="AW467" s="144"/>
      <c r="AX467" s="145"/>
      <c r="AY467" s="138"/>
      <c r="AZ467" s="138"/>
      <c r="BA467" s="138"/>
      <c r="BB467" s="138"/>
      <c r="BC467" s="138"/>
      <c r="BD467" s="138"/>
      <c r="BE467" s="138"/>
    </row>
    <row r="468" spans="1:57" s="139" customFormat="1" ht="30">
      <c r="A468" s="140" t="s">
        <v>6</v>
      </c>
      <c r="B468" s="129">
        <v>466</v>
      </c>
      <c r="C468" s="129" t="s">
        <v>2006</v>
      </c>
      <c r="D468" s="129" t="s">
        <v>3095</v>
      </c>
      <c r="E468" s="257" t="s">
        <v>2046</v>
      </c>
      <c r="F468" s="258" t="s">
        <v>2047</v>
      </c>
      <c r="G468" s="141" t="s">
        <v>665</v>
      </c>
      <c r="H468" s="172" t="s">
        <v>2036</v>
      </c>
      <c r="I468" s="169" t="s">
        <v>2037</v>
      </c>
      <c r="J468" s="129" t="s">
        <v>2012</v>
      </c>
      <c r="K468" s="129" t="s">
        <v>2012</v>
      </c>
      <c r="L468" s="129" t="s">
        <v>2013</v>
      </c>
      <c r="M468" s="129" t="s">
        <v>2013</v>
      </c>
      <c r="N468" s="129">
        <v>100</v>
      </c>
      <c r="O468" s="129" t="s">
        <v>2013</v>
      </c>
      <c r="P468" s="129" t="s">
        <v>2013</v>
      </c>
      <c r="Q468" s="141">
        <v>8</v>
      </c>
      <c r="R468" s="141">
        <v>53</v>
      </c>
      <c r="S468" s="141">
        <v>53</v>
      </c>
      <c r="T468" s="141">
        <v>1</v>
      </c>
      <c r="U468" s="141" t="s">
        <v>2014</v>
      </c>
      <c r="V468" s="141" t="s">
        <v>2015</v>
      </c>
      <c r="W468" s="141" t="s">
        <v>2007</v>
      </c>
      <c r="X468" s="141" t="s">
        <v>2007</v>
      </c>
      <c r="Y468" s="141" t="s">
        <v>2025</v>
      </c>
      <c r="Z468" s="129" t="s">
        <v>194</v>
      </c>
      <c r="AA468" s="141">
        <v>1</v>
      </c>
      <c r="AB468" s="141" t="s">
        <v>2007</v>
      </c>
      <c r="AC468" s="141" t="s">
        <v>2007</v>
      </c>
      <c r="AD468" s="141" t="s">
        <v>2007</v>
      </c>
      <c r="AE468" s="141" t="s">
        <v>2007</v>
      </c>
      <c r="AF468" s="141">
        <v>0</v>
      </c>
      <c r="AG468" s="141">
        <v>0</v>
      </c>
      <c r="AH468" s="141">
        <v>1</v>
      </c>
      <c r="AI468" s="129"/>
      <c r="AJ468" s="164" t="s">
        <v>2043</v>
      </c>
      <c r="AK468" s="141" t="s">
        <v>665</v>
      </c>
      <c r="AL468" s="169" t="s">
        <v>2054</v>
      </c>
      <c r="AM468" s="160" t="s">
        <v>2053</v>
      </c>
      <c r="AN468" s="143"/>
      <c r="AO468" s="143"/>
      <c r="AP468" s="143"/>
      <c r="AQ468" s="143"/>
      <c r="AR468" s="143"/>
      <c r="AS468" s="143"/>
      <c r="AT468" s="143"/>
      <c r="AU468" s="143"/>
      <c r="AV468" s="143"/>
      <c r="AW468" s="144"/>
      <c r="AX468" s="145"/>
      <c r="AY468" s="138"/>
      <c r="AZ468" s="138"/>
      <c r="BA468" s="138"/>
      <c r="BB468" s="138"/>
      <c r="BC468" s="138"/>
      <c r="BD468" s="138"/>
      <c r="BE468" s="138"/>
    </row>
    <row r="469" spans="1:57" s="139" customFormat="1" ht="30">
      <c r="A469" s="140" t="s">
        <v>6</v>
      </c>
      <c r="B469" s="129">
        <v>467</v>
      </c>
      <c r="C469" s="129" t="s">
        <v>2006</v>
      </c>
      <c r="D469" s="129" t="s">
        <v>3095</v>
      </c>
      <c r="E469" s="257" t="s">
        <v>2048</v>
      </c>
      <c r="F469" s="258" t="s">
        <v>2049</v>
      </c>
      <c r="G469" s="141" t="s">
        <v>665</v>
      </c>
      <c r="H469" s="172" t="s">
        <v>2036</v>
      </c>
      <c r="I469" s="169" t="s">
        <v>2037</v>
      </c>
      <c r="J469" s="129" t="s">
        <v>2012</v>
      </c>
      <c r="K469" s="129" t="s">
        <v>2012</v>
      </c>
      <c r="L469" s="129" t="s">
        <v>2013</v>
      </c>
      <c r="M469" s="129" t="s">
        <v>2013</v>
      </c>
      <c r="N469" s="129">
        <v>100</v>
      </c>
      <c r="O469" s="129" t="s">
        <v>2013</v>
      </c>
      <c r="P469" s="129" t="s">
        <v>2013</v>
      </c>
      <c r="Q469" s="141">
        <v>8</v>
      </c>
      <c r="R469" s="141">
        <v>52</v>
      </c>
      <c r="S469" s="141">
        <v>52</v>
      </c>
      <c r="T469" s="141">
        <v>1</v>
      </c>
      <c r="U469" s="141" t="s">
        <v>2014</v>
      </c>
      <c r="V469" s="141" t="s">
        <v>2015</v>
      </c>
      <c r="W469" s="141" t="s">
        <v>2007</v>
      </c>
      <c r="X469" s="141" t="s">
        <v>2007</v>
      </c>
      <c r="Y469" s="141" t="s">
        <v>2025</v>
      </c>
      <c r="Z469" s="129" t="s">
        <v>194</v>
      </c>
      <c r="AA469" s="141">
        <v>1</v>
      </c>
      <c r="AB469" s="141" t="s">
        <v>2007</v>
      </c>
      <c r="AC469" s="141" t="s">
        <v>2007</v>
      </c>
      <c r="AD469" s="141" t="s">
        <v>2007</v>
      </c>
      <c r="AE469" s="141" t="s">
        <v>2007</v>
      </c>
      <c r="AF469" s="141">
        <v>0</v>
      </c>
      <c r="AG469" s="141">
        <v>0</v>
      </c>
      <c r="AH469" s="141">
        <v>1</v>
      </c>
      <c r="AI469" s="129"/>
      <c r="AJ469" s="164" t="s">
        <v>2043</v>
      </c>
      <c r="AK469" s="141" t="s">
        <v>665</v>
      </c>
      <c r="AL469" s="169" t="s">
        <v>2054</v>
      </c>
      <c r="AM469" s="160" t="s">
        <v>2053</v>
      </c>
      <c r="AN469" s="143"/>
      <c r="AO469" s="143"/>
      <c r="AP469" s="143"/>
      <c r="AQ469" s="143"/>
      <c r="AR469" s="143"/>
      <c r="AS469" s="143"/>
      <c r="AT469" s="143"/>
      <c r="AU469" s="143"/>
      <c r="AV469" s="143"/>
      <c r="AW469" s="144"/>
      <c r="AX469" s="145"/>
      <c r="AY469" s="138"/>
      <c r="AZ469" s="138"/>
      <c r="BA469" s="138"/>
      <c r="BB469" s="138"/>
      <c r="BC469" s="138"/>
      <c r="BD469" s="138"/>
      <c r="BE469" s="138"/>
    </row>
    <row r="470" spans="1:57" s="139" customFormat="1" ht="25">
      <c r="A470" s="140" t="s">
        <v>6</v>
      </c>
      <c r="B470" s="129">
        <v>468</v>
      </c>
      <c r="C470" s="129" t="s">
        <v>2006</v>
      </c>
      <c r="D470" s="129" t="s">
        <v>3095</v>
      </c>
      <c r="E470" s="212" t="s">
        <v>2057</v>
      </c>
      <c r="F470" s="164" t="s">
        <v>2051</v>
      </c>
      <c r="G470" s="141" t="s">
        <v>665</v>
      </c>
      <c r="H470" s="172" t="s">
        <v>2622</v>
      </c>
      <c r="I470" s="169" t="s">
        <v>2621</v>
      </c>
      <c r="J470" s="129" t="s">
        <v>2012</v>
      </c>
      <c r="K470" s="129" t="s">
        <v>2012</v>
      </c>
      <c r="L470" s="129" t="s">
        <v>2013</v>
      </c>
      <c r="M470" s="129" t="s">
        <v>2013</v>
      </c>
      <c r="N470" s="129">
        <v>100</v>
      </c>
      <c r="O470" s="129" t="s">
        <v>2013</v>
      </c>
      <c r="P470" s="129" t="s">
        <v>2013</v>
      </c>
      <c r="Q470" s="141">
        <v>8</v>
      </c>
      <c r="R470" s="141">
        <v>59</v>
      </c>
      <c r="S470" s="141">
        <v>56</v>
      </c>
      <c r="T470" s="141">
        <v>4</v>
      </c>
      <c r="U470" s="141" t="s">
        <v>2014</v>
      </c>
      <c r="V470" s="141" t="s">
        <v>2015</v>
      </c>
      <c r="W470" s="141" t="s">
        <v>2007</v>
      </c>
      <c r="X470" s="141" t="s">
        <v>2007</v>
      </c>
      <c r="Y470" s="129" t="s">
        <v>2016</v>
      </c>
      <c r="Z470" s="129" t="s">
        <v>194</v>
      </c>
      <c r="AA470" s="141">
        <v>1</v>
      </c>
      <c r="AB470" s="141" t="s">
        <v>2007</v>
      </c>
      <c r="AC470" s="141" t="s">
        <v>2007</v>
      </c>
      <c r="AD470" s="141" t="s">
        <v>2007</v>
      </c>
      <c r="AE470" s="141" t="s">
        <v>2007</v>
      </c>
      <c r="AF470" s="141">
        <v>0</v>
      </c>
      <c r="AG470" s="141">
        <v>0</v>
      </c>
      <c r="AH470" s="141">
        <v>15</v>
      </c>
      <c r="AI470" s="129" t="s">
        <v>2052</v>
      </c>
      <c r="AJ470" s="164" t="s">
        <v>2123</v>
      </c>
      <c r="AK470" s="141" t="s">
        <v>665</v>
      </c>
      <c r="AL470" s="169" t="s">
        <v>2054</v>
      </c>
      <c r="AM470" s="160" t="s">
        <v>2053</v>
      </c>
      <c r="AN470" s="143"/>
      <c r="AO470" s="143"/>
      <c r="AP470" s="143"/>
      <c r="AQ470" s="143"/>
      <c r="AR470" s="143"/>
      <c r="AS470" s="143"/>
      <c r="AT470" s="143"/>
      <c r="AU470" s="143"/>
      <c r="AV470" s="143"/>
      <c r="AW470" s="144"/>
      <c r="AX470" s="145"/>
      <c r="AY470" s="138"/>
      <c r="AZ470" s="138"/>
      <c r="BA470" s="138"/>
      <c r="BB470" s="138"/>
      <c r="BC470" s="138"/>
      <c r="BD470" s="138"/>
      <c r="BE470" s="138"/>
    </row>
    <row r="471" spans="1:57" s="139" customFormat="1" ht="30">
      <c r="A471" s="140" t="s">
        <v>6</v>
      </c>
      <c r="B471" s="129">
        <v>469</v>
      </c>
      <c r="C471" s="141" t="s">
        <v>1419</v>
      </c>
      <c r="D471" s="129" t="s">
        <v>3119</v>
      </c>
      <c r="E471" s="129" t="s">
        <v>1420</v>
      </c>
      <c r="F471" s="129" t="s">
        <v>1421</v>
      </c>
      <c r="G471" s="141" t="s">
        <v>684</v>
      </c>
      <c r="H471" s="141" t="s">
        <v>1422</v>
      </c>
      <c r="I471" s="141" t="s">
        <v>1423</v>
      </c>
      <c r="J471" s="129" t="s">
        <v>971</v>
      </c>
      <c r="K471" s="129" t="s">
        <v>971</v>
      </c>
      <c r="L471" s="129" t="s">
        <v>712</v>
      </c>
      <c r="M471" s="129" t="s">
        <v>712</v>
      </c>
      <c r="N471" s="141">
        <v>100</v>
      </c>
      <c r="O471" s="129" t="s">
        <v>712</v>
      </c>
      <c r="P471" s="129" t="s">
        <v>712</v>
      </c>
      <c r="Q471" s="141">
        <v>8</v>
      </c>
      <c r="R471" s="141">
        <v>7</v>
      </c>
      <c r="S471" s="141">
        <v>7</v>
      </c>
      <c r="T471" s="141">
        <v>1</v>
      </c>
      <c r="U471" s="141" t="s">
        <v>713</v>
      </c>
      <c r="V471" s="141" t="s">
        <v>714</v>
      </c>
      <c r="W471" s="141" t="s">
        <v>703</v>
      </c>
      <c r="X471" s="141" t="s">
        <v>703</v>
      </c>
      <c r="Y471" s="129" t="s">
        <v>715</v>
      </c>
      <c r="Z471" s="129" t="s">
        <v>703</v>
      </c>
      <c r="AA471" s="141">
        <v>1</v>
      </c>
      <c r="AB471" s="141" t="s">
        <v>703</v>
      </c>
      <c r="AC471" s="141" t="s">
        <v>703</v>
      </c>
      <c r="AD471" s="141" t="s">
        <v>703</v>
      </c>
      <c r="AE471" s="141" t="s">
        <v>703</v>
      </c>
      <c r="AF471" s="141">
        <v>0</v>
      </c>
      <c r="AG471" s="141">
        <v>0</v>
      </c>
      <c r="AH471" s="141">
        <v>1</v>
      </c>
      <c r="AI471" s="141" t="s">
        <v>712</v>
      </c>
      <c r="AJ471" s="164" t="s">
        <v>237</v>
      </c>
      <c r="AK471" s="141" t="s">
        <v>665</v>
      </c>
      <c r="AL471" s="141" t="s">
        <v>530</v>
      </c>
      <c r="AM471" s="143" t="s">
        <v>705</v>
      </c>
      <c r="AN471" s="143" t="s">
        <v>716</v>
      </c>
      <c r="AO471" s="143"/>
      <c r="AP471" s="143"/>
      <c r="AQ471" s="143"/>
      <c r="AR471" s="143"/>
      <c r="AS471" s="143"/>
      <c r="AT471" s="143"/>
      <c r="AU471" s="143"/>
      <c r="AV471" s="143"/>
      <c r="AW471" s="144"/>
      <c r="AX471" s="145"/>
      <c r="AY471" s="138"/>
      <c r="AZ471" s="138"/>
      <c r="BA471" s="138"/>
      <c r="BB471" s="138"/>
      <c r="BC471" s="138"/>
      <c r="BD471" s="138"/>
      <c r="BE471" s="138"/>
    </row>
    <row r="472" spans="1:57" s="139" customFormat="1" ht="30">
      <c r="A472" s="140" t="s">
        <v>6</v>
      </c>
      <c r="B472" s="129">
        <v>470</v>
      </c>
      <c r="C472" s="141" t="s">
        <v>1424</v>
      </c>
      <c r="D472" s="129" t="s">
        <v>3105</v>
      </c>
      <c r="E472" s="129" t="s">
        <v>1425</v>
      </c>
      <c r="F472" s="129" t="s">
        <v>1426</v>
      </c>
      <c r="G472" s="141" t="s">
        <v>703</v>
      </c>
      <c r="H472" s="141" t="s">
        <v>1427</v>
      </c>
      <c r="I472" s="141" t="s">
        <v>1423</v>
      </c>
      <c r="J472" s="129" t="s">
        <v>971</v>
      </c>
      <c r="K472" s="129" t="s">
        <v>971</v>
      </c>
      <c r="L472" s="129" t="s">
        <v>712</v>
      </c>
      <c r="M472" s="129" t="s">
        <v>712</v>
      </c>
      <c r="N472" s="141">
        <v>100</v>
      </c>
      <c r="O472" s="129" t="s">
        <v>712</v>
      </c>
      <c r="P472" s="129" t="s">
        <v>712</v>
      </c>
      <c r="Q472" s="141">
        <v>8</v>
      </c>
      <c r="R472" s="141">
        <v>15</v>
      </c>
      <c r="S472" s="141">
        <v>8</v>
      </c>
      <c r="T472" s="141">
        <v>8</v>
      </c>
      <c r="U472" s="141" t="s">
        <v>713</v>
      </c>
      <c r="V472" s="141" t="s">
        <v>714</v>
      </c>
      <c r="W472" s="141" t="s">
        <v>703</v>
      </c>
      <c r="X472" s="141" t="s">
        <v>703</v>
      </c>
      <c r="Y472" s="141" t="s">
        <v>1143</v>
      </c>
      <c r="Z472" s="129" t="s">
        <v>703</v>
      </c>
      <c r="AA472" s="141">
        <v>0.5</v>
      </c>
      <c r="AB472" s="141" t="s">
        <v>703</v>
      </c>
      <c r="AC472" s="141" t="s">
        <v>703</v>
      </c>
      <c r="AD472" s="141" t="s">
        <v>703</v>
      </c>
      <c r="AE472" s="141" t="s">
        <v>703</v>
      </c>
      <c r="AF472" s="141">
        <v>0</v>
      </c>
      <c r="AG472" s="141">
        <v>0</v>
      </c>
      <c r="AH472" s="141">
        <v>127</v>
      </c>
      <c r="AI472" s="141" t="s">
        <v>1428</v>
      </c>
      <c r="AJ472" s="164" t="s">
        <v>2165</v>
      </c>
      <c r="AK472" s="141" t="s">
        <v>665</v>
      </c>
      <c r="AL472" s="141" t="s">
        <v>703</v>
      </c>
      <c r="AM472" s="143"/>
      <c r="AN472" s="143"/>
      <c r="AO472" s="143"/>
      <c r="AP472" s="143"/>
      <c r="AQ472" s="143"/>
      <c r="AR472" s="143"/>
      <c r="AS472" s="143"/>
      <c r="AT472" s="143"/>
      <c r="AU472" s="143"/>
      <c r="AV472" s="143"/>
      <c r="AW472" s="144"/>
      <c r="AX472" s="145" t="s">
        <v>685</v>
      </c>
      <c r="AY472" s="138"/>
      <c r="AZ472" s="138"/>
      <c r="BA472" s="138"/>
      <c r="BB472" s="138"/>
      <c r="BC472" s="138"/>
      <c r="BD472" s="138"/>
      <c r="BE472" s="138"/>
    </row>
    <row r="473" spans="1:57" s="139" customFormat="1" ht="72">
      <c r="A473" s="140" t="s">
        <v>6</v>
      </c>
      <c r="B473" s="129">
        <v>471</v>
      </c>
      <c r="C473" s="141" t="s">
        <v>1429</v>
      </c>
      <c r="D473" s="141" t="s">
        <v>3138</v>
      </c>
      <c r="E473" s="169" t="s">
        <v>2713</v>
      </c>
      <c r="F473" s="141" t="s">
        <v>1430</v>
      </c>
      <c r="G473" s="141" t="s">
        <v>703</v>
      </c>
      <c r="H473" s="141" t="s">
        <v>243</v>
      </c>
      <c r="I473" s="141" t="s">
        <v>1431</v>
      </c>
      <c r="J473" s="129" t="s">
        <v>971</v>
      </c>
      <c r="K473" s="129" t="s">
        <v>971</v>
      </c>
      <c r="L473" s="141" t="s">
        <v>703</v>
      </c>
      <c r="M473" s="141" t="s">
        <v>703</v>
      </c>
      <c r="N473" s="141">
        <v>10</v>
      </c>
      <c r="O473" s="141" t="s">
        <v>703</v>
      </c>
      <c r="P473" s="129" t="s">
        <v>703</v>
      </c>
      <c r="Q473" s="173">
        <v>8</v>
      </c>
      <c r="R473" s="141">
        <v>7</v>
      </c>
      <c r="S473" s="141">
        <v>8</v>
      </c>
      <c r="T473" s="141">
        <v>16</v>
      </c>
      <c r="U473" s="141" t="s">
        <v>240</v>
      </c>
      <c r="V473" s="141" t="s">
        <v>1432</v>
      </c>
      <c r="W473" s="129" t="s">
        <v>703</v>
      </c>
      <c r="X473" s="141" t="s">
        <v>703</v>
      </c>
      <c r="Y473" s="141" t="s">
        <v>715</v>
      </c>
      <c r="Z473" s="141" t="s">
        <v>703</v>
      </c>
      <c r="AA473" s="141">
        <v>0.1</v>
      </c>
      <c r="AB473" s="141" t="s">
        <v>703</v>
      </c>
      <c r="AC473" s="141" t="s">
        <v>703</v>
      </c>
      <c r="AD473" s="141" t="s">
        <v>703</v>
      </c>
      <c r="AE473" s="141" t="s">
        <v>703</v>
      </c>
      <c r="AF473" s="141">
        <v>0</v>
      </c>
      <c r="AG473" s="141">
        <v>-780</v>
      </c>
      <c r="AH473" s="141">
        <v>779.9</v>
      </c>
      <c r="AI473" s="141" t="s">
        <v>1433</v>
      </c>
      <c r="AJ473" s="164" t="s">
        <v>2166</v>
      </c>
      <c r="AK473" s="141" t="s">
        <v>665</v>
      </c>
      <c r="AL473" s="141" t="s">
        <v>1434</v>
      </c>
      <c r="AM473" s="143" t="s">
        <v>705</v>
      </c>
      <c r="AN473" s="143" t="s">
        <v>705</v>
      </c>
      <c r="AO473" s="143"/>
      <c r="AP473" s="143"/>
      <c r="AQ473" s="143"/>
      <c r="AR473" s="141" t="s">
        <v>1435</v>
      </c>
      <c r="AS473" s="143"/>
      <c r="AT473" s="160" t="s">
        <v>2711</v>
      </c>
      <c r="AU473" s="143"/>
      <c r="AV473" s="160" t="s">
        <v>2712</v>
      </c>
      <c r="AW473" s="259"/>
      <c r="AX473" s="145"/>
      <c r="AY473" s="138"/>
      <c r="AZ473" s="138"/>
      <c r="BA473" s="138"/>
      <c r="BB473" s="138"/>
      <c r="BC473" s="138"/>
      <c r="BD473" s="138"/>
      <c r="BE473" s="138"/>
    </row>
    <row r="474" spans="1:57" s="139" customFormat="1" ht="30">
      <c r="A474" s="140" t="s">
        <v>6</v>
      </c>
      <c r="B474" s="129">
        <v>472</v>
      </c>
      <c r="C474" s="141" t="s">
        <v>1429</v>
      </c>
      <c r="D474" s="141" t="s">
        <v>3139</v>
      </c>
      <c r="E474" s="169" t="s">
        <v>2714</v>
      </c>
      <c r="F474" s="141" t="s">
        <v>1436</v>
      </c>
      <c r="G474" s="141" t="s">
        <v>703</v>
      </c>
      <c r="H474" s="141" t="s">
        <v>243</v>
      </c>
      <c r="I474" s="141" t="s">
        <v>1431</v>
      </c>
      <c r="J474" s="129" t="s">
        <v>971</v>
      </c>
      <c r="K474" s="129" t="s">
        <v>971</v>
      </c>
      <c r="L474" s="141" t="s">
        <v>703</v>
      </c>
      <c r="M474" s="141" t="s">
        <v>703</v>
      </c>
      <c r="N474" s="141">
        <v>10</v>
      </c>
      <c r="O474" s="141" t="s">
        <v>703</v>
      </c>
      <c r="P474" s="129" t="s">
        <v>703</v>
      </c>
      <c r="Q474" s="173">
        <v>8</v>
      </c>
      <c r="R474" s="141">
        <v>23</v>
      </c>
      <c r="S474" s="141">
        <v>16</v>
      </c>
      <c r="T474" s="141">
        <v>8</v>
      </c>
      <c r="U474" s="141" t="s">
        <v>240</v>
      </c>
      <c r="V474" s="141" t="s">
        <v>714</v>
      </c>
      <c r="W474" s="129" t="s">
        <v>703</v>
      </c>
      <c r="X474" s="141" t="s">
        <v>703</v>
      </c>
      <c r="Y474" s="141" t="s">
        <v>715</v>
      </c>
      <c r="Z474" s="141" t="s">
        <v>703</v>
      </c>
      <c r="AA474" s="141">
        <v>4</v>
      </c>
      <c r="AB474" s="141" t="s">
        <v>703</v>
      </c>
      <c r="AC474" s="141" t="s">
        <v>703</v>
      </c>
      <c r="AD474" s="141" t="s">
        <v>703</v>
      </c>
      <c r="AE474" s="141" t="s">
        <v>703</v>
      </c>
      <c r="AF474" s="141">
        <v>0</v>
      </c>
      <c r="AG474" s="141">
        <v>0</v>
      </c>
      <c r="AH474" s="141">
        <v>1016</v>
      </c>
      <c r="AI474" s="141" t="s">
        <v>1437</v>
      </c>
      <c r="AJ474" s="164" t="s">
        <v>2167</v>
      </c>
      <c r="AK474" s="141" t="s">
        <v>665</v>
      </c>
      <c r="AL474" s="143" t="s">
        <v>1438</v>
      </c>
      <c r="AM474" s="143" t="s">
        <v>705</v>
      </c>
      <c r="AN474" s="143"/>
      <c r="AO474" s="143"/>
      <c r="AP474" s="143"/>
      <c r="AQ474" s="143"/>
      <c r="AR474" s="141" t="s">
        <v>705</v>
      </c>
      <c r="AS474" s="143"/>
      <c r="AT474" s="160" t="s">
        <v>2711</v>
      </c>
      <c r="AU474" s="143"/>
      <c r="AV474" s="143"/>
      <c r="AW474" s="144"/>
      <c r="AX474" s="145"/>
      <c r="AY474" s="138"/>
      <c r="AZ474" s="138"/>
      <c r="BA474" s="138"/>
      <c r="BB474" s="138"/>
      <c r="BC474" s="138"/>
      <c r="BD474" s="138"/>
      <c r="BE474" s="138"/>
    </row>
    <row r="475" spans="1:57" s="139" customFormat="1" ht="31">
      <c r="A475" s="140" t="s">
        <v>6</v>
      </c>
      <c r="B475" s="129">
        <v>473</v>
      </c>
      <c r="C475" s="141" t="s">
        <v>1429</v>
      </c>
      <c r="D475" s="141" t="s">
        <v>3139</v>
      </c>
      <c r="E475" s="141" t="s">
        <v>1439</v>
      </c>
      <c r="F475" s="141" t="s">
        <v>1440</v>
      </c>
      <c r="G475" s="141" t="s">
        <v>703</v>
      </c>
      <c r="H475" s="141" t="s">
        <v>243</v>
      </c>
      <c r="I475" s="141" t="s">
        <v>1431</v>
      </c>
      <c r="J475" s="129" t="s">
        <v>971</v>
      </c>
      <c r="K475" s="129" t="s">
        <v>971</v>
      </c>
      <c r="L475" s="141" t="s">
        <v>703</v>
      </c>
      <c r="M475" s="141" t="s">
        <v>703</v>
      </c>
      <c r="N475" s="141">
        <v>10</v>
      </c>
      <c r="O475" s="141" t="s">
        <v>703</v>
      </c>
      <c r="P475" s="129" t="s">
        <v>703</v>
      </c>
      <c r="Q475" s="173">
        <v>8</v>
      </c>
      <c r="R475" s="141">
        <v>31</v>
      </c>
      <c r="S475" s="141">
        <v>31</v>
      </c>
      <c r="T475" s="141">
        <v>1</v>
      </c>
      <c r="U475" s="141" t="s">
        <v>240</v>
      </c>
      <c r="V475" s="141" t="s">
        <v>714</v>
      </c>
      <c r="W475" s="129" t="s">
        <v>703</v>
      </c>
      <c r="X475" s="141" t="s">
        <v>703</v>
      </c>
      <c r="Y475" s="141" t="s">
        <v>1441</v>
      </c>
      <c r="Z475" s="141" t="s">
        <v>703</v>
      </c>
      <c r="AA475" s="141">
        <v>1</v>
      </c>
      <c r="AB475" s="141" t="s">
        <v>703</v>
      </c>
      <c r="AC475" s="141" t="s">
        <v>703</v>
      </c>
      <c r="AD475" s="141" t="s">
        <v>703</v>
      </c>
      <c r="AE475" s="141" t="s">
        <v>703</v>
      </c>
      <c r="AF475" s="141">
        <v>0</v>
      </c>
      <c r="AG475" s="141">
        <v>0</v>
      </c>
      <c r="AH475" s="141">
        <v>1</v>
      </c>
      <c r="AI475" s="141" t="s">
        <v>712</v>
      </c>
      <c r="AJ475" s="164" t="s">
        <v>202</v>
      </c>
      <c r="AK475" s="141" t="s">
        <v>665</v>
      </c>
      <c r="AL475" s="141" t="s">
        <v>1442</v>
      </c>
      <c r="AM475" s="143" t="s">
        <v>705</v>
      </c>
      <c r="AN475" s="143"/>
      <c r="AO475" s="143"/>
      <c r="AP475" s="143"/>
      <c r="AQ475" s="143"/>
      <c r="AR475" s="141" t="s">
        <v>1435</v>
      </c>
      <c r="AS475" s="143"/>
      <c r="AT475" s="160" t="s">
        <v>2711</v>
      </c>
      <c r="AU475" s="143"/>
      <c r="AV475" s="143"/>
      <c r="AW475" s="144"/>
      <c r="AX475" s="145"/>
      <c r="AY475" s="138"/>
      <c r="AZ475" s="138"/>
      <c r="BA475" s="138"/>
      <c r="BB475" s="138"/>
      <c r="BC475" s="138"/>
      <c r="BD475" s="138"/>
      <c r="BE475" s="138"/>
    </row>
    <row r="476" spans="1:57" s="139" customFormat="1" ht="30">
      <c r="A476" s="140" t="s">
        <v>6</v>
      </c>
      <c r="B476" s="129">
        <v>474</v>
      </c>
      <c r="C476" s="141" t="s">
        <v>1429</v>
      </c>
      <c r="D476" s="141" t="s">
        <v>3140</v>
      </c>
      <c r="E476" s="141" t="s">
        <v>1444</v>
      </c>
      <c r="F476" s="141" t="s">
        <v>1445</v>
      </c>
      <c r="G476" s="141" t="s">
        <v>703</v>
      </c>
      <c r="H476" s="141" t="s">
        <v>243</v>
      </c>
      <c r="I476" s="141" t="s">
        <v>1431</v>
      </c>
      <c r="J476" s="129" t="s">
        <v>971</v>
      </c>
      <c r="K476" s="129" t="s">
        <v>971</v>
      </c>
      <c r="L476" s="141" t="s">
        <v>703</v>
      </c>
      <c r="M476" s="141" t="s">
        <v>703</v>
      </c>
      <c r="N476" s="141">
        <v>10</v>
      </c>
      <c r="O476" s="141" t="s">
        <v>703</v>
      </c>
      <c r="P476" s="129" t="s">
        <v>703</v>
      </c>
      <c r="Q476" s="173">
        <v>8</v>
      </c>
      <c r="R476" s="141">
        <v>30</v>
      </c>
      <c r="S476" s="141">
        <v>30</v>
      </c>
      <c r="T476" s="141">
        <v>1</v>
      </c>
      <c r="U476" s="141" t="s">
        <v>240</v>
      </c>
      <c r="V476" s="141" t="s">
        <v>714</v>
      </c>
      <c r="W476" s="129" t="s">
        <v>703</v>
      </c>
      <c r="X476" s="141" t="s">
        <v>703</v>
      </c>
      <c r="Y476" s="141" t="s">
        <v>715</v>
      </c>
      <c r="Z476" s="141" t="s">
        <v>703</v>
      </c>
      <c r="AA476" s="141">
        <v>1</v>
      </c>
      <c r="AB476" s="141" t="s">
        <v>703</v>
      </c>
      <c r="AC476" s="141" t="s">
        <v>703</v>
      </c>
      <c r="AD476" s="141" t="s">
        <v>703</v>
      </c>
      <c r="AE476" s="141" t="s">
        <v>703</v>
      </c>
      <c r="AF476" s="141">
        <v>0</v>
      </c>
      <c r="AG476" s="141">
        <v>0</v>
      </c>
      <c r="AH476" s="141">
        <v>1</v>
      </c>
      <c r="AI476" s="141" t="s">
        <v>712</v>
      </c>
      <c r="AJ476" s="164" t="s">
        <v>244</v>
      </c>
      <c r="AK476" s="141" t="s">
        <v>665</v>
      </c>
      <c r="AL476" s="143" t="s">
        <v>703</v>
      </c>
      <c r="AM476" s="143"/>
      <c r="AN476" s="143"/>
      <c r="AO476" s="143"/>
      <c r="AP476" s="143"/>
      <c r="AQ476" s="143"/>
      <c r="AR476" s="141" t="s">
        <v>1435</v>
      </c>
      <c r="AS476" s="143"/>
      <c r="AT476" s="160" t="s">
        <v>2711</v>
      </c>
      <c r="AU476" s="143"/>
      <c r="AV476" s="143"/>
      <c r="AW476" s="144"/>
      <c r="AX476" s="145"/>
      <c r="AY476" s="138"/>
      <c r="AZ476" s="138"/>
      <c r="BA476" s="138"/>
      <c r="BB476" s="138"/>
      <c r="BC476" s="138"/>
      <c r="BD476" s="138"/>
      <c r="BE476" s="138"/>
    </row>
    <row r="477" spans="1:57" s="139" customFormat="1" ht="30">
      <c r="A477" s="140" t="s">
        <v>6</v>
      </c>
      <c r="B477" s="129">
        <v>475</v>
      </c>
      <c r="C477" s="141" t="s">
        <v>1429</v>
      </c>
      <c r="D477" s="141" t="s">
        <v>3105</v>
      </c>
      <c r="E477" s="141" t="s">
        <v>1446</v>
      </c>
      <c r="F477" s="141" t="s">
        <v>1447</v>
      </c>
      <c r="G477" s="141" t="s">
        <v>703</v>
      </c>
      <c r="H477" s="141" t="s">
        <v>243</v>
      </c>
      <c r="I477" s="141" t="s">
        <v>1431</v>
      </c>
      <c r="J477" s="129" t="s">
        <v>971</v>
      </c>
      <c r="K477" s="129" t="s">
        <v>971</v>
      </c>
      <c r="L477" s="141" t="s">
        <v>703</v>
      </c>
      <c r="M477" s="141" t="s">
        <v>703</v>
      </c>
      <c r="N477" s="141">
        <v>10</v>
      </c>
      <c r="O477" s="141" t="s">
        <v>703</v>
      </c>
      <c r="P477" s="129" t="s">
        <v>703</v>
      </c>
      <c r="Q477" s="173">
        <v>8</v>
      </c>
      <c r="R477" s="141">
        <v>29</v>
      </c>
      <c r="S477" s="141">
        <v>29</v>
      </c>
      <c r="T477" s="141">
        <v>1</v>
      </c>
      <c r="U477" s="141" t="s">
        <v>240</v>
      </c>
      <c r="V477" s="141" t="s">
        <v>714</v>
      </c>
      <c r="W477" s="129" t="s">
        <v>703</v>
      </c>
      <c r="X477" s="141" t="s">
        <v>703</v>
      </c>
      <c r="Y477" s="141" t="s">
        <v>715</v>
      </c>
      <c r="Z477" s="141" t="s">
        <v>703</v>
      </c>
      <c r="AA477" s="141">
        <v>1</v>
      </c>
      <c r="AB477" s="141" t="s">
        <v>703</v>
      </c>
      <c r="AC477" s="141" t="s">
        <v>703</v>
      </c>
      <c r="AD477" s="141" t="s">
        <v>703</v>
      </c>
      <c r="AE477" s="141" t="s">
        <v>703</v>
      </c>
      <c r="AF477" s="141">
        <v>0</v>
      </c>
      <c r="AG477" s="141">
        <v>0</v>
      </c>
      <c r="AH477" s="141">
        <v>1</v>
      </c>
      <c r="AI477" s="141" t="s">
        <v>712</v>
      </c>
      <c r="AJ477" s="164" t="s">
        <v>245</v>
      </c>
      <c r="AK477" s="141" t="s">
        <v>665</v>
      </c>
      <c r="AL477" s="143" t="s">
        <v>703</v>
      </c>
      <c r="AM477" s="143"/>
      <c r="AN477" s="143"/>
      <c r="AO477" s="143"/>
      <c r="AP477" s="143"/>
      <c r="AQ477" s="143"/>
      <c r="AR477" s="141"/>
      <c r="AS477" s="143"/>
      <c r="AT477" s="143"/>
      <c r="AU477" s="143"/>
      <c r="AV477" s="143"/>
      <c r="AW477" s="144"/>
      <c r="AX477" s="145" t="s">
        <v>685</v>
      </c>
      <c r="AY477" s="138"/>
      <c r="AZ477" s="138"/>
      <c r="BA477" s="138"/>
      <c r="BB477" s="138"/>
      <c r="BC477" s="138"/>
      <c r="BD477" s="138"/>
      <c r="BE477" s="138"/>
    </row>
    <row r="478" spans="1:57" s="139" customFormat="1" ht="25">
      <c r="A478" s="140" t="s">
        <v>6</v>
      </c>
      <c r="B478" s="129">
        <v>476</v>
      </c>
      <c r="C478" s="141" t="s">
        <v>1429</v>
      </c>
      <c r="D478" s="141" t="s">
        <v>3105</v>
      </c>
      <c r="E478" s="141" t="s">
        <v>1448</v>
      </c>
      <c r="F478" s="141" t="s">
        <v>1449</v>
      </c>
      <c r="G478" s="141" t="s">
        <v>703</v>
      </c>
      <c r="H478" s="141" t="s">
        <v>243</v>
      </c>
      <c r="I478" s="141" t="s">
        <v>1431</v>
      </c>
      <c r="J478" s="129" t="s">
        <v>971</v>
      </c>
      <c r="K478" s="129" t="s">
        <v>971</v>
      </c>
      <c r="L478" s="141" t="s">
        <v>703</v>
      </c>
      <c r="M478" s="141" t="s">
        <v>703</v>
      </c>
      <c r="N478" s="141">
        <v>10</v>
      </c>
      <c r="O478" s="141" t="s">
        <v>703</v>
      </c>
      <c r="P478" s="129" t="s">
        <v>703</v>
      </c>
      <c r="Q478" s="173">
        <v>8</v>
      </c>
      <c r="R478" s="141">
        <v>28</v>
      </c>
      <c r="S478" s="141">
        <v>24</v>
      </c>
      <c r="T478" s="141">
        <v>5</v>
      </c>
      <c r="U478" s="141" t="s">
        <v>240</v>
      </c>
      <c r="V478" s="141" t="s">
        <v>714</v>
      </c>
      <c r="W478" s="129" t="s">
        <v>703</v>
      </c>
      <c r="X478" s="141" t="s">
        <v>703</v>
      </c>
      <c r="Y478" s="141" t="s">
        <v>715</v>
      </c>
      <c r="Z478" s="141" t="s">
        <v>703</v>
      </c>
      <c r="AA478" s="141">
        <v>1</v>
      </c>
      <c r="AB478" s="141" t="s">
        <v>703</v>
      </c>
      <c r="AC478" s="141" t="s">
        <v>703</v>
      </c>
      <c r="AD478" s="141" t="s">
        <v>703</v>
      </c>
      <c r="AE478" s="141" t="s">
        <v>703</v>
      </c>
      <c r="AF478" s="141">
        <v>0</v>
      </c>
      <c r="AG478" s="141">
        <v>0</v>
      </c>
      <c r="AH478" s="141">
        <v>31</v>
      </c>
      <c r="AI478" s="141" t="s">
        <v>712</v>
      </c>
      <c r="AJ478" s="164" t="s">
        <v>2168</v>
      </c>
      <c r="AK478" s="141" t="s">
        <v>665</v>
      </c>
      <c r="AL478" s="143" t="s">
        <v>703</v>
      </c>
      <c r="AM478" s="143"/>
      <c r="AN478" s="143"/>
      <c r="AO478" s="143"/>
      <c r="AP478" s="143"/>
      <c r="AQ478" s="143"/>
      <c r="AR478" s="141"/>
      <c r="AS478" s="143"/>
      <c r="AT478" s="143"/>
      <c r="AU478" s="143"/>
      <c r="AV478" s="143"/>
      <c r="AW478" s="144"/>
      <c r="AX478" s="145" t="s">
        <v>685</v>
      </c>
      <c r="AY478" s="138"/>
      <c r="AZ478" s="138"/>
      <c r="BA478" s="138"/>
      <c r="BB478" s="138"/>
      <c r="BC478" s="138"/>
      <c r="BD478" s="138"/>
      <c r="BE478" s="138"/>
    </row>
    <row r="479" spans="1:57" s="139" customFormat="1" ht="44">
      <c r="A479" s="140" t="s">
        <v>6</v>
      </c>
      <c r="B479" s="129">
        <v>477</v>
      </c>
      <c r="C479" s="141" t="s">
        <v>1429</v>
      </c>
      <c r="D479" s="141" t="s">
        <v>3141</v>
      </c>
      <c r="E479" s="141" t="s">
        <v>1450</v>
      </c>
      <c r="F479" s="141" t="s">
        <v>1451</v>
      </c>
      <c r="G479" s="141" t="s">
        <v>703</v>
      </c>
      <c r="H479" s="141" t="s">
        <v>243</v>
      </c>
      <c r="I479" s="141" t="s">
        <v>1431</v>
      </c>
      <c r="J479" s="129" t="s">
        <v>971</v>
      </c>
      <c r="K479" s="129" t="s">
        <v>971</v>
      </c>
      <c r="L479" s="141" t="s">
        <v>703</v>
      </c>
      <c r="M479" s="141" t="s">
        <v>703</v>
      </c>
      <c r="N479" s="141">
        <v>10</v>
      </c>
      <c r="O479" s="141" t="s">
        <v>703</v>
      </c>
      <c r="P479" s="129" t="s">
        <v>703</v>
      </c>
      <c r="Q479" s="173">
        <v>8</v>
      </c>
      <c r="R479" s="141">
        <v>39</v>
      </c>
      <c r="S479" s="141">
        <v>36</v>
      </c>
      <c r="T479" s="141">
        <v>4</v>
      </c>
      <c r="U479" s="141" t="s">
        <v>240</v>
      </c>
      <c r="V479" s="141" t="s">
        <v>714</v>
      </c>
      <c r="W479" s="129" t="s">
        <v>703</v>
      </c>
      <c r="X479" s="141" t="s">
        <v>703</v>
      </c>
      <c r="Y479" s="141" t="s">
        <v>715</v>
      </c>
      <c r="Z479" s="141" t="s">
        <v>703</v>
      </c>
      <c r="AA479" s="141">
        <v>1</v>
      </c>
      <c r="AB479" s="141" t="s">
        <v>703</v>
      </c>
      <c r="AC479" s="141" t="s">
        <v>703</v>
      </c>
      <c r="AD479" s="141" t="s">
        <v>703</v>
      </c>
      <c r="AE479" s="141" t="s">
        <v>703</v>
      </c>
      <c r="AF479" s="141">
        <v>0</v>
      </c>
      <c r="AG479" s="141">
        <v>0</v>
      </c>
      <c r="AH479" s="141">
        <v>15</v>
      </c>
      <c r="AI479" s="141" t="s">
        <v>703</v>
      </c>
      <c r="AJ479" s="164" t="s">
        <v>2123</v>
      </c>
      <c r="AK479" s="141" t="s">
        <v>665</v>
      </c>
      <c r="AL479" s="143" t="s">
        <v>703</v>
      </c>
      <c r="AM479" s="143"/>
      <c r="AN479" s="160" t="s">
        <v>1983</v>
      </c>
      <c r="AO479" s="143"/>
      <c r="AP479" s="143"/>
      <c r="AQ479" s="143"/>
      <c r="AR479" s="141" t="s">
        <v>1435</v>
      </c>
      <c r="AS479" s="143"/>
      <c r="AT479" s="143"/>
      <c r="AU479" s="143"/>
      <c r="AV479" s="143"/>
      <c r="AW479" s="144"/>
      <c r="AX479" s="145"/>
      <c r="AY479" s="138"/>
      <c r="AZ479" s="138"/>
      <c r="BA479" s="138"/>
      <c r="BB479" s="138"/>
      <c r="BC479" s="138"/>
      <c r="BD479" s="138"/>
      <c r="BE479" s="138"/>
    </row>
    <row r="480" spans="1:57" s="139" customFormat="1" ht="72">
      <c r="A480" s="140" t="s">
        <v>6</v>
      </c>
      <c r="B480" s="129">
        <v>478</v>
      </c>
      <c r="C480" s="141" t="s">
        <v>1429</v>
      </c>
      <c r="D480" s="141" t="s">
        <v>3109</v>
      </c>
      <c r="E480" s="141" t="s">
        <v>1452</v>
      </c>
      <c r="F480" s="169" t="s">
        <v>1994</v>
      </c>
      <c r="G480" s="141" t="s">
        <v>703</v>
      </c>
      <c r="H480" s="141" t="s">
        <v>243</v>
      </c>
      <c r="I480" s="141" t="s">
        <v>1431</v>
      </c>
      <c r="J480" s="129" t="s">
        <v>971</v>
      </c>
      <c r="K480" s="129" t="s">
        <v>971</v>
      </c>
      <c r="L480" s="141" t="s">
        <v>703</v>
      </c>
      <c r="M480" s="141" t="s">
        <v>703</v>
      </c>
      <c r="N480" s="141">
        <v>10</v>
      </c>
      <c r="O480" s="141" t="s">
        <v>703</v>
      </c>
      <c r="P480" s="129" t="s">
        <v>703</v>
      </c>
      <c r="Q480" s="173">
        <v>8</v>
      </c>
      <c r="R480" s="141">
        <v>35</v>
      </c>
      <c r="S480" s="141">
        <v>32</v>
      </c>
      <c r="T480" s="141">
        <v>4</v>
      </c>
      <c r="U480" s="141" t="s">
        <v>240</v>
      </c>
      <c r="V480" s="141" t="s">
        <v>714</v>
      </c>
      <c r="W480" s="129" t="s">
        <v>703</v>
      </c>
      <c r="X480" s="141" t="s">
        <v>703</v>
      </c>
      <c r="Y480" s="141" t="s">
        <v>715</v>
      </c>
      <c r="Z480" s="141" t="s">
        <v>703</v>
      </c>
      <c r="AA480" s="141">
        <v>1</v>
      </c>
      <c r="AB480" s="141" t="s">
        <v>703</v>
      </c>
      <c r="AC480" s="141" t="s">
        <v>703</v>
      </c>
      <c r="AD480" s="141" t="s">
        <v>703</v>
      </c>
      <c r="AE480" s="141" t="s">
        <v>703</v>
      </c>
      <c r="AF480" s="141">
        <v>0</v>
      </c>
      <c r="AG480" s="141">
        <v>0</v>
      </c>
      <c r="AH480" s="141">
        <v>15</v>
      </c>
      <c r="AI480" s="141" t="s">
        <v>703</v>
      </c>
      <c r="AJ480" s="164" t="s">
        <v>2123</v>
      </c>
      <c r="AK480" s="141" t="s">
        <v>665</v>
      </c>
      <c r="AL480" s="143" t="s">
        <v>703</v>
      </c>
      <c r="AM480" s="143"/>
      <c r="AN480" s="160"/>
      <c r="AO480" s="143"/>
      <c r="AP480" s="143"/>
      <c r="AQ480" s="143"/>
      <c r="AR480" s="141" t="s">
        <v>705</v>
      </c>
      <c r="AS480" s="143"/>
      <c r="AT480" s="143"/>
      <c r="AU480" s="143"/>
      <c r="AV480" s="143"/>
      <c r="AW480" s="144"/>
      <c r="AX480" s="145"/>
      <c r="AY480" s="138"/>
      <c r="AZ480" s="138"/>
      <c r="BA480" s="138"/>
      <c r="BB480" s="138"/>
      <c r="BC480" s="138"/>
      <c r="BD480" s="138"/>
      <c r="BE480" s="138"/>
    </row>
    <row r="481" spans="1:57" s="139" customFormat="1" ht="44">
      <c r="A481" s="140" t="s">
        <v>6</v>
      </c>
      <c r="B481" s="129">
        <v>479</v>
      </c>
      <c r="C481" s="141" t="s">
        <v>1453</v>
      </c>
      <c r="D481" s="129"/>
      <c r="E481" s="141" t="s">
        <v>1454</v>
      </c>
      <c r="F481" s="141" t="s">
        <v>1273</v>
      </c>
      <c r="G481" s="141" t="s">
        <v>703</v>
      </c>
      <c r="H481" s="141" t="s">
        <v>1455</v>
      </c>
      <c r="I481" s="129" t="s">
        <v>1456</v>
      </c>
      <c r="J481" s="129" t="s">
        <v>971</v>
      </c>
      <c r="K481" s="129" t="s">
        <v>971</v>
      </c>
      <c r="L481" s="129" t="s">
        <v>712</v>
      </c>
      <c r="M481" s="129" t="s">
        <v>712</v>
      </c>
      <c r="N481" s="141">
        <v>100</v>
      </c>
      <c r="O481" s="129" t="s">
        <v>1457</v>
      </c>
      <c r="P481" s="129" t="s">
        <v>703</v>
      </c>
      <c r="Q481" s="129">
        <v>8</v>
      </c>
      <c r="R481" s="141">
        <v>7</v>
      </c>
      <c r="S481" s="141">
        <v>0</v>
      </c>
      <c r="T481" s="141">
        <v>8</v>
      </c>
      <c r="U481" s="141" t="s">
        <v>713</v>
      </c>
      <c r="V481" s="141" t="s">
        <v>714</v>
      </c>
      <c r="W481" s="141" t="s">
        <v>1458</v>
      </c>
      <c r="X481" s="141" t="s">
        <v>703</v>
      </c>
      <c r="Y481" s="141" t="s">
        <v>715</v>
      </c>
      <c r="Z481" s="129" t="s">
        <v>194</v>
      </c>
      <c r="AA481" s="141">
        <v>1</v>
      </c>
      <c r="AB481" s="141" t="s">
        <v>703</v>
      </c>
      <c r="AC481" s="141" t="s">
        <v>703</v>
      </c>
      <c r="AD481" s="141" t="s">
        <v>703</v>
      </c>
      <c r="AE481" s="141" t="s">
        <v>703</v>
      </c>
      <c r="AF481" s="141">
        <v>0</v>
      </c>
      <c r="AG481" s="141">
        <v>0</v>
      </c>
      <c r="AH481" s="141">
        <v>255</v>
      </c>
      <c r="AI481" s="141" t="s">
        <v>837</v>
      </c>
      <c r="AJ481" s="159" t="s">
        <v>2121</v>
      </c>
      <c r="AK481" s="141" t="s">
        <v>665</v>
      </c>
      <c r="AL481" s="141" t="s">
        <v>2568</v>
      </c>
      <c r="AM481" s="143"/>
      <c r="AN481" s="160"/>
      <c r="AO481" s="143"/>
      <c r="AP481" s="143"/>
      <c r="AQ481" s="143"/>
      <c r="AR481" s="143"/>
      <c r="AS481" s="143"/>
      <c r="AT481" s="143"/>
      <c r="AU481" s="143"/>
      <c r="AV481" s="143"/>
      <c r="AW481" s="144"/>
      <c r="AX481" s="145"/>
      <c r="AY481" s="138"/>
      <c r="AZ481" s="138"/>
      <c r="BA481" s="138"/>
      <c r="BB481" s="138"/>
      <c r="BC481" s="138"/>
      <c r="BD481" s="138"/>
      <c r="BE481" s="138"/>
    </row>
    <row r="482" spans="1:57" s="139" customFormat="1" ht="114">
      <c r="A482" s="140" t="s">
        <v>6</v>
      </c>
      <c r="B482" s="129">
        <v>480</v>
      </c>
      <c r="C482" s="141" t="s">
        <v>1453</v>
      </c>
      <c r="D482" s="141"/>
      <c r="E482" s="129" t="s">
        <v>1459</v>
      </c>
      <c r="F482" s="129" t="s">
        <v>1460</v>
      </c>
      <c r="G482" s="129" t="s">
        <v>1461</v>
      </c>
      <c r="H482" s="129" t="s">
        <v>1455</v>
      </c>
      <c r="I482" s="129" t="s">
        <v>1456</v>
      </c>
      <c r="J482" s="129" t="s">
        <v>971</v>
      </c>
      <c r="K482" s="129" t="s">
        <v>971</v>
      </c>
      <c r="L482" s="141" t="s">
        <v>703</v>
      </c>
      <c r="M482" s="141" t="s">
        <v>703</v>
      </c>
      <c r="N482" s="141">
        <v>100</v>
      </c>
      <c r="O482" s="129" t="s">
        <v>1457</v>
      </c>
      <c r="P482" s="129" t="s">
        <v>703</v>
      </c>
      <c r="Q482" s="129">
        <v>8</v>
      </c>
      <c r="R482" s="141">
        <v>15</v>
      </c>
      <c r="S482" s="141">
        <v>13</v>
      </c>
      <c r="T482" s="129">
        <v>3</v>
      </c>
      <c r="U482" s="141" t="s">
        <v>713</v>
      </c>
      <c r="V482" s="141" t="s">
        <v>714</v>
      </c>
      <c r="W482" s="141" t="s">
        <v>1458</v>
      </c>
      <c r="X482" s="141" t="s">
        <v>703</v>
      </c>
      <c r="Y482" s="141" t="s">
        <v>715</v>
      </c>
      <c r="Z482" s="141" t="s">
        <v>1462</v>
      </c>
      <c r="AA482" s="141">
        <v>1</v>
      </c>
      <c r="AB482" s="141" t="s">
        <v>703</v>
      </c>
      <c r="AC482" s="141" t="s">
        <v>703</v>
      </c>
      <c r="AD482" s="141" t="s">
        <v>703</v>
      </c>
      <c r="AE482" s="141" t="s">
        <v>703</v>
      </c>
      <c r="AF482" s="141">
        <v>0</v>
      </c>
      <c r="AG482" s="141">
        <v>0</v>
      </c>
      <c r="AH482" s="141">
        <v>7</v>
      </c>
      <c r="AI482" s="129" t="s">
        <v>703</v>
      </c>
      <c r="AJ482" s="164" t="s">
        <v>1463</v>
      </c>
      <c r="AK482" s="141" t="s">
        <v>665</v>
      </c>
      <c r="AL482" s="143" t="s">
        <v>2571</v>
      </c>
      <c r="AM482" s="143"/>
      <c r="AN482" s="143"/>
      <c r="AO482" s="143"/>
      <c r="AP482" s="143"/>
      <c r="AQ482" s="143"/>
      <c r="AR482" s="143"/>
      <c r="AS482" s="143"/>
      <c r="AT482" s="143"/>
      <c r="AU482" s="143"/>
      <c r="AV482" s="143"/>
      <c r="AW482" s="144"/>
      <c r="AX482" s="145"/>
      <c r="AY482" s="138"/>
      <c r="AZ482" s="138"/>
      <c r="BA482" s="138"/>
      <c r="BB482" s="138"/>
      <c r="BC482" s="138"/>
      <c r="BD482" s="138"/>
      <c r="BE482" s="138"/>
    </row>
    <row r="483" spans="1:57" s="139" customFormat="1" ht="114">
      <c r="A483" s="140" t="s">
        <v>6</v>
      </c>
      <c r="B483" s="129">
        <v>481</v>
      </c>
      <c r="C483" s="141" t="s">
        <v>1453</v>
      </c>
      <c r="D483" s="129"/>
      <c r="E483" s="129" t="s">
        <v>2573</v>
      </c>
      <c r="F483" s="129" t="s">
        <v>1464</v>
      </c>
      <c r="G483" s="129" t="s">
        <v>1465</v>
      </c>
      <c r="H483" s="129" t="s">
        <v>1455</v>
      </c>
      <c r="I483" s="129" t="s">
        <v>1456</v>
      </c>
      <c r="J483" s="129" t="s">
        <v>971</v>
      </c>
      <c r="K483" s="129" t="s">
        <v>971</v>
      </c>
      <c r="L483" s="141" t="s">
        <v>703</v>
      </c>
      <c r="M483" s="141" t="s">
        <v>703</v>
      </c>
      <c r="N483" s="141">
        <v>100</v>
      </c>
      <c r="O483" s="129" t="s">
        <v>1457</v>
      </c>
      <c r="P483" s="129" t="s">
        <v>703</v>
      </c>
      <c r="Q483" s="129">
        <v>8</v>
      </c>
      <c r="R483" s="141">
        <v>12</v>
      </c>
      <c r="S483" s="141">
        <v>12</v>
      </c>
      <c r="T483" s="129">
        <v>1</v>
      </c>
      <c r="U483" s="129" t="s">
        <v>713</v>
      </c>
      <c r="V483" s="141" t="s">
        <v>714</v>
      </c>
      <c r="W483" s="129" t="s">
        <v>1458</v>
      </c>
      <c r="X483" s="141" t="s">
        <v>703</v>
      </c>
      <c r="Y483" s="141" t="s">
        <v>715</v>
      </c>
      <c r="Z483" s="129" t="s">
        <v>1462</v>
      </c>
      <c r="AA483" s="129">
        <v>1</v>
      </c>
      <c r="AB483" s="129" t="s">
        <v>703</v>
      </c>
      <c r="AC483" s="141" t="s">
        <v>703</v>
      </c>
      <c r="AD483" s="129" t="s">
        <v>703</v>
      </c>
      <c r="AE483" s="141" t="s">
        <v>703</v>
      </c>
      <c r="AF483" s="129">
        <v>0</v>
      </c>
      <c r="AG483" s="129">
        <v>0</v>
      </c>
      <c r="AH483" s="129">
        <v>1</v>
      </c>
      <c r="AI483" s="141" t="s">
        <v>703</v>
      </c>
      <c r="AJ483" s="164" t="s">
        <v>241</v>
      </c>
      <c r="AK483" s="141" t="s">
        <v>665</v>
      </c>
      <c r="AL483" s="143" t="s">
        <v>2570</v>
      </c>
      <c r="AM483" s="143"/>
      <c r="AN483" s="143"/>
      <c r="AO483" s="143"/>
      <c r="AP483" s="143"/>
      <c r="AQ483" s="143"/>
      <c r="AR483" s="143"/>
      <c r="AS483" s="143"/>
      <c r="AT483" s="143"/>
      <c r="AU483" s="143"/>
      <c r="AV483" s="143"/>
      <c r="AW483" s="144"/>
      <c r="AX483" s="145"/>
      <c r="AY483" s="138"/>
      <c r="AZ483" s="138"/>
      <c r="BA483" s="138"/>
      <c r="BB483" s="138"/>
      <c r="BC483" s="138"/>
      <c r="BD483" s="138"/>
      <c r="BE483" s="138"/>
    </row>
    <row r="484" spans="1:57" s="139" customFormat="1" ht="114">
      <c r="A484" s="140" t="s">
        <v>6</v>
      </c>
      <c r="B484" s="129">
        <v>482</v>
      </c>
      <c r="C484" s="141" t="s">
        <v>1453</v>
      </c>
      <c r="D484" s="129"/>
      <c r="E484" s="141" t="s">
        <v>1466</v>
      </c>
      <c r="F484" s="141" t="s">
        <v>1467</v>
      </c>
      <c r="G484" s="129" t="s">
        <v>1467</v>
      </c>
      <c r="H484" s="129" t="s">
        <v>1455</v>
      </c>
      <c r="I484" s="129" t="s">
        <v>1456</v>
      </c>
      <c r="J484" s="129" t="s">
        <v>971</v>
      </c>
      <c r="K484" s="129" t="s">
        <v>971</v>
      </c>
      <c r="L484" s="141" t="s">
        <v>703</v>
      </c>
      <c r="M484" s="141" t="s">
        <v>703</v>
      </c>
      <c r="N484" s="141">
        <v>100</v>
      </c>
      <c r="O484" s="129" t="s">
        <v>1457</v>
      </c>
      <c r="P484" s="129" t="s">
        <v>703</v>
      </c>
      <c r="Q484" s="129">
        <v>8</v>
      </c>
      <c r="R484" s="141">
        <v>11</v>
      </c>
      <c r="S484" s="141">
        <v>9</v>
      </c>
      <c r="T484" s="141">
        <v>3</v>
      </c>
      <c r="U484" s="129" t="s">
        <v>713</v>
      </c>
      <c r="V484" s="141" t="s">
        <v>714</v>
      </c>
      <c r="W484" s="129" t="s">
        <v>1458</v>
      </c>
      <c r="X484" s="141" t="s">
        <v>703</v>
      </c>
      <c r="Y484" s="141" t="s">
        <v>715</v>
      </c>
      <c r="Z484" s="129" t="s">
        <v>1462</v>
      </c>
      <c r="AA484" s="129">
        <v>1</v>
      </c>
      <c r="AB484" s="129" t="s">
        <v>703</v>
      </c>
      <c r="AC484" s="141" t="s">
        <v>703</v>
      </c>
      <c r="AD484" s="129" t="s">
        <v>703</v>
      </c>
      <c r="AE484" s="141" t="s">
        <v>703</v>
      </c>
      <c r="AF484" s="129">
        <v>0</v>
      </c>
      <c r="AG484" s="129">
        <v>0</v>
      </c>
      <c r="AH484" s="129">
        <v>6</v>
      </c>
      <c r="AI484" s="129" t="s">
        <v>703</v>
      </c>
      <c r="AJ484" s="164" t="s">
        <v>1468</v>
      </c>
      <c r="AK484" s="141" t="s">
        <v>665</v>
      </c>
      <c r="AL484" s="129" t="s">
        <v>2570</v>
      </c>
      <c r="AM484" s="143"/>
      <c r="AN484" s="143"/>
      <c r="AO484" s="143"/>
      <c r="AP484" s="143"/>
      <c r="AQ484" s="143"/>
      <c r="AR484" s="143"/>
      <c r="AS484" s="143"/>
      <c r="AT484" s="143"/>
      <c r="AU484" s="143"/>
      <c r="AV484" s="143"/>
      <c r="AW484" s="144"/>
      <c r="AX484" s="145"/>
      <c r="AY484" s="138"/>
      <c r="AZ484" s="138"/>
      <c r="BA484" s="138"/>
      <c r="BB484" s="138"/>
      <c r="BC484" s="138"/>
      <c r="BD484" s="138"/>
      <c r="BE484" s="138"/>
    </row>
    <row r="485" spans="1:57" s="139" customFormat="1" ht="347">
      <c r="A485" s="140" t="s">
        <v>6</v>
      </c>
      <c r="B485" s="129">
        <v>483</v>
      </c>
      <c r="C485" s="141" t="s">
        <v>1453</v>
      </c>
      <c r="D485" s="129"/>
      <c r="E485" s="129" t="s">
        <v>1469</v>
      </c>
      <c r="F485" s="129" t="s">
        <v>1470</v>
      </c>
      <c r="G485" s="129" t="s">
        <v>641</v>
      </c>
      <c r="H485" s="129" t="s">
        <v>1455</v>
      </c>
      <c r="I485" s="129" t="s">
        <v>1456</v>
      </c>
      <c r="J485" s="129" t="s">
        <v>971</v>
      </c>
      <c r="K485" s="129" t="s">
        <v>971</v>
      </c>
      <c r="L485" s="141" t="s">
        <v>703</v>
      </c>
      <c r="M485" s="141" t="s">
        <v>703</v>
      </c>
      <c r="N485" s="141">
        <v>100</v>
      </c>
      <c r="O485" s="129" t="s">
        <v>1457</v>
      </c>
      <c r="P485" s="129" t="s">
        <v>703</v>
      </c>
      <c r="Q485" s="129">
        <v>8</v>
      </c>
      <c r="R485" s="141">
        <v>8</v>
      </c>
      <c r="S485" s="141">
        <v>8</v>
      </c>
      <c r="T485" s="129">
        <v>1</v>
      </c>
      <c r="U485" s="129" t="s">
        <v>713</v>
      </c>
      <c r="V485" s="141" t="s">
        <v>714</v>
      </c>
      <c r="W485" s="129" t="s">
        <v>1458</v>
      </c>
      <c r="X485" s="141" t="s">
        <v>703</v>
      </c>
      <c r="Y485" s="141" t="s">
        <v>715</v>
      </c>
      <c r="Z485" s="129" t="s">
        <v>1462</v>
      </c>
      <c r="AA485" s="129">
        <v>1</v>
      </c>
      <c r="AB485" s="129" t="s">
        <v>703</v>
      </c>
      <c r="AC485" s="141" t="s">
        <v>703</v>
      </c>
      <c r="AD485" s="129" t="s">
        <v>703</v>
      </c>
      <c r="AE485" s="141" t="s">
        <v>703</v>
      </c>
      <c r="AF485" s="129">
        <v>0</v>
      </c>
      <c r="AG485" s="129">
        <v>0</v>
      </c>
      <c r="AH485" s="129">
        <v>1</v>
      </c>
      <c r="AI485" s="129" t="s">
        <v>703</v>
      </c>
      <c r="AJ485" s="164" t="s">
        <v>248</v>
      </c>
      <c r="AK485" s="141" t="s">
        <v>665</v>
      </c>
      <c r="AL485" s="143" t="s">
        <v>2570</v>
      </c>
      <c r="AM485" s="143"/>
      <c r="AN485" s="143"/>
      <c r="AO485" s="143"/>
      <c r="AP485" s="143"/>
      <c r="AQ485" s="143"/>
      <c r="AR485" s="143"/>
      <c r="AS485" s="143"/>
      <c r="AT485" s="143"/>
      <c r="AU485" s="143"/>
      <c r="AV485" s="143"/>
      <c r="AW485" s="144"/>
      <c r="AX485" s="145"/>
      <c r="AY485" s="138"/>
      <c r="AZ485" s="138"/>
      <c r="BA485" s="138"/>
      <c r="BB485" s="138"/>
      <c r="BC485" s="138"/>
      <c r="BD485" s="138"/>
      <c r="BE485" s="138"/>
    </row>
    <row r="486" spans="1:57" s="139" customFormat="1" ht="86">
      <c r="A486" s="140" t="s">
        <v>6</v>
      </c>
      <c r="B486" s="129">
        <v>484</v>
      </c>
      <c r="C486" s="141" t="s">
        <v>1453</v>
      </c>
      <c r="D486" s="129"/>
      <c r="E486" s="129" t="s">
        <v>1471</v>
      </c>
      <c r="F486" s="129" t="s">
        <v>1472</v>
      </c>
      <c r="G486" s="129" t="s">
        <v>1472</v>
      </c>
      <c r="H486" s="129" t="s">
        <v>1455</v>
      </c>
      <c r="I486" s="129" t="s">
        <v>1456</v>
      </c>
      <c r="J486" s="129" t="s">
        <v>971</v>
      </c>
      <c r="K486" s="129" t="s">
        <v>971</v>
      </c>
      <c r="L486" s="141" t="s">
        <v>703</v>
      </c>
      <c r="M486" s="141" t="s">
        <v>703</v>
      </c>
      <c r="N486" s="141">
        <v>100</v>
      </c>
      <c r="O486" s="129" t="s">
        <v>1457</v>
      </c>
      <c r="P486" s="129" t="s">
        <v>703</v>
      </c>
      <c r="Q486" s="129">
        <v>8</v>
      </c>
      <c r="R486" s="141">
        <v>23</v>
      </c>
      <c r="S486" s="141">
        <v>23</v>
      </c>
      <c r="T486" s="129">
        <v>1</v>
      </c>
      <c r="U486" s="129" t="s">
        <v>713</v>
      </c>
      <c r="V486" s="141" t="s">
        <v>714</v>
      </c>
      <c r="W486" s="129" t="s">
        <v>1458</v>
      </c>
      <c r="X486" s="141" t="s">
        <v>703</v>
      </c>
      <c r="Y486" s="141" t="s">
        <v>715</v>
      </c>
      <c r="Z486" s="129" t="s">
        <v>1462</v>
      </c>
      <c r="AA486" s="129">
        <v>1</v>
      </c>
      <c r="AB486" s="129" t="s">
        <v>703</v>
      </c>
      <c r="AC486" s="141" t="s">
        <v>703</v>
      </c>
      <c r="AD486" s="129" t="s">
        <v>703</v>
      </c>
      <c r="AE486" s="141" t="s">
        <v>703</v>
      </c>
      <c r="AF486" s="129">
        <v>0</v>
      </c>
      <c r="AG486" s="129">
        <v>0</v>
      </c>
      <c r="AH486" s="129">
        <v>1</v>
      </c>
      <c r="AI486" s="129" t="s">
        <v>703</v>
      </c>
      <c r="AJ486" s="164" t="s">
        <v>249</v>
      </c>
      <c r="AK486" s="141" t="s">
        <v>665</v>
      </c>
      <c r="AL486" s="141" t="s">
        <v>2570</v>
      </c>
      <c r="AM486" s="143"/>
      <c r="AN486" s="143"/>
      <c r="AO486" s="143"/>
      <c r="AP486" s="143"/>
      <c r="AQ486" s="143"/>
      <c r="AR486" s="143"/>
      <c r="AS486" s="143"/>
      <c r="AT486" s="143"/>
      <c r="AU486" s="143"/>
      <c r="AV486" s="143"/>
      <c r="AW486" s="144"/>
      <c r="AX486" s="145"/>
      <c r="AY486" s="138"/>
      <c r="AZ486" s="138"/>
      <c r="BA486" s="138"/>
      <c r="BB486" s="138"/>
      <c r="BC486" s="138"/>
      <c r="BD486" s="138"/>
      <c r="BE486" s="138"/>
    </row>
    <row r="487" spans="1:57" s="139" customFormat="1" ht="100">
      <c r="A487" s="140" t="s">
        <v>6</v>
      </c>
      <c r="B487" s="129">
        <v>485</v>
      </c>
      <c r="C487" s="141" t="s">
        <v>1453</v>
      </c>
      <c r="D487" s="129"/>
      <c r="E487" s="141" t="s">
        <v>1473</v>
      </c>
      <c r="F487" s="141" t="s">
        <v>1474</v>
      </c>
      <c r="G487" s="129" t="s">
        <v>1474</v>
      </c>
      <c r="H487" s="129" t="s">
        <v>1455</v>
      </c>
      <c r="I487" s="129" t="s">
        <v>1456</v>
      </c>
      <c r="J487" s="129" t="s">
        <v>971</v>
      </c>
      <c r="K487" s="129" t="s">
        <v>971</v>
      </c>
      <c r="L487" s="141" t="s">
        <v>703</v>
      </c>
      <c r="M487" s="141" t="s">
        <v>703</v>
      </c>
      <c r="N487" s="141">
        <v>100</v>
      </c>
      <c r="O487" s="129" t="s">
        <v>1457</v>
      </c>
      <c r="P487" s="129" t="s">
        <v>703</v>
      </c>
      <c r="Q487" s="129">
        <v>8</v>
      </c>
      <c r="R487" s="141">
        <v>22</v>
      </c>
      <c r="S487" s="141">
        <v>22</v>
      </c>
      <c r="T487" s="141">
        <v>1</v>
      </c>
      <c r="U487" s="129" t="s">
        <v>713</v>
      </c>
      <c r="V487" s="141" t="s">
        <v>714</v>
      </c>
      <c r="W487" s="129" t="s">
        <v>1458</v>
      </c>
      <c r="X487" s="141" t="s">
        <v>703</v>
      </c>
      <c r="Y487" s="141" t="s">
        <v>715</v>
      </c>
      <c r="Z487" s="129" t="s">
        <v>1462</v>
      </c>
      <c r="AA487" s="129">
        <v>1</v>
      </c>
      <c r="AB487" s="129" t="s">
        <v>703</v>
      </c>
      <c r="AC487" s="141" t="s">
        <v>703</v>
      </c>
      <c r="AD487" s="129" t="s">
        <v>703</v>
      </c>
      <c r="AE487" s="141" t="s">
        <v>703</v>
      </c>
      <c r="AF487" s="129">
        <v>0</v>
      </c>
      <c r="AG487" s="129">
        <v>0</v>
      </c>
      <c r="AH487" s="129">
        <v>1</v>
      </c>
      <c r="AI487" s="129" t="s">
        <v>703</v>
      </c>
      <c r="AJ487" s="164" t="s">
        <v>250</v>
      </c>
      <c r="AK487" s="141" t="s">
        <v>665</v>
      </c>
      <c r="AL487" s="129" t="s">
        <v>2570</v>
      </c>
      <c r="AM487" s="143"/>
      <c r="AN487" s="143"/>
      <c r="AO487" s="143"/>
      <c r="AP487" s="143"/>
      <c r="AQ487" s="143"/>
      <c r="AR487" s="143"/>
      <c r="AS487" s="143"/>
      <c r="AT487" s="143"/>
      <c r="AU487" s="143"/>
      <c r="AV487" s="143"/>
      <c r="AW487" s="144"/>
      <c r="AX487" s="145"/>
      <c r="AY487" s="138"/>
      <c r="AZ487" s="138"/>
      <c r="BA487" s="138"/>
      <c r="BB487" s="138"/>
      <c r="BC487" s="138"/>
      <c r="BD487" s="138"/>
      <c r="BE487" s="138"/>
    </row>
    <row r="488" spans="1:57" s="139" customFormat="1" ht="86">
      <c r="A488" s="140" t="s">
        <v>6</v>
      </c>
      <c r="B488" s="129">
        <v>486</v>
      </c>
      <c r="C488" s="141" t="s">
        <v>1453</v>
      </c>
      <c r="D488" s="129"/>
      <c r="E488" s="141" t="s">
        <v>1475</v>
      </c>
      <c r="F488" s="141" t="s">
        <v>1476</v>
      </c>
      <c r="G488" s="129" t="s">
        <v>1476</v>
      </c>
      <c r="H488" s="129" t="s">
        <v>1455</v>
      </c>
      <c r="I488" s="129" t="s">
        <v>1456</v>
      </c>
      <c r="J488" s="129" t="s">
        <v>971</v>
      </c>
      <c r="K488" s="129" t="s">
        <v>971</v>
      </c>
      <c r="L488" s="141" t="s">
        <v>703</v>
      </c>
      <c r="M488" s="141" t="s">
        <v>703</v>
      </c>
      <c r="N488" s="141">
        <v>100</v>
      </c>
      <c r="O488" s="129" t="s">
        <v>1457</v>
      </c>
      <c r="P488" s="129" t="s">
        <v>703</v>
      </c>
      <c r="Q488" s="129">
        <v>8</v>
      </c>
      <c r="R488" s="141">
        <v>21</v>
      </c>
      <c r="S488" s="141">
        <v>21</v>
      </c>
      <c r="T488" s="141">
        <v>1</v>
      </c>
      <c r="U488" s="129" t="s">
        <v>713</v>
      </c>
      <c r="V488" s="141" t="s">
        <v>714</v>
      </c>
      <c r="W488" s="129" t="s">
        <v>1458</v>
      </c>
      <c r="X488" s="141" t="s">
        <v>703</v>
      </c>
      <c r="Y488" s="141" t="s">
        <v>715</v>
      </c>
      <c r="Z488" s="129" t="s">
        <v>1462</v>
      </c>
      <c r="AA488" s="129">
        <v>1</v>
      </c>
      <c r="AB488" s="129" t="s">
        <v>703</v>
      </c>
      <c r="AC488" s="141" t="s">
        <v>703</v>
      </c>
      <c r="AD488" s="129" t="s">
        <v>703</v>
      </c>
      <c r="AE488" s="141" t="s">
        <v>703</v>
      </c>
      <c r="AF488" s="129">
        <v>0</v>
      </c>
      <c r="AG488" s="129">
        <v>0</v>
      </c>
      <c r="AH488" s="129">
        <v>1</v>
      </c>
      <c r="AI488" s="129" t="s">
        <v>703</v>
      </c>
      <c r="AJ488" s="164" t="s">
        <v>251</v>
      </c>
      <c r="AK488" s="141" t="s">
        <v>665</v>
      </c>
      <c r="AL488" s="129" t="s">
        <v>2570</v>
      </c>
      <c r="AM488" s="143"/>
      <c r="AN488" s="143"/>
      <c r="AO488" s="143"/>
      <c r="AP488" s="143"/>
      <c r="AQ488" s="143"/>
      <c r="AR488" s="143"/>
      <c r="AS488" s="143"/>
      <c r="AT488" s="143"/>
      <c r="AU488" s="143"/>
      <c r="AV488" s="143"/>
      <c r="AW488" s="144"/>
      <c r="AX488" s="145"/>
      <c r="AY488" s="138"/>
      <c r="AZ488" s="138"/>
      <c r="BA488" s="138"/>
      <c r="BB488" s="138"/>
      <c r="BC488" s="138"/>
      <c r="BD488" s="138"/>
      <c r="BE488" s="138"/>
    </row>
    <row r="489" spans="1:57" s="139" customFormat="1" ht="86">
      <c r="A489" s="140" t="s">
        <v>6</v>
      </c>
      <c r="B489" s="129">
        <v>487</v>
      </c>
      <c r="C489" s="141" t="s">
        <v>1453</v>
      </c>
      <c r="D489" s="129"/>
      <c r="E489" s="129" t="s">
        <v>1477</v>
      </c>
      <c r="F489" s="129" t="s">
        <v>1478</v>
      </c>
      <c r="G489" s="129" t="s">
        <v>1478</v>
      </c>
      <c r="H489" s="129" t="s">
        <v>1455</v>
      </c>
      <c r="I489" s="129" t="s">
        <v>1456</v>
      </c>
      <c r="J489" s="129" t="s">
        <v>971</v>
      </c>
      <c r="K489" s="129" t="s">
        <v>971</v>
      </c>
      <c r="L489" s="141" t="s">
        <v>703</v>
      </c>
      <c r="M489" s="141" t="s">
        <v>703</v>
      </c>
      <c r="N489" s="141">
        <v>100</v>
      </c>
      <c r="O489" s="129" t="s">
        <v>1457</v>
      </c>
      <c r="P489" s="129" t="s">
        <v>703</v>
      </c>
      <c r="Q489" s="129">
        <v>8</v>
      </c>
      <c r="R489" s="141">
        <v>20</v>
      </c>
      <c r="S489" s="141">
        <v>20</v>
      </c>
      <c r="T489" s="129">
        <v>1</v>
      </c>
      <c r="U489" s="129" t="s">
        <v>713</v>
      </c>
      <c r="V489" s="141" t="s">
        <v>714</v>
      </c>
      <c r="W489" s="129" t="s">
        <v>1458</v>
      </c>
      <c r="X489" s="141" t="s">
        <v>703</v>
      </c>
      <c r="Y489" s="141" t="s">
        <v>715</v>
      </c>
      <c r="Z489" s="129" t="s">
        <v>1462</v>
      </c>
      <c r="AA489" s="129">
        <v>1</v>
      </c>
      <c r="AB489" s="129" t="s">
        <v>703</v>
      </c>
      <c r="AC489" s="141" t="s">
        <v>703</v>
      </c>
      <c r="AD489" s="129" t="s">
        <v>703</v>
      </c>
      <c r="AE489" s="141" t="s">
        <v>703</v>
      </c>
      <c r="AF489" s="129">
        <v>0</v>
      </c>
      <c r="AG489" s="129">
        <v>0</v>
      </c>
      <c r="AH489" s="129">
        <v>1</v>
      </c>
      <c r="AI489" s="129" t="s">
        <v>703</v>
      </c>
      <c r="AJ489" s="164" t="s">
        <v>251</v>
      </c>
      <c r="AK489" s="129" t="s">
        <v>703</v>
      </c>
      <c r="AL489" s="129" t="s">
        <v>2570</v>
      </c>
      <c r="AM489" s="143"/>
      <c r="AN489" s="143"/>
      <c r="AO489" s="143"/>
      <c r="AP489" s="143"/>
      <c r="AQ489" s="143"/>
      <c r="AR489" s="143"/>
      <c r="AS489" s="143"/>
      <c r="AT489" s="143"/>
      <c r="AU489" s="143"/>
      <c r="AV489" s="143"/>
      <c r="AW489" s="144"/>
      <c r="AX489" s="145"/>
      <c r="AY489" s="138"/>
      <c r="AZ489" s="138"/>
      <c r="BA489" s="138"/>
      <c r="BB489" s="138"/>
      <c r="BC489" s="138"/>
      <c r="BD489" s="138"/>
      <c r="BE489" s="138"/>
    </row>
    <row r="490" spans="1:57" s="139" customFormat="1" ht="100">
      <c r="A490" s="140" t="s">
        <v>6</v>
      </c>
      <c r="B490" s="129">
        <v>488</v>
      </c>
      <c r="C490" s="141" t="s">
        <v>1453</v>
      </c>
      <c r="D490" s="129"/>
      <c r="E490" s="129" t="s">
        <v>1479</v>
      </c>
      <c r="F490" s="129" t="s">
        <v>1480</v>
      </c>
      <c r="G490" s="129" t="s">
        <v>1480</v>
      </c>
      <c r="H490" s="129" t="s">
        <v>1455</v>
      </c>
      <c r="I490" s="129" t="s">
        <v>1456</v>
      </c>
      <c r="J490" s="129" t="s">
        <v>971</v>
      </c>
      <c r="K490" s="129" t="s">
        <v>971</v>
      </c>
      <c r="L490" s="141" t="s">
        <v>703</v>
      </c>
      <c r="M490" s="141" t="s">
        <v>703</v>
      </c>
      <c r="N490" s="141">
        <v>100</v>
      </c>
      <c r="O490" s="129" t="s">
        <v>1457</v>
      </c>
      <c r="P490" s="129" t="s">
        <v>703</v>
      </c>
      <c r="Q490" s="129">
        <v>8</v>
      </c>
      <c r="R490" s="141">
        <v>19</v>
      </c>
      <c r="S490" s="141">
        <v>19</v>
      </c>
      <c r="T490" s="129">
        <v>1</v>
      </c>
      <c r="U490" s="129" t="s">
        <v>713</v>
      </c>
      <c r="V490" s="141" t="s">
        <v>714</v>
      </c>
      <c r="W490" s="129" t="s">
        <v>1458</v>
      </c>
      <c r="X490" s="141" t="s">
        <v>703</v>
      </c>
      <c r="Y490" s="141" t="s">
        <v>715</v>
      </c>
      <c r="Z490" s="129" t="s">
        <v>1462</v>
      </c>
      <c r="AA490" s="129">
        <v>1</v>
      </c>
      <c r="AB490" s="129" t="s">
        <v>703</v>
      </c>
      <c r="AC490" s="141" t="s">
        <v>703</v>
      </c>
      <c r="AD490" s="129" t="s">
        <v>703</v>
      </c>
      <c r="AE490" s="141" t="s">
        <v>703</v>
      </c>
      <c r="AF490" s="129">
        <v>0</v>
      </c>
      <c r="AG490" s="129">
        <v>0</v>
      </c>
      <c r="AH490" s="129">
        <v>1</v>
      </c>
      <c r="AI490" s="129" t="s">
        <v>703</v>
      </c>
      <c r="AJ490" s="164" t="s">
        <v>252</v>
      </c>
      <c r="AK490" s="129" t="s">
        <v>703</v>
      </c>
      <c r="AL490" s="129" t="s">
        <v>2570</v>
      </c>
      <c r="AM490" s="143"/>
      <c r="AN490" s="143"/>
      <c r="AO490" s="143"/>
      <c r="AP490" s="143"/>
      <c r="AQ490" s="143"/>
      <c r="AR490" s="143"/>
      <c r="AS490" s="143"/>
      <c r="AT490" s="143"/>
      <c r="AU490" s="143"/>
      <c r="AV490" s="143"/>
      <c r="AW490" s="144"/>
      <c r="AX490" s="145"/>
      <c r="AY490" s="138"/>
      <c r="AZ490" s="138"/>
      <c r="BA490" s="138"/>
      <c r="BB490" s="138"/>
      <c r="BC490" s="138"/>
      <c r="BD490" s="138"/>
      <c r="BE490" s="138"/>
    </row>
    <row r="491" spans="1:57" s="139" customFormat="1" ht="100">
      <c r="A491" s="140" t="s">
        <v>6</v>
      </c>
      <c r="B491" s="129">
        <v>489</v>
      </c>
      <c r="C491" s="141" t="s">
        <v>1453</v>
      </c>
      <c r="D491" s="129"/>
      <c r="E491" s="141" t="s">
        <v>1481</v>
      </c>
      <c r="F491" s="141" t="s">
        <v>1482</v>
      </c>
      <c r="G491" s="129" t="s">
        <v>1482</v>
      </c>
      <c r="H491" s="129" t="s">
        <v>1455</v>
      </c>
      <c r="I491" s="129" t="s">
        <v>1456</v>
      </c>
      <c r="J491" s="129" t="s">
        <v>971</v>
      </c>
      <c r="K491" s="129" t="s">
        <v>971</v>
      </c>
      <c r="L491" s="141" t="s">
        <v>703</v>
      </c>
      <c r="M491" s="141" t="s">
        <v>703</v>
      </c>
      <c r="N491" s="141">
        <v>100</v>
      </c>
      <c r="O491" s="129" t="s">
        <v>1457</v>
      </c>
      <c r="P491" s="129" t="s">
        <v>703</v>
      </c>
      <c r="Q491" s="129">
        <v>8</v>
      </c>
      <c r="R491" s="141">
        <v>18</v>
      </c>
      <c r="S491" s="141">
        <v>18</v>
      </c>
      <c r="T491" s="141">
        <v>1</v>
      </c>
      <c r="U491" s="129" t="s">
        <v>713</v>
      </c>
      <c r="V491" s="141" t="s">
        <v>714</v>
      </c>
      <c r="W491" s="129" t="s">
        <v>1458</v>
      </c>
      <c r="X491" s="141" t="s">
        <v>703</v>
      </c>
      <c r="Y491" s="141" t="s">
        <v>715</v>
      </c>
      <c r="Z491" s="129" t="s">
        <v>1462</v>
      </c>
      <c r="AA491" s="129">
        <v>1</v>
      </c>
      <c r="AB491" s="129" t="s">
        <v>703</v>
      </c>
      <c r="AC491" s="141" t="s">
        <v>703</v>
      </c>
      <c r="AD491" s="129" t="s">
        <v>703</v>
      </c>
      <c r="AE491" s="141" t="s">
        <v>703</v>
      </c>
      <c r="AF491" s="129">
        <v>0</v>
      </c>
      <c r="AG491" s="129">
        <v>0</v>
      </c>
      <c r="AH491" s="129">
        <v>1</v>
      </c>
      <c r="AI491" s="129" t="s">
        <v>703</v>
      </c>
      <c r="AJ491" s="164" t="s">
        <v>253</v>
      </c>
      <c r="AK491" s="129" t="s">
        <v>703</v>
      </c>
      <c r="AL491" s="129" t="s">
        <v>2570</v>
      </c>
      <c r="AM491" s="143"/>
      <c r="AN491" s="143"/>
      <c r="AO491" s="143"/>
      <c r="AP491" s="143"/>
      <c r="AQ491" s="143"/>
      <c r="AR491" s="143"/>
      <c r="AS491" s="143"/>
      <c r="AT491" s="143"/>
      <c r="AU491" s="143"/>
      <c r="AV491" s="143"/>
      <c r="AW491" s="144"/>
      <c r="AX491" s="145"/>
      <c r="AY491" s="138"/>
      <c r="AZ491" s="138"/>
      <c r="BA491" s="138"/>
      <c r="BB491" s="138"/>
      <c r="BC491" s="138"/>
      <c r="BD491" s="138"/>
      <c r="BE491" s="138"/>
    </row>
    <row r="492" spans="1:57" s="139" customFormat="1" ht="58">
      <c r="A492" s="140" t="s">
        <v>6</v>
      </c>
      <c r="B492" s="129">
        <v>490</v>
      </c>
      <c r="C492" s="141" t="s">
        <v>1453</v>
      </c>
      <c r="D492" s="129"/>
      <c r="E492" s="141" t="s">
        <v>1483</v>
      </c>
      <c r="F492" s="141" t="s">
        <v>1484</v>
      </c>
      <c r="G492" s="129" t="s">
        <v>1484</v>
      </c>
      <c r="H492" s="129" t="s">
        <v>1455</v>
      </c>
      <c r="I492" s="129" t="s">
        <v>1456</v>
      </c>
      <c r="J492" s="129" t="s">
        <v>971</v>
      </c>
      <c r="K492" s="129" t="s">
        <v>971</v>
      </c>
      <c r="L492" s="141" t="s">
        <v>703</v>
      </c>
      <c r="M492" s="141" t="s">
        <v>703</v>
      </c>
      <c r="N492" s="141">
        <v>100</v>
      </c>
      <c r="O492" s="129" t="s">
        <v>1457</v>
      </c>
      <c r="P492" s="129" t="s">
        <v>703</v>
      </c>
      <c r="Q492" s="129">
        <v>8</v>
      </c>
      <c r="R492" s="141">
        <v>17</v>
      </c>
      <c r="S492" s="141">
        <v>16</v>
      </c>
      <c r="T492" s="141">
        <v>2</v>
      </c>
      <c r="U492" s="129" t="s">
        <v>713</v>
      </c>
      <c r="V492" s="141" t="s">
        <v>714</v>
      </c>
      <c r="W492" s="129" t="s">
        <v>1458</v>
      </c>
      <c r="X492" s="141" t="s">
        <v>703</v>
      </c>
      <c r="Y492" s="141" t="s">
        <v>715</v>
      </c>
      <c r="Z492" s="129" t="s">
        <v>1462</v>
      </c>
      <c r="AA492" s="129">
        <v>1</v>
      </c>
      <c r="AB492" s="129" t="s">
        <v>703</v>
      </c>
      <c r="AC492" s="141" t="s">
        <v>703</v>
      </c>
      <c r="AD492" s="129" t="s">
        <v>703</v>
      </c>
      <c r="AE492" s="141" t="s">
        <v>703</v>
      </c>
      <c r="AF492" s="129">
        <v>0</v>
      </c>
      <c r="AG492" s="129">
        <v>0</v>
      </c>
      <c r="AH492" s="129">
        <v>2</v>
      </c>
      <c r="AI492" s="129" t="s">
        <v>703</v>
      </c>
      <c r="AJ492" s="164" t="s">
        <v>254</v>
      </c>
      <c r="AK492" s="129" t="s">
        <v>703</v>
      </c>
      <c r="AL492" s="129" t="s">
        <v>2570</v>
      </c>
      <c r="AM492" s="143"/>
      <c r="AN492" s="143"/>
      <c r="AO492" s="143"/>
      <c r="AP492" s="143"/>
      <c r="AQ492" s="143"/>
      <c r="AR492" s="143"/>
      <c r="AS492" s="143"/>
      <c r="AT492" s="143"/>
      <c r="AU492" s="143"/>
      <c r="AV492" s="143"/>
      <c r="AW492" s="144"/>
      <c r="AX492" s="145"/>
      <c r="AY492" s="138"/>
      <c r="AZ492" s="138"/>
      <c r="BA492" s="138"/>
      <c r="BB492" s="138"/>
      <c r="BC492" s="138"/>
      <c r="BD492" s="138"/>
      <c r="BE492" s="138"/>
    </row>
    <row r="493" spans="1:57" s="139" customFormat="1" ht="58">
      <c r="A493" s="140" t="s">
        <v>6</v>
      </c>
      <c r="B493" s="129">
        <v>491</v>
      </c>
      <c r="C493" s="141" t="s">
        <v>1453</v>
      </c>
      <c r="D493" s="129"/>
      <c r="E493" s="141" t="s">
        <v>1485</v>
      </c>
      <c r="F493" s="141" t="s">
        <v>1486</v>
      </c>
      <c r="G493" s="129" t="s">
        <v>1486</v>
      </c>
      <c r="H493" s="129" t="s">
        <v>1455</v>
      </c>
      <c r="I493" s="129" t="s">
        <v>1456</v>
      </c>
      <c r="J493" s="129" t="s">
        <v>971</v>
      </c>
      <c r="K493" s="129" t="s">
        <v>971</v>
      </c>
      <c r="L493" s="141" t="s">
        <v>703</v>
      </c>
      <c r="M493" s="141" t="s">
        <v>703</v>
      </c>
      <c r="N493" s="141">
        <v>100</v>
      </c>
      <c r="O493" s="129" t="s">
        <v>1457</v>
      </c>
      <c r="P493" s="129" t="s">
        <v>703</v>
      </c>
      <c r="Q493" s="129">
        <v>8</v>
      </c>
      <c r="R493" s="141">
        <v>31</v>
      </c>
      <c r="S493" s="141">
        <v>30</v>
      </c>
      <c r="T493" s="141">
        <v>2</v>
      </c>
      <c r="U493" s="129" t="s">
        <v>713</v>
      </c>
      <c r="V493" s="141" t="s">
        <v>714</v>
      </c>
      <c r="W493" s="129" t="s">
        <v>1458</v>
      </c>
      <c r="X493" s="141" t="s">
        <v>703</v>
      </c>
      <c r="Y493" s="141" t="s">
        <v>715</v>
      </c>
      <c r="Z493" s="129" t="s">
        <v>1462</v>
      </c>
      <c r="AA493" s="129">
        <v>1</v>
      </c>
      <c r="AB493" s="129" t="s">
        <v>703</v>
      </c>
      <c r="AC493" s="141" t="s">
        <v>703</v>
      </c>
      <c r="AD493" s="129" t="s">
        <v>703</v>
      </c>
      <c r="AE493" s="141" t="s">
        <v>703</v>
      </c>
      <c r="AF493" s="129">
        <v>0</v>
      </c>
      <c r="AG493" s="129">
        <v>0</v>
      </c>
      <c r="AH493" s="129">
        <v>2</v>
      </c>
      <c r="AI493" s="129" t="s">
        <v>703</v>
      </c>
      <c r="AJ493" s="164" t="s">
        <v>254</v>
      </c>
      <c r="AK493" s="129" t="s">
        <v>703</v>
      </c>
      <c r="AL493" s="129" t="s">
        <v>2571</v>
      </c>
      <c r="AM493" s="143"/>
      <c r="AN493" s="143"/>
      <c r="AO493" s="143"/>
      <c r="AP493" s="143"/>
      <c r="AQ493" s="143"/>
      <c r="AR493" s="143"/>
      <c r="AS493" s="143"/>
      <c r="AT493" s="143"/>
      <c r="AU493" s="143"/>
      <c r="AV493" s="143"/>
      <c r="AW493" s="144"/>
      <c r="AX493" s="145"/>
      <c r="AY493" s="138"/>
      <c r="AZ493" s="138"/>
      <c r="BA493" s="138"/>
      <c r="BB493" s="138"/>
      <c r="BC493" s="138"/>
      <c r="BD493" s="138"/>
      <c r="BE493" s="138"/>
    </row>
    <row r="494" spans="1:57" s="139" customFormat="1" ht="25">
      <c r="A494" s="140" t="s">
        <v>6</v>
      </c>
      <c r="B494" s="129">
        <v>492</v>
      </c>
      <c r="C494" s="141" t="s">
        <v>1453</v>
      </c>
      <c r="D494" s="129"/>
      <c r="E494" s="143" t="s">
        <v>1487</v>
      </c>
      <c r="F494" s="129" t="s">
        <v>1488</v>
      </c>
      <c r="G494" s="141" t="s">
        <v>703</v>
      </c>
      <c r="H494" s="129" t="s">
        <v>1455</v>
      </c>
      <c r="I494" s="129" t="s">
        <v>1456</v>
      </c>
      <c r="J494" s="129" t="s">
        <v>971</v>
      </c>
      <c r="K494" s="129" t="s">
        <v>971</v>
      </c>
      <c r="L494" s="129" t="s">
        <v>712</v>
      </c>
      <c r="M494" s="129" t="s">
        <v>712</v>
      </c>
      <c r="N494" s="141">
        <v>100</v>
      </c>
      <c r="O494" s="129" t="s">
        <v>1457</v>
      </c>
      <c r="P494" s="129" t="s">
        <v>703</v>
      </c>
      <c r="Q494" s="129">
        <v>8</v>
      </c>
      <c r="R494" s="129">
        <v>59</v>
      </c>
      <c r="S494" s="129">
        <v>56</v>
      </c>
      <c r="T494" s="129">
        <v>4</v>
      </c>
      <c r="U494" s="141" t="s">
        <v>713</v>
      </c>
      <c r="V494" s="141" t="s">
        <v>714</v>
      </c>
      <c r="W494" s="129" t="s">
        <v>1458</v>
      </c>
      <c r="X494" s="141" t="s">
        <v>703</v>
      </c>
      <c r="Y494" s="141" t="s">
        <v>715</v>
      </c>
      <c r="Z494" s="129" t="s">
        <v>194</v>
      </c>
      <c r="AA494" s="129">
        <v>1</v>
      </c>
      <c r="AB494" s="129" t="s">
        <v>712</v>
      </c>
      <c r="AC494" s="129" t="s">
        <v>712</v>
      </c>
      <c r="AD494" s="129" t="s">
        <v>712</v>
      </c>
      <c r="AE494" s="129" t="s">
        <v>712</v>
      </c>
      <c r="AF494" s="129">
        <v>0</v>
      </c>
      <c r="AG494" s="129">
        <v>0</v>
      </c>
      <c r="AH494" s="129">
        <v>15</v>
      </c>
      <c r="AI494" s="129" t="s">
        <v>703</v>
      </c>
      <c r="AJ494" s="159" t="s">
        <v>2123</v>
      </c>
      <c r="AK494" s="141" t="s">
        <v>703</v>
      </c>
      <c r="AL494" s="141" t="s">
        <v>2570</v>
      </c>
      <c r="AM494" s="143"/>
      <c r="AN494" s="160"/>
      <c r="AO494" s="143"/>
      <c r="AP494" s="143"/>
      <c r="AQ494" s="143"/>
      <c r="AR494" s="143"/>
      <c r="AS494" s="143"/>
      <c r="AT494" s="143"/>
      <c r="AU494" s="143"/>
      <c r="AV494" s="143"/>
      <c r="AW494" s="144"/>
      <c r="AX494" s="145"/>
      <c r="AY494" s="138"/>
      <c r="AZ494" s="138"/>
      <c r="BA494" s="138"/>
      <c r="BB494" s="138"/>
      <c r="BC494" s="138"/>
      <c r="BD494" s="138"/>
      <c r="BE494" s="138"/>
    </row>
    <row r="495" spans="1:57" s="139" customFormat="1" ht="44">
      <c r="A495" s="140" t="s">
        <v>6</v>
      </c>
      <c r="B495" s="129">
        <v>493</v>
      </c>
      <c r="C495" s="141" t="s">
        <v>1443</v>
      </c>
      <c r="D495" s="129" t="s">
        <v>3115</v>
      </c>
      <c r="E495" s="141" t="s">
        <v>1489</v>
      </c>
      <c r="F495" s="141" t="s">
        <v>1490</v>
      </c>
      <c r="G495" s="141" t="s">
        <v>703</v>
      </c>
      <c r="H495" s="129" t="s">
        <v>1491</v>
      </c>
      <c r="I495" s="143" t="s">
        <v>1492</v>
      </c>
      <c r="J495" s="129" t="s">
        <v>971</v>
      </c>
      <c r="K495" s="129" t="s">
        <v>971</v>
      </c>
      <c r="L495" s="129" t="s">
        <v>712</v>
      </c>
      <c r="M495" s="129" t="s">
        <v>712</v>
      </c>
      <c r="N495" s="141">
        <v>20</v>
      </c>
      <c r="O495" s="141" t="s">
        <v>1493</v>
      </c>
      <c r="P495" s="129" t="s">
        <v>703</v>
      </c>
      <c r="Q495" s="129">
        <v>8</v>
      </c>
      <c r="R495" s="141">
        <v>7</v>
      </c>
      <c r="S495" s="141">
        <v>0</v>
      </c>
      <c r="T495" s="141">
        <v>8</v>
      </c>
      <c r="U495" s="141" t="s">
        <v>713</v>
      </c>
      <c r="V495" s="141" t="s">
        <v>714</v>
      </c>
      <c r="W495" s="143">
        <v>1000</v>
      </c>
      <c r="X495" s="141" t="s">
        <v>703</v>
      </c>
      <c r="Y495" s="141" t="s">
        <v>1143</v>
      </c>
      <c r="Z495" s="141" t="s">
        <v>837</v>
      </c>
      <c r="AA495" s="141">
        <v>1</v>
      </c>
      <c r="AB495" s="141" t="s">
        <v>712</v>
      </c>
      <c r="AC495" s="143" t="s">
        <v>712</v>
      </c>
      <c r="AD495" s="141" t="s">
        <v>837</v>
      </c>
      <c r="AE495" s="141" t="s">
        <v>712</v>
      </c>
      <c r="AF495" s="141">
        <v>0</v>
      </c>
      <c r="AG495" s="143">
        <v>0</v>
      </c>
      <c r="AH495" s="143">
        <v>255</v>
      </c>
      <c r="AI495" s="141" t="s">
        <v>837</v>
      </c>
      <c r="AJ495" s="164" t="s">
        <v>837</v>
      </c>
      <c r="AK495" s="141" t="s">
        <v>703</v>
      </c>
      <c r="AL495" s="129" t="s">
        <v>703</v>
      </c>
      <c r="AM495" s="143"/>
      <c r="AN495" s="143" t="s">
        <v>705</v>
      </c>
      <c r="AO495" s="143"/>
      <c r="AP495" s="143"/>
      <c r="AQ495" s="143"/>
      <c r="AR495" s="143"/>
      <c r="AS495" s="143"/>
      <c r="AT495" s="143"/>
      <c r="AU495" s="143"/>
      <c r="AV495" s="143"/>
      <c r="AW495" s="144"/>
      <c r="AX495" s="145"/>
      <c r="AY495" s="138"/>
      <c r="AZ495" s="138"/>
      <c r="BA495" s="138"/>
      <c r="BB495" s="138"/>
      <c r="BC495" s="138"/>
      <c r="BD495" s="138"/>
      <c r="BE495" s="138"/>
    </row>
    <row r="496" spans="1:57" s="139" customFormat="1" ht="30">
      <c r="A496" s="140" t="s">
        <v>6</v>
      </c>
      <c r="B496" s="129">
        <v>494</v>
      </c>
      <c r="C496" s="141" t="s">
        <v>1443</v>
      </c>
      <c r="D496" s="129" t="s">
        <v>3115</v>
      </c>
      <c r="E496" s="141" t="s">
        <v>1494</v>
      </c>
      <c r="F496" s="141" t="s">
        <v>1495</v>
      </c>
      <c r="G496" s="141" t="s">
        <v>703</v>
      </c>
      <c r="H496" s="129" t="s">
        <v>1491</v>
      </c>
      <c r="I496" s="143" t="s">
        <v>1492</v>
      </c>
      <c r="J496" s="129" t="s">
        <v>971</v>
      </c>
      <c r="K496" s="129" t="s">
        <v>971</v>
      </c>
      <c r="L496" s="129" t="s">
        <v>712</v>
      </c>
      <c r="M496" s="129" t="s">
        <v>712</v>
      </c>
      <c r="N496" s="141">
        <v>20</v>
      </c>
      <c r="O496" s="141" t="s">
        <v>1493</v>
      </c>
      <c r="P496" s="129" t="s">
        <v>703</v>
      </c>
      <c r="Q496" s="129">
        <v>8</v>
      </c>
      <c r="R496" s="143">
        <v>13</v>
      </c>
      <c r="S496" s="143">
        <v>13</v>
      </c>
      <c r="T496" s="141">
        <v>1</v>
      </c>
      <c r="U496" s="141" t="s">
        <v>713</v>
      </c>
      <c r="V496" s="141" t="s">
        <v>714</v>
      </c>
      <c r="W496" s="143">
        <v>1000</v>
      </c>
      <c r="X496" s="141" t="s">
        <v>703</v>
      </c>
      <c r="Y496" s="260" t="s">
        <v>715</v>
      </c>
      <c r="Z496" s="141" t="s">
        <v>1496</v>
      </c>
      <c r="AA496" s="141">
        <v>1</v>
      </c>
      <c r="AB496" s="141" t="s">
        <v>712</v>
      </c>
      <c r="AC496" s="143" t="s">
        <v>712</v>
      </c>
      <c r="AD496" s="141" t="s">
        <v>837</v>
      </c>
      <c r="AE496" s="141" t="s">
        <v>712</v>
      </c>
      <c r="AF496" s="141">
        <v>0</v>
      </c>
      <c r="AG496" s="141">
        <v>0</v>
      </c>
      <c r="AH496" s="141">
        <v>1</v>
      </c>
      <c r="AI496" s="141" t="s">
        <v>712</v>
      </c>
      <c r="AJ496" s="164" t="s">
        <v>561</v>
      </c>
      <c r="AK496" s="141" t="s">
        <v>703</v>
      </c>
      <c r="AL496" s="129" t="s">
        <v>703</v>
      </c>
      <c r="AM496" s="143"/>
      <c r="AN496" s="143" t="s">
        <v>705</v>
      </c>
      <c r="AO496" s="143"/>
      <c r="AP496" s="143"/>
      <c r="AQ496" s="143"/>
      <c r="AR496" s="143"/>
      <c r="AS496" s="143"/>
      <c r="AT496" s="143"/>
      <c r="AU496" s="143"/>
      <c r="AV496" s="143"/>
      <c r="AW496" s="144"/>
      <c r="AX496" s="145"/>
      <c r="AY496" s="138"/>
      <c r="AZ496" s="138"/>
      <c r="BA496" s="138"/>
      <c r="BB496" s="138"/>
      <c r="BC496" s="138"/>
      <c r="BD496" s="138"/>
      <c r="BE496" s="138"/>
    </row>
    <row r="497" spans="1:57" s="139" customFormat="1" ht="30">
      <c r="A497" s="140" t="s">
        <v>6</v>
      </c>
      <c r="B497" s="129">
        <v>495</v>
      </c>
      <c r="C497" s="141" t="s">
        <v>1443</v>
      </c>
      <c r="D497" s="129" t="s">
        <v>3115</v>
      </c>
      <c r="E497" s="141" t="s">
        <v>1497</v>
      </c>
      <c r="F497" s="141" t="s">
        <v>1498</v>
      </c>
      <c r="G497" s="141" t="s">
        <v>703</v>
      </c>
      <c r="H497" s="129" t="s">
        <v>1491</v>
      </c>
      <c r="I497" s="143" t="s">
        <v>1492</v>
      </c>
      <c r="J497" s="129" t="s">
        <v>971</v>
      </c>
      <c r="K497" s="129" t="s">
        <v>971</v>
      </c>
      <c r="L497" s="129" t="s">
        <v>712</v>
      </c>
      <c r="M497" s="129" t="s">
        <v>712</v>
      </c>
      <c r="N497" s="141">
        <v>20</v>
      </c>
      <c r="O497" s="141" t="s">
        <v>1493</v>
      </c>
      <c r="P497" s="129" t="s">
        <v>703</v>
      </c>
      <c r="Q497" s="129">
        <v>8</v>
      </c>
      <c r="R497" s="143">
        <v>12</v>
      </c>
      <c r="S497" s="143">
        <v>16</v>
      </c>
      <c r="T497" s="141">
        <v>13</v>
      </c>
      <c r="U497" s="141" t="s">
        <v>713</v>
      </c>
      <c r="V497" s="141" t="s">
        <v>714</v>
      </c>
      <c r="W497" s="143">
        <v>1000</v>
      </c>
      <c r="X497" s="141" t="s">
        <v>703</v>
      </c>
      <c r="Y497" s="141" t="s">
        <v>972</v>
      </c>
      <c r="Z497" s="141" t="s">
        <v>1496</v>
      </c>
      <c r="AA497" s="141">
        <v>5.6250000000000001E-2</v>
      </c>
      <c r="AB497" s="141" t="s">
        <v>712</v>
      </c>
      <c r="AC497" s="143" t="s">
        <v>712</v>
      </c>
      <c r="AD497" s="141" t="s">
        <v>837</v>
      </c>
      <c r="AE497" s="141" t="s">
        <v>712</v>
      </c>
      <c r="AF497" s="141">
        <v>0</v>
      </c>
      <c r="AG497" s="141">
        <v>0</v>
      </c>
      <c r="AH497" s="141">
        <v>299.98124999999999</v>
      </c>
      <c r="AI497" s="141" t="s">
        <v>1499</v>
      </c>
      <c r="AJ497" s="164" t="s">
        <v>2169</v>
      </c>
      <c r="AK497" s="141" t="s">
        <v>703</v>
      </c>
      <c r="AL497" s="129" t="s">
        <v>703</v>
      </c>
      <c r="AM497" s="143"/>
      <c r="AN497" s="143" t="s">
        <v>705</v>
      </c>
      <c r="AO497" s="143"/>
      <c r="AP497" s="143"/>
      <c r="AQ497" s="143"/>
      <c r="AR497" s="143"/>
      <c r="AS497" s="143"/>
      <c r="AT497" s="143"/>
      <c r="AU497" s="143"/>
      <c r="AV497" s="143"/>
      <c r="AW497" s="144"/>
      <c r="AX497" s="145"/>
      <c r="AY497" s="138"/>
      <c r="AZ497" s="138"/>
      <c r="BA497" s="138"/>
      <c r="BB497" s="138"/>
      <c r="BC497" s="138"/>
      <c r="BD497" s="138"/>
      <c r="BE497" s="138"/>
    </row>
    <row r="498" spans="1:57" s="139" customFormat="1" ht="30">
      <c r="A498" s="140" t="s">
        <v>6</v>
      </c>
      <c r="B498" s="129">
        <v>496</v>
      </c>
      <c r="C498" s="141" t="s">
        <v>1443</v>
      </c>
      <c r="D498" s="129" t="s">
        <v>3115</v>
      </c>
      <c r="E498" s="141" t="s">
        <v>1500</v>
      </c>
      <c r="F498" s="141" t="s">
        <v>1501</v>
      </c>
      <c r="G498" s="141" t="s">
        <v>703</v>
      </c>
      <c r="H498" s="129" t="s">
        <v>1491</v>
      </c>
      <c r="I498" s="143" t="s">
        <v>1492</v>
      </c>
      <c r="J498" s="129" t="s">
        <v>971</v>
      </c>
      <c r="K498" s="129" t="s">
        <v>971</v>
      </c>
      <c r="L498" s="129" t="s">
        <v>712</v>
      </c>
      <c r="M498" s="129" t="s">
        <v>712</v>
      </c>
      <c r="N498" s="141">
        <v>20</v>
      </c>
      <c r="O498" s="141" t="s">
        <v>1493</v>
      </c>
      <c r="P498" s="129" t="s">
        <v>703</v>
      </c>
      <c r="Q498" s="129">
        <v>8</v>
      </c>
      <c r="R498" s="143">
        <v>29</v>
      </c>
      <c r="S498" s="143">
        <v>29</v>
      </c>
      <c r="T498" s="141">
        <v>1</v>
      </c>
      <c r="U498" s="141" t="s">
        <v>713</v>
      </c>
      <c r="V498" s="141" t="s">
        <v>714</v>
      </c>
      <c r="W498" s="143">
        <v>1000</v>
      </c>
      <c r="X498" s="141" t="s">
        <v>703</v>
      </c>
      <c r="Y498" s="260" t="s">
        <v>715</v>
      </c>
      <c r="Z498" s="141" t="s">
        <v>1496</v>
      </c>
      <c r="AA498" s="141">
        <v>1</v>
      </c>
      <c r="AB498" s="141" t="s">
        <v>712</v>
      </c>
      <c r="AC498" s="143" t="s">
        <v>712</v>
      </c>
      <c r="AD498" s="141" t="s">
        <v>837</v>
      </c>
      <c r="AE498" s="141" t="s">
        <v>712</v>
      </c>
      <c r="AF498" s="141">
        <v>0</v>
      </c>
      <c r="AG498" s="141">
        <v>0</v>
      </c>
      <c r="AH498" s="141">
        <v>1</v>
      </c>
      <c r="AI498" s="141" t="s">
        <v>712</v>
      </c>
      <c r="AJ498" s="164" t="s">
        <v>561</v>
      </c>
      <c r="AK498" s="141" t="s">
        <v>703</v>
      </c>
      <c r="AL498" s="129" t="s">
        <v>703</v>
      </c>
      <c r="AM498" s="143"/>
      <c r="AN498" s="143" t="s">
        <v>705</v>
      </c>
      <c r="AO498" s="143"/>
      <c r="AP498" s="143"/>
      <c r="AQ498" s="143"/>
      <c r="AR498" s="143"/>
      <c r="AS498" s="143"/>
      <c r="AT498" s="143"/>
      <c r="AU498" s="143"/>
      <c r="AV498" s="143"/>
      <c r="AW498" s="144"/>
      <c r="AX498" s="145"/>
      <c r="AY498" s="138"/>
      <c r="AZ498" s="138"/>
      <c r="BA498" s="138"/>
      <c r="BB498" s="138"/>
      <c r="BC498" s="138"/>
      <c r="BD498" s="138"/>
      <c r="BE498" s="138"/>
    </row>
    <row r="499" spans="1:57" s="139" customFormat="1" ht="30">
      <c r="A499" s="140" t="s">
        <v>6</v>
      </c>
      <c r="B499" s="129">
        <v>497</v>
      </c>
      <c r="C499" s="141" t="s">
        <v>1443</v>
      </c>
      <c r="D499" s="129" t="s">
        <v>3115</v>
      </c>
      <c r="E499" s="141" t="s">
        <v>1502</v>
      </c>
      <c r="F499" s="141" t="s">
        <v>1503</v>
      </c>
      <c r="G499" s="141" t="s">
        <v>703</v>
      </c>
      <c r="H499" s="129" t="s">
        <v>1491</v>
      </c>
      <c r="I499" s="143" t="s">
        <v>1492</v>
      </c>
      <c r="J499" s="129" t="s">
        <v>971</v>
      </c>
      <c r="K499" s="129" t="s">
        <v>971</v>
      </c>
      <c r="L499" s="129" t="s">
        <v>712</v>
      </c>
      <c r="M499" s="129" t="s">
        <v>712</v>
      </c>
      <c r="N499" s="141">
        <v>20</v>
      </c>
      <c r="O499" s="141" t="s">
        <v>1493</v>
      </c>
      <c r="P499" s="129" t="s">
        <v>703</v>
      </c>
      <c r="Q499" s="129">
        <v>8</v>
      </c>
      <c r="R499" s="143">
        <v>28</v>
      </c>
      <c r="S499" s="143">
        <v>32</v>
      </c>
      <c r="T499" s="141">
        <v>13</v>
      </c>
      <c r="U499" s="141" t="s">
        <v>713</v>
      </c>
      <c r="V499" s="141" t="s">
        <v>714</v>
      </c>
      <c r="W499" s="143">
        <v>1000</v>
      </c>
      <c r="X499" s="141" t="s">
        <v>703</v>
      </c>
      <c r="Y499" s="141" t="s">
        <v>972</v>
      </c>
      <c r="Z499" s="141" t="s">
        <v>1496</v>
      </c>
      <c r="AA499" s="141">
        <v>5.6250000000000001E-2</v>
      </c>
      <c r="AB499" s="141" t="s">
        <v>712</v>
      </c>
      <c r="AC499" s="143" t="s">
        <v>712</v>
      </c>
      <c r="AD499" s="141" t="s">
        <v>837</v>
      </c>
      <c r="AE499" s="141" t="s">
        <v>712</v>
      </c>
      <c r="AF499" s="141">
        <v>0</v>
      </c>
      <c r="AG499" s="141">
        <v>0</v>
      </c>
      <c r="AH499" s="141">
        <v>299.98124999999999</v>
      </c>
      <c r="AI499" s="141" t="s">
        <v>1499</v>
      </c>
      <c r="AJ499" s="164" t="s">
        <v>2169</v>
      </c>
      <c r="AK499" s="141" t="s">
        <v>703</v>
      </c>
      <c r="AL499" s="129" t="s">
        <v>703</v>
      </c>
      <c r="AM499" s="143"/>
      <c r="AN499" s="143" t="s">
        <v>705</v>
      </c>
      <c r="AO499" s="143"/>
      <c r="AP499" s="143"/>
      <c r="AQ499" s="143"/>
      <c r="AR499" s="143"/>
      <c r="AS499" s="143"/>
      <c r="AT499" s="143"/>
      <c r="AU499" s="143"/>
      <c r="AV499" s="143"/>
      <c r="AW499" s="144"/>
      <c r="AX499" s="145"/>
      <c r="AY499" s="138"/>
      <c r="AZ499" s="138"/>
      <c r="BA499" s="138"/>
      <c r="BB499" s="138"/>
      <c r="BC499" s="138"/>
      <c r="BD499" s="138"/>
      <c r="BE499" s="138"/>
    </row>
    <row r="500" spans="1:57" s="139" customFormat="1" ht="25">
      <c r="A500" s="140" t="s">
        <v>6</v>
      </c>
      <c r="B500" s="129">
        <v>498</v>
      </c>
      <c r="C500" s="141" t="s">
        <v>1443</v>
      </c>
      <c r="D500" s="129" t="s">
        <v>3115</v>
      </c>
      <c r="E500" s="141" t="s">
        <v>1504</v>
      </c>
      <c r="F500" s="141" t="s">
        <v>1505</v>
      </c>
      <c r="G500" s="141" t="s">
        <v>703</v>
      </c>
      <c r="H500" s="129" t="s">
        <v>1491</v>
      </c>
      <c r="I500" s="143" t="s">
        <v>1492</v>
      </c>
      <c r="J500" s="129" t="s">
        <v>971</v>
      </c>
      <c r="K500" s="129" t="s">
        <v>971</v>
      </c>
      <c r="L500" s="129" t="s">
        <v>712</v>
      </c>
      <c r="M500" s="129" t="s">
        <v>712</v>
      </c>
      <c r="N500" s="141">
        <v>20</v>
      </c>
      <c r="O500" s="141" t="s">
        <v>1493</v>
      </c>
      <c r="P500" s="129" t="s">
        <v>703</v>
      </c>
      <c r="Q500" s="129">
        <v>8</v>
      </c>
      <c r="R500" s="141">
        <v>59</v>
      </c>
      <c r="S500" s="141">
        <v>56</v>
      </c>
      <c r="T500" s="141">
        <v>4</v>
      </c>
      <c r="U500" s="141" t="s">
        <v>713</v>
      </c>
      <c r="V500" s="141" t="s">
        <v>714</v>
      </c>
      <c r="W500" s="143">
        <v>1000</v>
      </c>
      <c r="X500" s="141" t="s">
        <v>703</v>
      </c>
      <c r="Y500" s="141" t="s">
        <v>715</v>
      </c>
      <c r="Z500" s="141" t="s">
        <v>1506</v>
      </c>
      <c r="AA500" s="141">
        <v>1</v>
      </c>
      <c r="AB500" s="141" t="s">
        <v>712</v>
      </c>
      <c r="AC500" s="143" t="s">
        <v>712</v>
      </c>
      <c r="AD500" s="141" t="s">
        <v>837</v>
      </c>
      <c r="AE500" s="141" t="s">
        <v>712</v>
      </c>
      <c r="AF500" s="141">
        <v>0</v>
      </c>
      <c r="AG500" s="143">
        <v>0</v>
      </c>
      <c r="AH500" s="143">
        <v>15</v>
      </c>
      <c r="AI500" s="141" t="s">
        <v>712</v>
      </c>
      <c r="AJ500" s="164" t="s">
        <v>712</v>
      </c>
      <c r="AK500" s="141" t="s">
        <v>703</v>
      </c>
      <c r="AL500" s="129" t="s">
        <v>703</v>
      </c>
      <c r="AM500" s="143"/>
      <c r="AN500" s="143" t="s">
        <v>705</v>
      </c>
      <c r="AO500" s="143"/>
      <c r="AP500" s="143"/>
      <c r="AQ500" s="143"/>
      <c r="AR500" s="143"/>
      <c r="AS500" s="143"/>
      <c r="AT500" s="143"/>
      <c r="AU500" s="143"/>
      <c r="AV500" s="143"/>
      <c r="AW500" s="144"/>
      <c r="AX500" s="145"/>
      <c r="AY500" s="138"/>
      <c r="AZ500" s="138"/>
      <c r="BA500" s="138"/>
      <c r="BB500" s="138"/>
      <c r="BC500" s="138"/>
      <c r="BD500" s="138"/>
      <c r="BE500" s="138"/>
    </row>
    <row r="501" spans="1:57" s="139" customFormat="1" ht="44">
      <c r="A501" s="140" t="s">
        <v>6</v>
      </c>
      <c r="B501" s="129">
        <v>499</v>
      </c>
      <c r="C501" s="141" t="s">
        <v>1443</v>
      </c>
      <c r="D501" s="129" t="s">
        <v>3115</v>
      </c>
      <c r="E501" s="141" t="s">
        <v>1507</v>
      </c>
      <c r="F501" s="141" t="s">
        <v>1490</v>
      </c>
      <c r="G501" s="141" t="s">
        <v>703</v>
      </c>
      <c r="H501" s="129" t="s">
        <v>1508</v>
      </c>
      <c r="I501" s="129" t="s">
        <v>1509</v>
      </c>
      <c r="J501" s="129" t="s">
        <v>971</v>
      </c>
      <c r="K501" s="129" t="s">
        <v>971</v>
      </c>
      <c r="L501" s="129" t="s">
        <v>712</v>
      </c>
      <c r="M501" s="129" t="s">
        <v>712</v>
      </c>
      <c r="N501" s="141">
        <v>20</v>
      </c>
      <c r="O501" s="141" t="s">
        <v>1493</v>
      </c>
      <c r="P501" s="129" t="s">
        <v>703</v>
      </c>
      <c r="Q501" s="129">
        <v>8</v>
      </c>
      <c r="R501" s="141">
        <v>7</v>
      </c>
      <c r="S501" s="141">
        <v>0</v>
      </c>
      <c r="T501" s="141">
        <v>8</v>
      </c>
      <c r="U501" s="141" t="s">
        <v>713</v>
      </c>
      <c r="V501" s="141" t="s">
        <v>714</v>
      </c>
      <c r="W501" s="143">
        <v>1000</v>
      </c>
      <c r="X501" s="141" t="s">
        <v>703</v>
      </c>
      <c r="Y501" s="141" t="s">
        <v>1143</v>
      </c>
      <c r="Z501" s="141" t="s">
        <v>837</v>
      </c>
      <c r="AA501" s="141">
        <v>1</v>
      </c>
      <c r="AB501" s="141" t="s">
        <v>712</v>
      </c>
      <c r="AC501" s="143" t="s">
        <v>712</v>
      </c>
      <c r="AD501" s="141" t="s">
        <v>837</v>
      </c>
      <c r="AE501" s="141" t="s">
        <v>712</v>
      </c>
      <c r="AF501" s="141">
        <v>0</v>
      </c>
      <c r="AG501" s="143">
        <v>0</v>
      </c>
      <c r="AH501" s="143">
        <v>255</v>
      </c>
      <c r="AI501" s="141" t="s">
        <v>837</v>
      </c>
      <c r="AJ501" s="164" t="s">
        <v>198</v>
      </c>
      <c r="AK501" s="141" t="s">
        <v>703</v>
      </c>
      <c r="AL501" s="129" t="s">
        <v>703</v>
      </c>
      <c r="AM501" s="143"/>
      <c r="AN501" s="143" t="s">
        <v>705</v>
      </c>
      <c r="AO501" s="143"/>
      <c r="AP501" s="143"/>
      <c r="AQ501" s="143"/>
      <c r="AR501" s="143"/>
      <c r="AS501" s="143"/>
      <c r="AT501" s="143"/>
      <c r="AU501" s="143"/>
      <c r="AV501" s="143"/>
      <c r="AW501" s="144"/>
      <c r="AX501" s="145"/>
      <c r="AY501" s="138"/>
      <c r="AZ501" s="138"/>
      <c r="BA501" s="138"/>
      <c r="BB501" s="138"/>
      <c r="BC501" s="138"/>
      <c r="BD501" s="138"/>
      <c r="BE501" s="138"/>
    </row>
    <row r="502" spans="1:57" s="139" customFormat="1" ht="30">
      <c r="A502" s="140" t="s">
        <v>6</v>
      </c>
      <c r="B502" s="129">
        <v>500</v>
      </c>
      <c r="C502" s="141" t="s">
        <v>1443</v>
      </c>
      <c r="D502" s="129" t="s">
        <v>3115</v>
      </c>
      <c r="E502" s="141" t="s">
        <v>1510</v>
      </c>
      <c r="F502" s="141" t="s">
        <v>1511</v>
      </c>
      <c r="G502" s="141" t="s">
        <v>703</v>
      </c>
      <c r="H502" s="129" t="s">
        <v>1508</v>
      </c>
      <c r="I502" s="129" t="s">
        <v>1509</v>
      </c>
      <c r="J502" s="129" t="s">
        <v>971</v>
      </c>
      <c r="K502" s="129" t="s">
        <v>971</v>
      </c>
      <c r="L502" s="129" t="s">
        <v>712</v>
      </c>
      <c r="M502" s="129" t="s">
        <v>712</v>
      </c>
      <c r="N502" s="141">
        <v>20</v>
      </c>
      <c r="O502" s="141" t="s">
        <v>1493</v>
      </c>
      <c r="P502" s="129" t="s">
        <v>703</v>
      </c>
      <c r="Q502" s="129">
        <v>8</v>
      </c>
      <c r="R502" s="143">
        <v>13</v>
      </c>
      <c r="S502" s="143">
        <v>13</v>
      </c>
      <c r="T502" s="141">
        <v>1</v>
      </c>
      <c r="U502" s="141" t="s">
        <v>713</v>
      </c>
      <c r="V502" s="141" t="s">
        <v>714</v>
      </c>
      <c r="W502" s="143">
        <v>1000</v>
      </c>
      <c r="X502" s="141" t="s">
        <v>703</v>
      </c>
      <c r="Y502" s="260" t="s">
        <v>715</v>
      </c>
      <c r="Z502" s="141" t="s">
        <v>1496</v>
      </c>
      <c r="AA502" s="141">
        <v>1</v>
      </c>
      <c r="AB502" s="141" t="s">
        <v>712</v>
      </c>
      <c r="AC502" s="143" t="s">
        <v>712</v>
      </c>
      <c r="AD502" s="141" t="s">
        <v>837</v>
      </c>
      <c r="AE502" s="141" t="s">
        <v>712</v>
      </c>
      <c r="AF502" s="141">
        <v>0</v>
      </c>
      <c r="AG502" s="141">
        <v>0</v>
      </c>
      <c r="AH502" s="141">
        <v>1</v>
      </c>
      <c r="AI502" s="141" t="s">
        <v>712</v>
      </c>
      <c r="AJ502" s="164" t="s">
        <v>561</v>
      </c>
      <c r="AK502" s="141" t="s">
        <v>703</v>
      </c>
      <c r="AL502" s="129" t="s">
        <v>703</v>
      </c>
      <c r="AM502" s="143"/>
      <c r="AN502" s="143" t="s">
        <v>705</v>
      </c>
      <c r="AO502" s="143"/>
      <c r="AP502" s="143"/>
      <c r="AQ502" s="143"/>
      <c r="AR502" s="143"/>
      <c r="AS502" s="143"/>
      <c r="AT502" s="143"/>
      <c r="AU502" s="143"/>
      <c r="AV502" s="143"/>
      <c r="AW502" s="144"/>
      <c r="AX502" s="145"/>
      <c r="AY502" s="138"/>
      <c r="AZ502" s="138"/>
      <c r="BA502" s="138"/>
      <c r="BB502" s="138"/>
      <c r="BC502" s="138"/>
      <c r="BD502" s="138"/>
      <c r="BE502" s="138"/>
    </row>
    <row r="503" spans="1:57" s="139" customFormat="1" ht="30">
      <c r="A503" s="140" t="s">
        <v>6</v>
      </c>
      <c r="B503" s="129">
        <v>501</v>
      </c>
      <c r="C503" s="141" t="s">
        <v>1443</v>
      </c>
      <c r="D503" s="129" t="s">
        <v>3115</v>
      </c>
      <c r="E503" s="141" t="s">
        <v>1512</v>
      </c>
      <c r="F503" s="141" t="s">
        <v>1513</v>
      </c>
      <c r="G503" s="141" t="s">
        <v>703</v>
      </c>
      <c r="H503" s="129" t="s">
        <v>1508</v>
      </c>
      <c r="I503" s="129" t="s">
        <v>1509</v>
      </c>
      <c r="J503" s="129" t="s">
        <v>971</v>
      </c>
      <c r="K503" s="129" t="s">
        <v>971</v>
      </c>
      <c r="L503" s="129" t="s">
        <v>712</v>
      </c>
      <c r="M503" s="129" t="s">
        <v>712</v>
      </c>
      <c r="N503" s="141">
        <v>20</v>
      </c>
      <c r="O503" s="141" t="s">
        <v>1493</v>
      </c>
      <c r="P503" s="129" t="s">
        <v>703</v>
      </c>
      <c r="Q503" s="129">
        <v>8</v>
      </c>
      <c r="R503" s="143">
        <v>12</v>
      </c>
      <c r="S503" s="143">
        <v>16</v>
      </c>
      <c r="T503" s="141">
        <v>13</v>
      </c>
      <c r="U503" s="141" t="s">
        <v>713</v>
      </c>
      <c r="V503" s="141" t="s">
        <v>714</v>
      </c>
      <c r="W503" s="143">
        <v>1000</v>
      </c>
      <c r="X503" s="141" t="s">
        <v>703</v>
      </c>
      <c r="Y503" s="141" t="s">
        <v>972</v>
      </c>
      <c r="Z503" s="141" t="s">
        <v>1496</v>
      </c>
      <c r="AA503" s="141">
        <v>5.6250000000000001E-2</v>
      </c>
      <c r="AB503" s="141" t="s">
        <v>712</v>
      </c>
      <c r="AC503" s="143" t="s">
        <v>712</v>
      </c>
      <c r="AD503" s="141" t="s">
        <v>837</v>
      </c>
      <c r="AE503" s="141" t="s">
        <v>712</v>
      </c>
      <c r="AF503" s="141">
        <v>0</v>
      </c>
      <c r="AG503" s="141">
        <v>0</v>
      </c>
      <c r="AH503" s="141">
        <v>299.98124999999999</v>
      </c>
      <c r="AI503" s="141" t="s">
        <v>1499</v>
      </c>
      <c r="AJ503" s="164" t="s">
        <v>2169</v>
      </c>
      <c r="AK503" s="141" t="s">
        <v>703</v>
      </c>
      <c r="AL503" s="129" t="s">
        <v>703</v>
      </c>
      <c r="AM503" s="143"/>
      <c r="AN503" s="143" t="s">
        <v>705</v>
      </c>
      <c r="AO503" s="143"/>
      <c r="AP503" s="143"/>
      <c r="AQ503" s="143"/>
      <c r="AR503" s="143"/>
      <c r="AS503" s="143"/>
      <c r="AT503" s="143"/>
      <c r="AU503" s="143"/>
      <c r="AV503" s="143"/>
      <c r="AW503" s="144"/>
      <c r="AX503" s="145"/>
      <c r="AY503" s="138"/>
      <c r="AZ503" s="138"/>
      <c r="BA503" s="138"/>
      <c r="BB503" s="138"/>
      <c r="BC503" s="138"/>
      <c r="BD503" s="138"/>
      <c r="BE503" s="138"/>
    </row>
    <row r="504" spans="1:57" s="139" customFormat="1" ht="30">
      <c r="A504" s="140" t="s">
        <v>6</v>
      </c>
      <c r="B504" s="129">
        <v>502</v>
      </c>
      <c r="C504" s="141" t="s">
        <v>1443</v>
      </c>
      <c r="D504" s="129" t="s">
        <v>3115</v>
      </c>
      <c r="E504" s="141" t="s">
        <v>1514</v>
      </c>
      <c r="F504" s="141" t="s">
        <v>1515</v>
      </c>
      <c r="G504" s="141" t="s">
        <v>703</v>
      </c>
      <c r="H504" s="129" t="s">
        <v>1508</v>
      </c>
      <c r="I504" s="129" t="s">
        <v>1509</v>
      </c>
      <c r="J504" s="129" t="s">
        <v>971</v>
      </c>
      <c r="K504" s="129" t="s">
        <v>971</v>
      </c>
      <c r="L504" s="129" t="s">
        <v>712</v>
      </c>
      <c r="M504" s="129" t="s">
        <v>712</v>
      </c>
      <c r="N504" s="141">
        <v>20</v>
      </c>
      <c r="O504" s="141" t="s">
        <v>1493</v>
      </c>
      <c r="P504" s="129" t="s">
        <v>703</v>
      </c>
      <c r="Q504" s="129">
        <v>8</v>
      </c>
      <c r="R504" s="143">
        <v>29</v>
      </c>
      <c r="S504" s="143">
        <v>29</v>
      </c>
      <c r="T504" s="141">
        <v>1</v>
      </c>
      <c r="U504" s="141" t="s">
        <v>713</v>
      </c>
      <c r="V504" s="141" t="s">
        <v>714</v>
      </c>
      <c r="W504" s="143">
        <v>1000</v>
      </c>
      <c r="X504" s="141" t="s">
        <v>703</v>
      </c>
      <c r="Y504" s="260" t="s">
        <v>715</v>
      </c>
      <c r="Z504" s="141" t="s">
        <v>1496</v>
      </c>
      <c r="AA504" s="141">
        <v>1</v>
      </c>
      <c r="AB504" s="141" t="s">
        <v>712</v>
      </c>
      <c r="AC504" s="143" t="s">
        <v>712</v>
      </c>
      <c r="AD504" s="141" t="s">
        <v>837</v>
      </c>
      <c r="AE504" s="141" t="s">
        <v>712</v>
      </c>
      <c r="AF504" s="141">
        <v>0</v>
      </c>
      <c r="AG504" s="141">
        <v>0</v>
      </c>
      <c r="AH504" s="141">
        <v>1</v>
      </c>
      <c r="AI504" s="141" t="s">
        <v>712</v>
      </c>
      <c r="AJ504" s="164" t="s">
        <v>561</v>
      </c>
      <c r="AK504" s="141" t="s">
        <v>703</v>
      </c>
      <c r="AL504" s="129" t="s">
        <v>703</v>
      </c>
      <c r="AM504" s="143"/>
      <c r="AN504" s="143" t="s">
        <v>705</v>
      </c>
      <c r="AO504" s="143"/>
      <c r="AP504" s="143"/>
      <c r="AQ504" s="143"/>
      <c r="AR504" s="143"/>
      <c r="AS504" s="143"/>
      <c r="AT504" s="143"/>
      <c r="AU504" s="143"/>
      <c r="AV504" s="143"/>
      <c r="AW504" s="144"/>
      <c r="AX504" s="145"/>
      <c r="AY504" s="138"/>
      <c r="AZ504" s="138"/>
      <c r="BA504" s="138"/>
      <c r="BB504" s="138"/>
      <c r="BC504" s="138"/>
      <c r="BD504" s="138"/>
      <c r="BE504" s="138"/>
    </row>
    <row r="505" spans="1:57" s="139" customFormat="1" ht="30">
      <c r="A505" s="140" t="s">
        <v>6</v>
      </c>
      <c r="B505" s="129">
        <v>503</v>
      </c>
      <c r="C505" s="141" t="s">
        <v>1443</v>
      </c>
      <c r="D505" s="129" t="s">
        <v>3115</v>
      </c>
      <c r="E505" s="141" t="s">
        <v>1516</v>
      </c>
      <c r="F505" s="141" t="s">
        <v>1517</v>
      </c>
      <c r="G505" s="141" t="s">
        <v>703</v>
      </c>
      <c r="H505" s="129" t="s">
        <v>1508</v>
      </c>
      <c r="I505" s="129" t="s">
        <v>1509</v>
      </c>
      <c r="J505" s="129" t="s">
        <v>971</v>
      </c>
      <c r="K505" s="129" t="s">
        <v>971</v>
      </c>
      <c r="L505" s="129" t="s">
        <v>712</v>
      </c>
      <c r="M505" s="129" t="s">
        <v>712</v>
      </c>
      <c r="N505" s="141">
        <v>20</v>
      </c>
      <c r="O505" s="141" t="s">
        <v>1493</v>
      </c>
      <c r="P505" s="129" t="s">
        <v>703</v>
      </c>
      <c r="Q505" s="129">
        <v>8</v>
      </c>
      <c r="R505" s="143">
        <v>28</v>
      </c>
      <c r="S505" s="143">
        <v>32</v>
      </c>
      <c r="T505" s="141">
        <v>13</v>
      </c>
      <c r="U505" s="141" t="s">
        <v>713</v>
      </c>
      <c r="V505" s="141" t="s">
        <v>714</v>
      </c>
      <c r="W505" s="143">
        <v>1000</v>
      </c>
      <c r="X505" s="141" t="s">
        <v>703</v>
      </c>
      <c r="Y505" s="141" t="s">
        <v>972</v>
      </c>
      <c r="Z505" s="141" t="s">
        <v>1496</v>
      </c>
      <c r="AA505" s="141">
        <v>5.6250000000000001E-2</v>
      </c>
      <c r="AB505" s="141" t="s">
        <v>712</v>
      </c>
      <c r="AC505" s="143" t="s">
        <v>712</v>
      </c>
      <c r="AD505" s="141" t="s">
        <v>837</v>
      </c>
      <c r="AE505" s="141" t="s">
        <v>712</v>
      </c>
      <c r="AF505" s="141">
        <v>0</v>
      </c>
      <c r="AG505" s="141">
        <v>0</v>
      </c>
      <c r="AH505" s="141">
        <v>299.98124999999999</v>
      </c>
      <c r="AI505" s="141" t="s">
        <v>1499</v>
      </c>
      <c r="AJ505" s="164" t="s">
        <v>2169</v>
      </c>
      <c r="AK505" s="141" t="s">
        <v>703</v>
      </c>
      <c r="AL505" s="129" t="s">
        <v>703</v>
      </c>
      <c r="AM505" s="143"/>
      <c r="AN505" s="143" t="s">
        <v>705</v>
      </c>
      <c r="AO505" s="143"/>
      <c r="AP505" s="143"/>
      <c r="AQ505" s="143"/>
      <c r="AR505" s="143"/>
      <c r="AS505" s="143"/>
      <c r="AT505" s="143"/>
      <c r="AU505" s="143"/>
      <c r="AV505" s="143"/>
      <c r="AW505" s="144"/>
      <c r="AX505" s="145"/>
      <c r="AY505" s="138"/>
      <c r="AZ505" s="138"/>
      <c r="BA505" s="138"/>
      <c r="BB505" s="138"/>
      <c r="BC505" s="138"/>
      <c r="BD505" s="138"/>
      <c r="BE505" s="138"/>
    </row>
    <row r="506" spans="1:57" s="139" customFormat="1" ht="25">
      <c r="A506" s="140" t="s">
        <v>6</v>
      </c>
      <c r="B506" s="129">
        <v>504</v>
      </c>
      <c r="C506" s="141" t="s">
        <v>1443</v>
      </c>
      <c r="D506" s="129" t="s">
        <v>3115</v>
      </c>
      <c r="E506" s="141" t="s">
        <v>1518</v>
      </c>
      <c r="F506" s="141" t="s">
        <v>1505</v>
      </c>
      <c r="G506" s="141" t="s">
        <v>703</v>
      </c>
      <c r="H506" s="129" t="s">
        <v>1508</v>
      </c>
      <c r="I506" s="129" t="s">
        <v>1509</v>
      </c>
      <c r="J506" s="129" t="s">
        <v>971</v>
      </c>
      <c r="K506" s="129" t="s">
        <v>971</v>
      </c>
      <c r="L506" s="129" t="s">
        <v>712</v>
      </c>
      <c r="M506" s="129" t="s">
        <v>712</v>
      </c>
      <c r="N506" s="141">
        <v>20</v>
      </c>
      <c r="O506" s="141" t="s">
        <v>1493</v>
      </c>
      <c r="P506" s="129" t="s">
        <v>703</v>
      </c>
      <c r="Q506" s="129">
        <v>8</v>
      </c>
      <c r="R506" s="141">
        <v>59</v>
      </c>
      <c r="S506" s="141">
        <v>56</v>
      </c>
      <c r="T506" s="141">
        <v>4</v>
      </c>
      <c r="U506" s="141" t="s">
        <v>713</v>
      </c>
      <c r="V506" s="141" t="s">
        <v>714</v>
      </c>
      <c r="W506" s="143">
        <v>1000</v>
      </c>
      <c r="X506" s="141" t="s">
        <v>703</v>
      </c>
      <c r="Y506" s="141" t="s">
        <v>715</v>
      </c>
      <c r="Z506" s="141" t="s">
        <v>1506</v>
      </c>
      <c r="AA506" s="141">
        <v>1</v>
      </c>
      <c r="AB506" s="141" t="s">
        <v>712</v>
      </c>
      <c r="AC506" s="143" t="s">
        <v>712</v>
      </c>
      <c r="AD506" s="141" t="s">
        <v>837</v>
      </c>
      <c r="AE506" s="141" t="s">
        <v>712</v>
      </c>
      <c r="AF506" s="141">
        <v>0</v>
      </c>
      <c r="AG506" s="143">
        <v>0</v>
      </c>
      <c r="AH506" s="143">
        <v>15</v>
      </c>
      <c r="AI506" s="141" t="s">
        <v>712</v>
      </c>
      <c r="AJ506" s="164" t="s">
        <v>198</v>
      </c>
      <c r="AK506" s="141" t="s">
        <v>703</v>
      </c>
      <c r="AL506" s="129" t="s">
        <v>703</v>
      </c>
      <c r="AM506" s="143"/>
      <c r="AN506" s="143" t="s">
        <v>705</v>
      </c>
      <c r="AO506" s="143"/>
      <c r="AP506" s="143"/>
      <c r="AQ506" s="143"/>
      <c r="AR506" s="143"/>
      <c r="AS506" s="143"/>
      <c r="AT506" s="143"/>
      <c r="AU506" s="143"/>
      <c r="AV506" s="143"/>
      <c r="AW506" s="144"/>
      <c r="AX506" s="145"/>
      <c r="AY506" s="138"/>
      <c r="AZ506" s="138"/>
      <c r="BA506" s="138"/>
      <c r="BB506" s="138"/>
      <c r="BC506" s="138"/>
      <c r="BD506" s="138"/>
      <c r="BE506" s="138"/>
    </row>
    <row r="507" spans="1:57" s="139" customFormat="1" ht="44">
      <c r="A507" s="140" t="s">
        <v>6</v>
      </c>
      <c r="B507" s="129">
        <v>505</v>
      </c>
      <c r="C507" s="141" t="s">
        <v>1443</v>
      </c>
      <c r="D507" s="253" t="s">
        <v>3119</v>
      </c>
      <c r="E507" s="141" t="s">
        <v>1519</v>
      </c>
      <c r="F507" s="141" t="s">
        <v>1273</v>
      </c>
      <c r="G507" s="141" t="s">
        <v>703</v>
      </c>
      <c r="H507" s="141" t="s">
        <v>1520</v>
      </c>
      <c r="I507" s="169" t="s">
        <v>1828</v>
      </c>
      <c r="J507" s="129" t="s">
        <v>971</v>
      </c>
      <c r="K507" s="129" t="s">
        <v>971</v>
      </c>
      <c r="L507" s="141" t="s">
        <v>703</v>
      </c>
      <c r="M507" s="141" t="s">
        <v>703</v>
      </c>
      <c r="N507" s="141">
        <v>20</v>
      </c>
      <c r="O507" s="141" t="s">
        <v>703</v>
      </c>
      <c r="P507" s="129" t="s">
        <v>703</v>
      </c>
      <c r="Q507" s="141">
        <v>8</v>
      </c>
      <c r="R507" s="141">
        <v>7</v>
      </c>
      <c r="S507" s="141">
        <v>0</v>
      </c>
      <c r="T507" s="141">
        <v>8</v>
      </c>
      <c r="U507" s="141" t="s">
        <v>1521</v>
      </c>
      <c r="V507" s="141" t="s">
        <v>714</v>
      </c>
      <c r="W507" s="129" t="s">
        <v>703</v>
      </c>
      <c r="X507" s="141" t="s">
        <v>703</v>
      </c>
      <c r="Y507" s="141" t="s">
        <v>715</v>
      </c>
      <c r="Z507" s="141" t="s">
        <v>194</v>
      </c>
      <c r="AA507" s="141">
        <v>1</v>
      </c>
      <c r="AB507" s="141" t="s">
        <v>703</v>
      </c>
      <c r="AC507" s="141" t="s">
        <v>703</v>
      </c>
      <c r="AD507" s="141" t="s">
        <v>703</v>
      </c>
      <c r="AE507" s="141" t="s">
        <v>703</v>
      </c>
      <c r="AF507" s="141">
        <v>0</v>
      </c>
      <c r="AG507" s="141">
        <v>0</v>
      </c>
      <c r="AH507" s="141">
        <v>255</v>
      </c>
      <c r="AI507" s="141" t="s">
        <v>703</v>
      </c>
      <c r="AJ507" s="164" t="s">
        <v>703</v>
      </c>
      <c r="AK507" s="143"/>
      <c r="AL507" s="141" t="s">
        <v>704</v>
      </c>
      <c r="AM507" s="143" t="s">
        <v>705</v>
      </c>
      <c r="AN507" s="160" t="s">
        <v>2397</v>
      </c>
      <c r="AO507" s="143"/>
      <c r="AP507" s="143"/>
      <c r="AQ507" s="143"/>
      <c r="AR507" s="143"/>
      <c r="AS507" s="143"/>
      <c r="AT507" s="143"/>
      <c r="AU507" s="143"/>
      <c r="AV507" s="143"/>
      <c r="AW507" s="144"/>
      <c r="AX507" s="145"/>
      <c r="AY507" s="138"/>
      <c r="AZ507" s="138"/>
      <c r="BA507" s="138"/>
      <c r="BB507" s="138"/>
      <c r="BC507" s="138"/>
      <c r="BD507" s="138"/>
      <c r="BE507" s="138"/>
    </row>
    <row r="508" spans="1:57" s="139" customFormat="1" ht="58">
      <c r="A508" s="140" t="s">
        <v>6</v>
      </c>
      <c r="B508" s="129">
        <v>506</v>
      </c>
      <c r="C508" s="141" t="s">
        <v>1443</v>
      </c>
      <c r="D508" s="253" t="s">
        <v>3119</v>
      </c>
      <c r="E508" s="141" t="s">
        <v>1541</v>
      </c>
      <c r="F508" s="141" t="s">
        <v>1542</v>
      </c>
      <c r="G508" s="141" t="s">
        <v>703</v>
      </c>
      <c r="H508" s="141" t="s">
        <v>1520</v>
      </c>
      <c r="I508" s="169" t="s">
        <v>1828</v>
      </c>
      <c r="J508" s="129" t="s">
        <v>971</v>
      </c>
      <c r="K508" s="129" t="s">
        <v>971</v>
      </c>
      <c r="L508" s="141" t="s">
        <v>703</v>
      </c>
      <c r="M508" s="141" t="s">
        <v>703</v>
      </c>
      <c r="N508" s="141">
        <v>20</v>
      </c>
      <c r="O508" s="141" t="s">
        <v>703</v>
      </c>
      <c r="P508" s="129" t="s">
        <v>703</v>
      </c>
      <c r="Q508" s="141">
        <v>8</v>
      </c>
      <c r="R508" s="141">
        <v>15</v>
      </c>
      <c r="S508" s="141">
        <v>15</v>
      </c>
      <c r="T508" s="141">
        <v>1</v>
      </c>
      <c r="U508" s="141" t="s">
        <v>1521</v>
      </c>
      <c r="V508" s="141" t="s">
        <v>714</v>
      </c>
      <c r="W508" s="129" t="s">
        <v>703</v>
      </c>
      <c r="X508" s="141" t="s">
        <v>703</v>
      </c>
      <c r="Y508" s="141" t="s">
        <v>1441</v>
      </c>
      <c r="Z508" s="141" t="s">
        <v>703</v>
      </c>
      <c r="AA508" s="141">
        <v>1</v>
      </c>
      <c r="AB508" s="141" t="s">
        <v>703</v>
      </c>
      <c r="AC508" s="141" t="s">
        <v>703</v>
      </c>
      <c r="AD508" s="141" t="s">
        <v>703</v>
      </c>
      <c r="AE508" s="141" t="s">
        <v>703</v>
      </c>
      <c r="AF508" s="141">
        <v>0</v>
      </c>
      <c r="AG508" s="141">
        <v>0</v>
      </c>
      <c r="AH508" s="141">
        <v>1</v>
      </c>
      <c r="AI508" s="141" t="s">
        <v>712</v>
      </c>
      <c r="AJ508" s="164" t="s">
        <v>1543</v>
      </c>
      <c r="AK508" s="143" t="s">
        <v>703</v>
      </c>
      <c r="AL508" s="141" t="s">
        <v>1344</v>
      </c>
      <c r="AM508" s="143" t="s">
        <v>705</v>
      </c>
      <c r="AN508" s="143" t="s">
        <v>705</v>
      </c>
      <c r="AO508" s="143"/>
      <c r="AP508" s="143"/>
      <c r="AQ508" s="143"/>
      <c r="AR508" s="143"/>
      <c r="AS508" s="143"/>
      <c r="AT508" s="143"/>
      <c r="AU508" s="143"/>
      <c r="AV508" s="143"/>
      <c r="AW508" s="144"/>
      <c r="AX508" s="145"/>
      <c r="AY508" s="138"/>
      <c r="AZ508" s="138"/>
      <c r="BA508" s="138"/>
      <c r="BB508" s="138"/>
      <c r="BC508" s="138"/>
      <c r="BD508" s="138"/>
      <c r="BE508" s="138"/>
    </row>
    <row r="509" spans="1:57" s="139" customFormat="1" ht="72">
      <c r="A509" s="140" t="s">
        <v>6</v>
      </c>
      <c r="B509" s="129">
        <v>507</v>
      </c>
      <c r="C509" s="141" t="s">
        <v>1443</v>
      </c>
      <c r="D509" s="253" t="s">
        <v>3095</v>
      </c>
      <c r="E509" s="141" t="s">
        <v>1544</v>
      </c>
      <c r="F509" s="141" t="s">
        <v>1545</v>
      </c>
      <c r="G509" s="141" t="s">
        <v>703</v>
      </c>
      <c r="H509" s="141" t="s">
        <v>1520</v>
      </c>
      <c r="I509" s="169" t="s">
        <v>1828</v>
      </c>
      <c r="J509" s="129" t="s">
        <v>971</v>
      </c>
      <c r="K509" s="129" t="s">
        <v>971</v>
      </c>
      <c r="L509" s="141" t="s">
        <v>703</v>
      </c>
      <c r="M509" s="141" t="s">
        <v>703</v>
      </c>
      <c r="N509" s="141">
        <v>20</v>
      </c>
      <c r="O509" s="141" t="s">
        <v>703</v>
      </c>
      <c r="P509" s="129" t="s">
        <v>703</v>
      </c>
      <c r="Q509" s="141">
        <v>8</v>
      </c>
      <c r="R509" s="141">
        <v>14</v>
      </c>
      <c r="S509" s="141">
        <v>14</v>
      </c>
      <c r="T509" s="141">
        <v>1</v>
      </c>
      <c r="U509" s="141" t="s">
        <v>1521</v>
      </c>
      <c r="V509" s="141" t="s">
        <v>714</v>
      </c>
      <c r="W509" s="129" t="s">
        <v>703</v>
      </c>
      <c r="X509" s="141" t="s">
        <v>703</v>
      </c>
      <c r="Y509" s="141" t="s">
        <v>1441</v>
      </c>
      <c r="Z509" s="141" t="s">
        <v>194</v>
      </c>
      <c r="AA509" s="141">
        <v>1</v>
      </c>
      <c r="AB509" s="141" t="s">
        <v>703</v>
      </c>
      <c r="AC509" s="141" t="s">
        <v>703</v>
      </c>
      <c r="AD509" s="141" t="s">
        <v>703</v>
      </c>
      <c r="AE509" s="141" t="s">
        <v>703</v>
      </c>
      <c r="AF509" s="141">
        <v>0</v>
      </c>
      <c r="AG509" s="141">
        <v>0</v>
      </c>
      <c r="AH509" s="141">
        <v>1</v>
      </c>
      <c r="AI509" s="141" t="s">
        <v>712</v>
      </c>
      <c r="AJ509" s="164" t="s">
        <v>1543</v>
      </c>
      <c r="AK509" s="143" t="s">
        <v>703</v>
      </c>
      <c r="AL509" s="141" t="s">
        <v>530</v>
      </c>
      <c r="AM509" s="143" t="s">
        <v>705</v>
      </c>
      <c r="AN509" s="143"/>
      <c r="AO509" s="143"/>
      <c r="AP509" s="143"/>
      <c r="AQ509" s="143"/>
      <c r="AR509" s="143"/>
      <c r="AS509" s="143"/>
      <c r="AT509" s="143"/>
      <c r="AU509" s="143"/>
      <c r="AV509" s="143"/>
      <c r="AW509" s="144"/>
      <c r="AX509" s="145"/>
      <c r="AY509" s="138"/>
      <c r="AZ509" s="138"/>
      <c r="BA509" s="138"/>
      <c r="BB509" s="138"/>
      <c r="BC509" s="138"/>
      <c r="BD509" s="138"/>
      <c r="BE509" s="138"/>
    </row>
    <row r="510" spans="1:57" s="139" customFormat="1" ht="45">
      <c r="A510" s="140" t="s">
        <v>6</v>
      </c>
      <c r="B510" s="129">
        <v>508</v>
      </c>
      <c r="C510" s="141" t="s">
        <v>1443</v>
      </c>
      <c r="D510" s="253" t="s">
        <v>3142</v>
      </c>
      <c r="E510" s="141" t="s">
        <v>1522</v>
      </c>
      <c r="F510" s="141" t="s">
        <v>1523</v>
      </c>
      <c r="G510" s="141" t="s">
        <v>703</v>
      </c>
      <c r="H510" s="141" t="s">
        <v>2953</v>
      </c>
      <c r="I510" s="169" t="s">
        <v>1828</v>
      </c>
      <c r="J510" s="129" t="s">
        <v>971</v>
      </c>
      <c r="K510" s="129" t="s">
        <v>971</v>
      </c>
      <c r="L510" s="141" t="s">
        <v>703</v>
      </c>
      <c r="M510" s="141" t="s">
        <v>703</v>
      </c>
      <c r="N510" s="141">
        <v>20</v>
      </c>
      <c r="O510" s="141" t="s">
        <v>703</v>
      </c>
      <c r="P510" s="129" t="s">
        <v>703</v>
      </c>
      <c r="Q510" s="141">
        <v>8</v>
      </c>
      <c r="R510" s="141">
        <v>13</v>
      </c>
      <c r="S510" s="141">
        <v>13</v>
      </c>
      <c r="T510" s="141">
        <v>1</v>
      </c>
      <c r="U510" s="141" t="s">
        <v>1521</v>
      </c>
      <c r="V510" s="141" t="s">
        <v>714</v>
      </c>
      <c r="W510" s="129" t="s">
        <v>703</v>
      </c>
      <c r="X510" s="141" t="s">
        <v>703</v>
      </c>
      <c r="Y510" s="141" t="s">
        <v>715</v>
      </c>
      <c r="Z510" s="141" t="s">
        <v>703</v>
      </c>
      <c r="AA510" s="141">
        <v>1</v>
      </c>
      <c r="AB510" s="141" t="s">
        <v>703</v>
      </c>
      <c r="AC510" s="141" t="s">
        <v>703</v>
      </c>
      <c r="AD510" s="141" t="s">
        <v>703</v>
      </c>
      <c r="AE510" s="141" t="s">
        <v>703</v>
      </c>
      <c r="AF510" s="141">
        <v>0</v>
      </c>
      <c r="AG510" s="141">
        <v>0</v>
      </c>
      <c r="AH510" s="141">
        <v>1</v>
      </c>
      <c r="AI510" s="141" t="s">
        <v>1524</v>
      </c>
      <c r="AJ510" s="164" t="s">
        <v>1525</v>
      </c>
      <c r="AK510" s="143" t="s">
        <v>703</v>
      </c>
      <c r="AL510" s="141" t="s">
        <v>1526</v>
      </c>
      <c r="AM510" s="143" t="s">
        <v>705</v>
      </c>
      <c r="AN510" s="143" t="s">
        <v>705</v>
      </c>
      <c r="AO510" s="143" t="s">
        <v>1354</v>
      </c>
      <c r="AP510" s="143"/>
      <c r="AQ510" s="143" t="s">
        <v>705</v>
      </c>
      <c r="AR510" s="143"/>
      <c r="AS510" s="143"/>
      <c r="AT510" s="143" t="s">
        <v>705</v>
      </c>
      <c r="AU510" s="143"/>
      <c r="AV510" s="143"/>
      <c r="AW510" s="144"/>
      <c r="AX510" s="145"/>
      <c r="AY510" s="138"/>
      <c r="AZ510" s="138"/>
      <c r="BA510" s="138"/>
      <c r="BB510" s="138"/>
      <c r="BC510" s="138"/>
      <c r="BD510" s="138"/>
      <c r="BE510" s="138"/>
    </row>
    <row r="511" spans="1:57" s="139" customFormat="1" ht="45">
      <c r="A511" s="140" t="s">
        <v>6</v>
      </c>
      <c r="B511" s="129">
        <v>509</v>
      </c>
      <c r="C511" s="141" t="s">
        <v>1443</v>
      </c>
      <c r="D511" s="253" t="s">
        <v>3143</v>
      </c>
      <c r="E511" s="141" t="s">
        <v>2667</v>
      </c>
      <c r="F511" s="141" t="s">
        <v>1527</v>
      </c>
      <c r="G511" s="141" t="s">
        <v>703</v>
      </c>
      <c r="H511" s="141" t="s">
        <v>1520</v>
      </c>
      <c r="I511" s="169" t="s">
        <v>1828</v>
      </c>
      <c r="J511" s="129" t="s">
        <v>971</v>
      </c>
      <c r="K511" s="129" t="s">
        <v>971</v>
      </c>
      <c r="L511" s="141" t="s">
        <v>703</v>
      </c>
      <c r="M511" s="141" t="s">
        <v>703</v>
      </c>
      <c r="N511" s="141">
        <v>20</v>
      </c>
      <c r="O511" s="141" t="s">
        <v>703</v>
      </c>
      <c r="P511" s="129" t="s">
        <v>703</v>
      </c>
      <c r="Q511" s="141">
        <v>8</v>
      </c>
      <c r="R511" s="141">
        <v>12</v>
      </c>
      <c r="S511" s="141">
        <v>16</v>
      </c>
      <c r="T511" s="141">
        <v>13</v>
      </c>
      <c r="U511" s="141" t="s">
        <v>1521</v>
      </c>
      <c r="V511" s="141" t="s">
        <v>714</v>
      </c>
      <c r="W511" s="129" t="s">
        <v>703</v>
      </c>
      <c r="X511" s="141" t="s">
        <v>703</v>
      </c>
      <c r="Y511" s="141" t="s">
        <v>715</v>
      </c>
      <c r="Z511" s="141" t="s">
        <v>194</v>
      </c>
      <c r="AA511" s="141">
        <v>5.6250000000000001E-2</v>
      </c>
      <c r="AB511" s="141" t="s">
        <v>703</v>
      </c>
      <c r="AC511" s="141" t="s">
        <v>703</v>
      </c>
      <c r="AD511" s="141" t="s">
        <v>703</v>
      </c>
      <c r="AE511" s="141" t="s">
        <v>703</v>
      </c>
      <c r="AF511" s="141">
        <v>0</v>
      </c>
      <c r="AG511" s="141">
        <v>0</v>
      </c>
      <c r="AH511" s="141">
        <v>360</v>
      </c>
      <c r="AI511" s="141" t="s">
        <v>1528</v>
      </c>
      <c r="AJ511" s="164" t="s">
        <v>2170</v>
      </c>
      <c r="AK511" s="143" t="s">
        <v>703</v>
      </c>
      <c r="AL511" s="169" t="s">
        <v>1880</v>
      </c>
      <c r="AM511" s="143" t="s">
        <v>705</v>
      </c>
      <c r="AN511" s="143" t="s">
        <v>705</v>
      </c>
      <c r="AO511" s="143" t="s">
        <v>705</v>
      </c>
      <c r="AP511" s="143"/>
      <c r="AQ511" s="143" t="s">
        <v>705</v>
      </c>
      <c r="AR511" s="143"/>
      <c r="AS511" s="143" t="s">
        <v>2666</v>
      </c>
      <c r="AT511" s="143" t="s">
        <v>705</v>
      </c>
      <c r="AU511" s="143"/>
      <c r="AV511" s="160" t="s">
        <v>1951</v>
      </c>
      <c r="AW511" s="259"/>
      <c r="AX511" s="261"/>
      <c r="AY511" s="138"/>
      <c r="AZ511" s="138"/>
      <c r="BA511" s="138"/>
      <c r="BB511" s="138"/>
      <c r="BC511" s="138"/>
      <c r="BD511" s="138"/>
      <c r="BE511" s="138"/>
    </row>
    <row r="512" spans="1:57" s="139" customFormat="1" ht="72">
      <c r="A512" s="140" t="s">
        <v>6</v>
      </c>
      <c r="B512" s="129">
        <v>510</v>
      </c>
      <c r="C512" s="141" t="s">
        <v>1443</v>
      </c>
      <c r="D512" s="253" t="s">
        <v>3126</v>
      </c>
      <c r="E512" s="169" t="s">
        <v>2705</v>
      </c>
      <c r="F512" s="141" t="s">
        <v>2663</v>
      </c>
      <c r="G512" s="141" t="s">
        <v>703</v>
      </c>
      <c r="H512" s="141" t="s">
        <v>1520</v>
      </c>
      <c r="I512" s="169" t="s">
        <v>1828</v>
      </c>
      <c r="J512" s="129" t="s">
        <v>971</v>
      </c>
      <c r="K512" s="129" t="s">
        <v>971</v>
      </c>
      <c r="L512" s="141" t="s">
        <v>703</v>
      </c>
      <c r="M512" s="141" t="s">
        <v>703</v>
      </c>
      <c r="N512" s="141">
        <v>20</v>
      </c>
      <c r="O512" s="141" t="s">
        <v>703</v>
      </c>
      <c r="P512" s="129" t="s">
        <v>703</v>
      </c>
      <c r="Q512" s="141">
        <v>8</v>
      </c>
      <c r="R512" s="141">
        <v>31</v>
      </c>
      <c r="S512" s="141">
        <v>31</v>
      </c>
      <c r="T512" s="141">
        <v>1</v>
      </c>
      <c r="U512" s="141" t="s">
        <v>1521</v>
      </c>
      <c r="V512" s="141" t="s">
        <v>714</v>
      </c>
      <c r="W512" s="129" t="s">
        <v>703</v>
      </c>
      <c r="X512" s="141" t="s">
        <v>703</v>
      </c>
      <c r="Y512" s="141" t="s">
        <v>715</v>
      </c>
      <c r="Z512" s="141" t="s">
        <v>703</v>
      </c>
      <c r="AA512" s="141">
        <v>1</v>
      </c>
      <c r="AB512" s="141" t="s">
        <v>703</v>
      </c>
      <c r="AC512" s="141" t="s">
        <v>703</v>
      </c>
      <c r="AD512" s="141" t="s">
        <v>703</v>
      </c>
      <c r="AE512" s="141" t="s">
        <v>703</v>
      </c>
      <c r="AF512" s="141">
        <v>0</v>
      </c>
      <c r="AG512" s="141">
        <v>0</v>
      </c>
      <c r="AH512" s="141">
        <v>1</v>
      </c>
      <c r="AI512" s="141" t="s">
        <v>712</v>
      </c>
      <c r="AJ512" s="164" t="s">
        <v>1539</v>
      </c>
      <c r="AK512" s="143" t="s">
        <v>703</v>
      </c>
      <c r="AL512" s="141" t="s">
        <v>1540</v>
      </c>
      <c r="AM512" s="143" t="s">
        <v>705</v>
      </c>
      <c r="AN512" s="143" t="s">
        <v>705</v>
      </c>
      <c r="AO512" s="143"/>
      <c r="AP512" s="143"/>
      <c r="AQ512" s="143"/>
      <c r="AR512" s="143"/>
      <c r="AS512" s="143"/>
      <c r="AT512" s="143"/>
      <c r="AU512" s="143"/>
      <c r="AV512" s="143" t="s">
        <v>1343</v>
      </c>
      <c r="AW512" s="144"/>
      <c r="AX512" s="145"/>
      <c r="AY512" s="138"/>
      <c r="AZ512" s="138"/>
      <c r="BA512" s="138"/>
      <c r="BB512" s="138"/>
      <c r="BC512" s="138"/>
      <c r="BD512" s="138"/>
      <c r="BE512" s="138"/>
    </row>
    <row r="513" spans="1:57" s="139" customFormat="1" ht="30">
      <c r="A513" s="140" t="s">
        <v>6</v>
      </c>
      <c r="B513" s="129">
        <v>511</v>
      </c>
      <c r="C513" s="141" t="s">
        <v>1443</v>
      </c>
      <c r="D513" s="253" t="s">
        <v>3095</v>
      </c>
      <c r="E513" s="141" t="s">
        <v>1536</v>
      </c>
      <c r="F513" s="141" t="s">
        <v>1537</v>
      </c>
      <c r="G513" s="141" t="s">
        <v>703</v>
      </c>
      <c r="H513" s="141" t="s">
        <v>1520</v>
      </c>
      <c r="I513" s="169" t="s">
        <v>1828</v>
      </c>
      <c r="J513" s="129" t="s">
        <v>971</v>
      </c>
      <c r="K513" s="129" t="s">
        <v>971</v>
      </c>
      <c r="L513" s="141" t="s">
        <v>703</v>
      </c>
      <c r="M513" s="141" t="s">
        <v>703</v>
      </c>
      <c r="N513" s="141">
        <v>20</v>
      </c>
      <c r="O513" s="141" t="s">
        <v>703</v>
      </c>
      <c r="P513" s="129" t="s">
        <v>703</v>
      </c>
      <c r="Q513" s="141">
        <v>8</v>
      </c>
      <c r="R513" s="141">
        <v>30</v>
      </c>
      <c r="S513" s="141">
        <v>30</v>
      </c>
      <c r="T513" s="141">
        <v>1</v>
      </c>
      <c r="U513" s="141" t="s">
        <v>1521</v>
      </c>
      <c r="V513" s="141" t="s">
        <v>714</v>
      </c>
      <c r="W513" s="129" t="s">
        <v>703</v>
      </c>
      <c r="X513" s="141" t="s">
        <v>703</v>
      </c>
      <c r="Y513" s="169" t="s">
        <v>1992</v>
      </c>
      <c r="Z513" s="141" t="s">
        <v>194</v>
      </c>
      <c r="AA513" s="141">
        <v>1</v>
      </c>
      <c r="AB513" s="141" t="s">
        <v>703</v>
      </c>
      <c r="AC513" s="141" t="s">
        <v>703</v>
      </c>
      <c r="AD513" s="141" t="s">
        <v>703</v>
      </c>
      <c r="AE513" s="141" t="s">
        <v>703</v>
      </c>
      <c r="AF513" s="141">
        <v>0</v>
      </c>
      <c r="AG513" s="141">
        <v>0</v>
      </c>
      <c r="AH513" s="141">
        <v>1</v>
      </c>
      <c r="AI513" s="141" t="s">
        <v>703</v>
      </c>
      <c r="AJ513" s="164" t="s">
        <v>1538</v>
      </c>
      <c r="AK513" s="143" t="s">
        <v>703</v>
      </c>
      <c r="AL513" s="141" t="s">
        <v>1540</v>
      </c>
      <c r="AM513" s="160" t="s">
        <v>1888</v>
      </c>
      <c r="AN513" s="143"/>
      <c r="AO513" s="143"/>
      <c r="AP513" s="143"/>
      <c r="AQ513" s="143"/>
      <c r="AR513" s="143"/>
      <c r="AS513" s="143"/>
      <c r="AT513" s="143"/>
      <c r="AU513" s="143"/>
      <c r="AV513" s="143"/>
      <c r="AW513" s="144"/>
      <c r="AX513" s="145"/>
      <c r="AY513" s="138"/>
      <c r="AZ513" s="138"/>
      <c r="BA513" s="138"/>
      <c r="BB513" s="138"/>
      <c r="BC513" s="138"/>
      <c r="BD513" s="138"/>
      <c r="BE513" s="138"/>
    </row>
    <row r="514" spans="1:57" s="139" customFormat="1" ht="30">
      <c r="A514" s="140" t="s">
        <v>6</v>
      </c>
      <c r="B514" s="129">
        <v>512</v>
      </c>
      <c r="C514" s="141" t="s">
        <v>2440</v>
      </c>
      <c r="D514" s="253" t="s">
        <v>3113</v>
      </c>
      <c r="E514" s="169" t="s">
        <v>2706</v>
      </c>
      <c r="F514" s="169" t="s">
        <v>2441</v>
      </c>
      <c r="G514" s="141" t="s">
        <v>2401</v>
      </c>
      <c r="H514" s="169" t="s">
        <v>2707</v>
      </c>
      <c r="I514" s="169" t="s">
        <v>2442</v>
      </c>
      <c r="J514" s="129" t="s">
        <v>2443</v>
      </c>
      <c r="K514" s="129" t="s">
        <v>2443</v>
      </c>
      <c r="L514" s="141" t="s">
        <v>2401</v>
      </c>
      <c r="M514" s="141" t="s">
        <v>2401</v>
      </c>
      <c r="N514" s="141">
        <v>20</v>
      </c>
      <c r="O514" s="141" t="s">
        <v>2401</v>
      </c>
      <c r="P514" s="129" t="s">
        <v>2401</v>
      </c>
      <c r="Q514" s="141">
        <v>8</v>
      </c>
      <c r="R514" s="141">
        <v>27</v>
      </c>
      <c r="S514" s="141">
        <v>27</v>
      </c>
      <c r="T514" s="141">
        <v>1</v>
      </c>
      <c r="U514" s="141" t="s">
        <v>2436</v>
      </c>
      <c r="V514" s="141" t="s">
        <v>2407</v>
      </c>
      <c r="W514" s="129" t="s">
        <v>2401</v>
      </c>
      <c r="X514" s="141" t="s">
        <v>2401</v>
      </c>
      <c r="Y514" s="169" t="s">
        <v>2410</v>
      </c>
      <c r="Z514" s="169" t="s">
        <v>2401</v>
      </c>
      <c r="AA514" s="141">
        <v>1</v>
      </c>
      <c r="AB514" s="141" t="s">
        <v>2401</v>
      </c>
      <c r="AC514" s="141" t="s">
        <v>2401</v>
      </c>
      <c r="AD514" s="141" t="s">
        <v>2401</v>
      </c>
      <c r="AE514" s="141" t="s">
        <v>2401</v>
      </c>
      <c r="AF514" s="141">
        <v>0</v>
      </c>
      <c r="AG514" s="141">
        <v>0</v>
      </c>
      <c r="AH514" s="141">
        <v>1</v>
      </c>
      <c r="AI514" s="141" t="s">
        <v>2401</v>
      </c>
      <c r="AJ514" s="164" t="s">
        <v>2444</v>
      </c>
      <c r="AK514" s="143" t="s">
        <v>2401</v>
      </c>
      <c r="AL514" s="141" t="s">
        <v>2401</v>
      </c>
      <c r="AM514" s="160" t="s">
        <v>677</v>
      </c>
      <c r="AN514" s="160" t="s">
        <v>2397</v>
      </c>
      <c r="AO514" s="143"/>
      <c r="AP514" s="143"/>
      <c r="AQ514" s="143"/>
      <c r="AR514" s="143"/>
      <c r="AS514" s="160" t="s">
        <v>2708</v>
      </c>
      <c r="AT514" s="143"/>
      <c r="AU514" s="143"/>
      <c r="AV514" s="143"/>
      <c r="AW514" s="144"/>
      <c r="AX514" s="145"/>
      <c r="AY514" s="138"/>
      <c r="AZ514" s="138"/>
      <c r="BA514" s="138"/>
      <c r="BB514" s="138"/>
      <c r="BC514" s="138"/>
      <c r="BD514" s="138"/>
      <c r="BE514" s="138"/>
    </row>
    <row r="515" spans="1:57" s="139" customFormat="1" ht="30">
      <c r="A515" s="140" t="s">
        <v>6</v>
      </c>
      <c r="B515" s="129">
        <v>513</v>
      </c>
      <c r="C515" s="141" t="s">
        <v>1443</v>
      </c>
      <c r="D515" s="253" t="s">
        <v>3105</v>
      </c>
      <c r="E515" s="141" t="s">
        <v>1529</v>
      </c>
      <c r="F515" s="141" t="s">
        <v>1530</v>
      </c>
      <c r="G515" s="141" t="s">
        <v>703</v>
      </c>
      <c r="H515" s="141" t="s">
        <v>1520</v>
      </c>
      <c r="I515" s="169" t="s">
        <v>1828</v>
      </c>
      <c r="J515" s="129" t="s">
        <v>971</v>
      </c>
      <c r="K515" s="129" t="s">
        <v>971</v>
      </c>
      <c r="L515" s="141" t="s">
        <v>703</v>
      </c>
      <c r="M515" s="141" t="s">
        <v>703</v>
      </c>
      <c r="N515" s="141">
        <v>20</v>
      </c>
      <c r="O515" s="141" t="s">
        <v>703</v>
      </c>
      <c r="P515" s="129" t="s">
        <v>703</v>
      </c>
      <c r="Q515" s="141">
        <v>8</v>
      </c>
      <c r="R515" s="141">
        <v>26</v>
      </c>
      <c r="S515" s="141">
        <v>26</v>
      </c>
      <c r="T515" s="141">
        <v>1</v>
      </c>
      <c r="U515" s="141" t="s">
        <v>1521</v>
      </c>
      <c r="V515" s="141" t="s">
        <v>714</v>
      </c>
      <c r="W515" s="129" t="s">
        <v>703</v>
      </c>
      <c r="X515" s="141" t="s">
        <v>703</v>
      </c>
      <c r="Y515" s="141" t="s">
        <v>715</v>
      </c>
      <c r="Z515" s="141" t="s">
        <v>703</v>
      </c>
      <c r="AA515" s="141">
        <v>1</v>
      </c>
      <c r="AB515" s="141" t="s">
        <v>703</v>
      </c>
      <c r="AC515" s="141" t="s">
        <v>703</v>
      </c>
      <c r="AD515" s="141" t="s">
        <v>703</v>
      </c>
      <c r="AE515" s="141" t="s">
        <v>703</v>
      </c>
      <c r="AF515" s="141">
        <v>0</v>
      </c>
      <c r="AG515" s="141">
        <v>0</v>
      </c>
      <c r="AH515" s="141">
        <v>1</v>
      </c>
      <c r="AI515" s="141" t="s">
        <v>712</v>
      </c>
      <c r="AJ515" s="164" t="s">
        <v>1531</v>
      </c>
      <c r="AK515" s="143" t="s">
        <v>703</v>
      </c>
      <c r="AL515" s="169" t="s">
        <v>1849</v>
      </c>
      <c r="AM515" s="143"/>
      <c r="AN515" s="143"/>
      <c r="AO515" s="143"/>
      <c r="AP515" s="143"/>
      <c r="AQ515" s="143"/>
      <c r="AR515" s="143"/>
      <c r="AS515" s="143"/>
      <c r="AT515" s="143"/>
      <c r="AU515" s="143"/>
      <c r="AV515" s="143"/>
      <c r="AW515" s="144"/>
      <c r="AX515" s="145" t="s">
        <v>2346</v>
      </c>
      <c r="AY515" s="138"/>
      <c r="AZ515" s="138"/>
      <c r="BA515" s="138"/>
      <c r="BB515" s="138"/>
      <c r="BC515" s="138"/>
      <c r="BD515" s="138"/>
      <c r="BE515" s="138"/>
    </row>
    <row r="516" spans="1:57" s="139" customFormat="1" ht="30">
      <c r="A516" s="140" t="s">
        <v>6</v>
      </c>
      <c r="B516" s="129">
        <v>514</v>
      </c>
      <c r="C516" s="141" t="s">
        <v>1443</v>
      </c>
      <c r="D516" s="253" t="s">
        <v>3105</v>
      </c>
      <c r="E516" s="141" t="s">
        <v>1532</v>
      </c>
      <c r="F516" s="141" t="s">
        <v>1533</v>
      </c>
      <c r="G516" s="141" t="s">
        <v>703</v>
      </c>
      <c r="H516" s="141" t="s">
        <v>1520</v>
      </c>
      <c r="I516" s="169" t="s">
        <v>1828</v>
      </c>
      <c r="J516" s="129" t="s">
        <v>971</v>
      </c>
      <c r="K516" s="129" t="s">
        <v>971</v>
      </c>
      <c r="L516" s="141" t="s">
        <v>703</v>
      </c>
      <c r="M516" s="141" t="s">
        <v>703</v>
      </c>
      <c r="N516" s="141">
        <v>20</v>
      </c>
      <c r="O516" s="141" t="s">
        <v>703</v>
      </c>
      <c r="P516" s="129" t="s">
        <v>703</v>
      </c>
      <c r="Q516" s="141">
        <v>8</v>
      </c>
      <c r="R516" s="141">
        <v>25</v>
      </c>
      <c r="S516" s="141">
        <v>32</v>
      </c>
      <c r="T516" s="141">
        <v>10</v>
      </c>
      <c r="U516" s="141" t="s">
        <v>1521</v>
      </c>
      <c r="V516" s="141" t="s">
        <v>714</v>
      </c>
      <c r="W516" s="129" t="s">
        <v>703</v>
      </c>
      <c r="X516" s="141" t="s">
        <v>703</v>
      </c>
      <c r="Y516" s="141" t="s">
        <v>715</v>
      </c>
      <c r="Z516" s="141" t="s">
        <v>194</v>
      </c>
      <c r="AA516" s="141">
        <v>1</v>
      </c>
      <c r="AB516" s="141" t="s">
        <v>703</v>
      </c>
      <c r="AC516" s="141" t="s">
        <v>703</v>
      </c>
      <c r="AD516" s="141" t="s">
        <v>703</v>
      </c>
      <c r="AE516" s="141" t="s">
        <v>703</v>
      </c>
      <c r="AF516" s="141">
        <v>0</v>
      </c>
      <c r="AG516" s="141">
        <v>0</v>
      </c>
      <c r="AH516" s="141">
        <v>999</v>
      </c>
      <c r="AI516" s="141" t="s">
        <v>1534</v>
      </c>
      <c r="AJ516" s="164" t="s">
        <v>2171</v>
      </c>
      <c r="AK516" s="143" t="s">
        <v>703</v>
      </c>
      <c r="AL516" s="143" t="s">
        <v>703</v>
      </c>
      <c r="AM516" s="143"/>
      <c r="AN516" s="143"/>
      <c r="AO516" s="143"/>
      <c r="AP516" s="143" t="s">
        <v>1535</v>
      </c>
      <c r="AQ516" s="143"/>
      <c r="AR516" s="143"/>
      <c r="AS516" s="143"/>
      <c r="AT516" s="143"/>
      <c r="AU516" s="143"/>
      <c r="AV516" s="143"/>
      <c r="AW516" s="144"/>
      <c r="AX516" s="145" t="s">
        <v>685</v>
      </c>
      <c r="AY516" s="138"/>
      <c r="AZ516" s="138"/>
      <c r="BA516" s="138"/>
      <c r="BB516" s="138"/>
      <c r="BC516" s="138"/>
      <c r="BD516" s="138"/>
      <c r="BE516" s="138"/>
    </row>
    <row r="517" spans="1:57" s="139" customFormat="1" ht="25">
      <c r="A517" s="140" t="s">
        <v>6</v>
      </c>
      <c r="B517" s="129">
        <v>515</v>
      </c>
      <c r="C517" s="141" t="s">
        <v>1443</v>
      </c>
      <c r="D517" s="253" t="s">
        <v>3119</v>
      </c>
      <c r="E517" s="141" t="s">
        <v>1546</v>
      </c>
      <c r="F517" s="141" t="s">
        <v>1547</v>
      </c>
      <c r="G517" s="141" t="s">
        <v>703</v>
      </c>
      <c r="H517" s="141" t="s">
        <v>1520</v>
      </c>
      <c r="I517" s="169" t="s">
        <v>1828</v>
      </c>
      <c r="J517" s="129" t="s">
        <v>971</v>
      </c>
      <c r="K517" s="129" t="s">
        <v>971</v>
      </c>
      <c r="L517" s="141" t="s">
        <v>703</v>
      </c>
      <c r="M517" s="141" t="s">
        <v>703</v>
      </c>
      <c r="N517" s="141">
        <v>20</v>
      </c>
      <c r="O517" s="141" t="s">
        <v>703</v>
      </c>
      <c r="P517" s="129" t="s">
        <v>703</v>
      </c>
      <c r="Q517" s="141">
        <v>8</v>
      </c>
      <c r="R517" s="141">
        <v>59</v>
      </c>
      <c r="S517" s="141">
        <v>56</v>
      </c>
      <c r="T517" s="141">
        <v>4</v>
      </c>
      <c r="U517" s="141" t="s">
        <v>1521</v>
      </c>
      <c r="V517" s="141" t="s">
        <v>714</v>
      </c>
      <c r="W517" s="129" t="s">
        <v>703</v>
      </c>
      <c r="X517" s="141" t="s">
        <v>703</v>
      </c>
      <c r="Y517" s="141" t="s">
        <v>715</v>
      </c>
      <c r="Z517" s="141" t="s">
        <v>194</v>
      </c>
      <c r="AA517" s="141">
        <v>1</v>
      </c>
      <c r="AB517" s="141" t="s">
        <v>703</v>
      </c>
      <c r="AC517" s="141" t="s">
        <v>703</v>
      </c>
      <c r="AD517" s="141" t="s">
        <v>703</v>
      </c>
      <c r="AE517" s="141" t="s">
        <v>703</v>
      </c>
      <c r="AF517" s="141">
        <v>0</v>
      </c>
      <c r="AG517" s="141">
        <v>0</v>
      </c>
      <c r="AH517" s="141">
        <v>15</v>
      </c>
      <c r="AI517" s="141" t="s">
        <v>703</v>
      </c>
      <c r="AJ517" s="164" t="s">
        <v>703</v>
      </c>
      <c r="AK517" s="143" t="s">
        <v>703</v>
      </c>
      <c r="AL517" s="141" t="s">
        <v>704</v>
      </c>
      <c r="AM517" s="143" t="s">
        <v>705</v>
      </c>
      <c r="AN517" s="160" t="s">
        <v>2397</v>
      </c>
      <c r="AO517" s="143"/>
      <c r="AP517" s="143"/>
      <c r="AQ517" s="143"/>
      <c r="AR517" s="143"/>
      <c r="AS517" s="143"/>
      <c r="AT517" s="143"/>
      <c r="AU517" s="143"/>
      <c r="AV517" s="143"/>
      <c r="AW517" s="144"/>
      <c r="AX517" s="145"/>
      <c r="AY517" s="138"/>
      <c r="AZ517" s="138"/>
      <c r="BA517" s="138"/>
      <c r="BB517" s="138"/>
      <c r="BC517" s="138"/>
      <c r="BD517" s="138"/>
      <c r="BE517" s="138"/>
    </row>
    <row r="518" spans="1:57" s="139" customFormat="1" ht="44">
      <c r="A518" s="140" t="s">
        <v>6</v>
      </c>
      <c r="B518" s="129">
        <v>516</v>
      </c>
      <c r="C518" s="141" t="s">
        <v>1548</v>
      </c>
      <c r="D518" s="141" t="s">
        <v>3105</v>
      </c>
      <c r="E518" s="141" t="s">
        <v>1549</v>
      </c>
      <c r="F518" s="141" t="s">
        <v>1490</v>
      </c>
      <c r="G518" s="141" t="s">
        <v>712</v>
      </c>
      <c r="H518" s="143" t="s">
        <v>1550</v>
      </c>
      <c r="I518" s="143" t="s">
        <v>661</v>
      </c>
      <c r="J518" s="141" t="s">
        <v>711</v>
      </c>
      <c r="K518" s="141" t="s">
        <v>836</v>
      </c>
      <c r="L518" s="141" t="s">
        <v>712</v>
      </c>
      <c r="M518" s="143" t="s">
        <v>198</v>
      </c>
      <c r="N518" s="141">
        <v>10</v>
      </c>
      <c r="O518" s="141" t="s">
        <v>1493</v>
      </c>
      <c r="P518" s="143"/>
      <c r="Q518" s="141">
        <v>8</v>
      </c>
      <c r="R518" s="141">
        <v>7</v>
      </c>
      <c r="S518" s="141">
        <v>0</v>
      </c>
      <c r="T518" s="141">
        <v>8</v>
      </c>
      <c r="U518" s="141" t="s">
        <v>1006</v>
      </c>
      <c r="V518" s="141" t="s">
        <v>535</v>
      </c>
      <c r="W518" s="143">
        <v>1000</v>
      </c>
      <c r="X518" s="141" t="s">
        <v>712</v>
      </c>
      <c r="Y518" s="141" t="s">
        <v>585</v>
      </c>
      <c r="Z518" s="141" t="s">
        <v>837</v>
      </c>
      <c r="AA518" s="141">
        <v>1</v>
      </c>
      <c r="AB518" s="141" t="s">
        <v>712</v>
      </c>
      <c r="AC518" s="143" t="s">
        <v>712</v>
      </c>
      <c r="AD518" s="141" t="s">
        <v>837</v>
      </c>
      <c r="AE518" s="141" t="s">
        <v>712</v>
      </c>
      <c r="AF518" s="141">
        <v>0</v>
      </c>
      <c r="AG518" s="143">
        <v>0</v>
      </c>
      <c r="AH518" s="143">
        <v>255</v>
      </c>
      <c r="AI518" s="141" t="s">
        <v>837</v>
      </c>
      <c r="AJ518" s="164" t="s">
        <v>2188</v>
      </c>
      <c r="AK518" s="143" t="s">
        <v>703</v>
      </c>
      <c r="AL518" s="143"/>
      <c r="AM518" s="143"/>
      <c r="AN518" s="143"/>
      <c r="AO518" s="143"/>
      <c r="AP518" s="143"/>
      <c r="AQ518" s="143"/>
      <c r="AR518" s="143"/>
      <c r="AS518" s="143"/>
      <c r="AT518" s="143"/>
      <c r="AU518" s="143"/>
      <c r="AV518" s="143"/>
      <c r="AW518" s="144"/>
      <c r="AX518" s="145" t="s">
        <v>685</v>
      </c>
      <c r="AY518" s="138"/>
      <c r="AZ518" s="138"/>
      <c r="BA518" s="138"/>
      <c r="BB518" s="138"/>
      <c r="BC518" s="138"/>
      <c r="BD518" s="138"/>
      <c r="BE518" s="138"/>
    </row>
    <row r="519" spans="1:57" s="139" customFormat="1" ht="30">
      <c r="A519" s="140" t="s">
        <v>6</v>
      </c>
      <c r="B519" s="129">
        <v>517</v>
      </c>
      <c r="C519" s="141" t="s">
        <v>1552</v>
      </c>
      <c r="D519" s="141" t="s">
        <v>3106</v>
      </c>
      <c r="E519" s="141" t="s">
        <v>1553</v>
      </c>
      <c r="F519" s="141" t="s">
        <v>1554</v>
      </c>
      <c r="G519" s="141" t="s">
        <v>712</v>
      </c>
      <c r="H519" s="143" t="s">
        <v>1550</v>
      </c>
      <c r="I519" s="143" t="s">
        <v>661</v>
      </c>
      <c r="J519" s="141" t="s">
        <v>192</v>
      </c>
      <c r="K519" s="141" t="s">
        <v>192</v>
      </c>
      <c r="L519" s="141" t="s">
        <v>712</v>
      </c>
      <c r="M519" s="143" t="s">
        <v>198</v>
      </c>
      <c r="N519" s="141">
        <v>10</v>
      </c>
      <c r="O519" s="141" t="s">
        <v>1493</v>
      </c>
      <c r="P519" s="143"/>
      <c r="Q519" s="141">
        <v>8</v>
      </c>
      <c r="R519" s="143">
        <v>15</v>
      </c>
      <c r="S519" s="143">
        <v>8</v>
      </c>
      <c r="T519" s="141">
        <v>8</v>
      </c>
      <c r="U519" s="141" t="s">
        <v>1521</v>
      </c>
      <c r="V519" s="141" t="s">
        <v>535</v>
      </c>
      <c r="W519" s="143">
        <v>1000</v>
      </c>
      <c r="X519" s="141" t="s">
        <v>712</v>
      </c>
      <c r="Y519" s="141" t="s">
        <v>585</v>
      </c>
      <c r="Z519" s="141" t="s">
        <v>1496</v>
      </c>
      <c r="AA519" s="141">
        <v>1</v>
      </c>
      <c r="AB519" s="141" t="s">
        <v>712</v>
      </c>
      <c r="AC519" s="143" t="s">
        <v>712</v>
      </c>
      <c r="AD519" s="141" t="s">
        <v>837</v>
      </c>
      <c r="AE519" s="141" t="s">
        <v>712</v>
      </c>
      <c r="AF519" s="141">
        <v>0</v>
      </c>
      <c r="AG519" s="141">
        <v>0</v>
      </c>
      <c r="AH519" s="141">
        <v>255</v>
      </c>
      <c r="AI519" s="141" t="s">
        <v>712</v>
      </c>
      <c r="AJ519" s="164" t="s">
        <v>2188</v>
      </c>
      <c r="AK519" s="143" t="s">
        <v>703</v>
      </c>
      <c r="AL519" s="143" t="s">
        <v>1551</v>
      </c>
      <c r="AM519" s="143" t="s">
        <v>705</v>
      </c>
      <c r="AN519" s="143"/>
      <c r="AO519" s="143"/>
      <c r="AP519" s="143"/>
      <c r="AQ519" s="143"/>
      <c r="AR519" s="143"/>
      <c r="AS519" s="143"/>
      <c r="AT519" s="143"/>
      <c r="AU519" s="143"/>
      <c r="AV519" s="143"/>
      <c r="AW519" s="144"/>
      <c r="AX519" s="145"/>
      <c r="AY519" s="138"/>
      <c r="AZ519" s="138"/>
      <c r="BA519" s="138"/>
      <c r="BB519" s="138"/>
      <c r="BC519" s="138"/>
      <c r="BD519" s="138"/>
      <c r="BE519" s="138"/>
    </row>
    <row r="520" spans="1:57" s="139" customFormat="1" ht="30">
      <c r="A520" s="140" t="s">
        <v>6</v>
      </c>
      <c r="B520" s="129">
        <v>518</v>
      </c>
      <c r="C520" s="141" t="s">
        <v>1552</v>
      </c>
      <c r="D520" s="141" t="s">
        <v>3106</v>
      </c>
      <c r="E520" s="141" t="s">
        <v>1555</v>
      </c>
      <c r="F520" s="141" t="s">
        <v>1556</v>
      </c>
      <c r="G520" s="141" t="s">
        <v>712</v>
      </c>
      <c r="H520" s="143" t="s">
        <v>1550</v>
      </c>
      <c r="I520" s="143" t="s">
        <v>661</v>
      </c>
      <c r="J520" s="141" t="s">
        <v>192</v>
      </c>
      <c r="K520" s="141" t="s">
        <v>192</v>
      </c>
      <c r="L520" s="141" t="s">
        <v>712</v>
      </c>
      <c r="M520" s="143" t="s">
        <v>198</v>
      </c>
      <c r="N520" s="141">
        <v>10</v>
      </c>
      <c r="O520" s="141" t="s">
        <v>1493</v>
      </c>
      <c r="P520" s="143"/>
      <c r="Q520" s="141">
        <v>8</v>
      </c>
      <c r="R520" s="143">
        <v>23</v>
      </c>
      <c r="S520" s="143">
        <v>16</v>
      </c>
      <c r="T520" s="141">
        <v>8</v>
      </c>
      <c r="U520" s="141" t="s">
        <v>1521</v>
      </c>
      <c r="V520" s="141" t="s">
        <v>535</v>
      </c>
      <c r="W520" s="143">
        <v>1000</v>
      </c>
      <c r="X520" s="141" t="s">
        <v>712</v>
      </c>
      <c r="Y520" s="141" t="s">
        <v>585</v>
      </c>
      <c r="Z520" s="141" t="s">
        <v>1496</v>
      </c>
      <c r="AA520" s="141">
        <v>1</v>
      </c>
      <c r="AB520" s="141" t="s">
        <v>712</v>
      </c>
      <c r="AC520" s="143" t="s">
        <v>712</v>
      </c>
      <c r="AD520" s="141" t="s">
        <v>837</v>
      </c>
      <c r="AE520" s="141" t="s">
        <v>712</v>
      </c>
      <c r="AF520" s="141">
        <v>0</v>
      </c>
      <c r="AG520" s="141">
        <v>0</v>
      </c>
      <c r="AH520" s="141">
        <v>255</v>
      </c>
      <c r="AI520" s="141" t="s">
        <v>712</v>
      </c>
      <c r="AJ520" s="164" t="s">
        <v>2188</v>
      </c>
      <c r="AK520" s="143" t="s">
        <v>703</v>
      </c>
      <c r="AL520" s="143" t="s">
        <v>1551</v>
      </c>
      <c r="AM520" s="143" t="s">
        <v>705</v>
      </c>
      <c r="AN520" s="143"/>
      <c r="AO520" s="143"/>
      <c r="AP520" s="143"/>
      <c r="AQ520" s="143"/>
      <c r="AR520" s="143"/>
      <c r="AS520" s="143"/>
      <c r="AT520" s="143"/>
      <c r="AU520" s="143"/>
      <c r="AV520" s="143"/>
      <c r="AW520" s="144"/>
      <c r="AX520" s="145"/>
      <c r="AY520" s="138"/>
      <c r="AZ520" s="138"/>
      <c r="BA520" s="138"/>
      <c r="BB520" s="138"/>
      <c r="BC520" s="138"/>
      <c r="BD520" s="138"/>
      <c r="BE520" s="138"/>
    </row>
    <row r="521" spans="1:57" s="139" customFormat="1" ht="30">
      <c r="A521" s="140" t="s">
        <v>6</v>
      </c>
      <c r="B521" s="129">
        <v>519</v>
      </c>
      <c r="C521" s="141" t="s">
        <v>1552</v>
      </c>
      <c r="D521" s="141" t="s">
        <v>3106</v>
      </c>
      <c r="E521" s="141" t="s">
        <v>1557</v>
      </c>
      <c r="F521" s="141" t="s">
        <v>1558</v>
      </c>
      <c r="G521" s="141" t="s">
        <v>712</v>
      </c>
      <c r="H521" s="143" t="s">
        <v>1550</v>
      </c>
      <c r="I521" s="143" t="s">
        <v>661</v>
      </c>
      <c r="J521" s="141" t="s">
        <v>192</v>
      </c>
      <c r="K521" s="141" t="s">
        <v>192</v>
      </c>
      <c r="L521" s="141" t="s">
        <v>712</v>
      </c>
      <c r="M521" s="143" t="s">
        <v>198</v>
      </c>
      <c r="N521" s="141">
        <v>10</v>
      </c>
      <c r="O521" s="141" t="s">
        <v>1493</v>
      </c>
      <c r="P521" s="143"/>
      <c r="Q521" s="141">
        <v>8</v>
      </c>
      <c r="R521" s="143">
        <v>31</v>
      </c>
      <c r="S521" s="143">
        <v>24</v>
      </c>
      <c r="T521" s="141">
        <v>8</v>
      </c>
      <c r="U521" s="141" t="s">
        <v>1521</v>
      </c>
      <c r="V521" s="141" t="s">
        <v>535</v>
      </c>
      <c r="W521" s="143">
        <v>1000</v>
      </c>
      <c r="X521" s="141" t="s">
        <v>712</v>
      </c>
      <c r="Y521" s="141" t="s">
        <v>585</v>
      </c>
      <c r="Z521" s="141" t="s">
        <v>1496</v>
      </c>
      <c r="AA521" s="141">
        <v>1</v>
      </c>
      <c r="AB521" s="141" t="s">
        <v>712</v>
      </c>
      <c r="AC521" s="143" t="s">
        <v>712</v>
      </c>
      <c r="AD521" s="141" t="s">
        <v>837</v>
      </c>
      <c r="AE521" s="141" t="s">
        <v>712</v>
      </c>
      <c r="AF521" s="141">
        <v>0</v>
      </c>
      <c r="AG521" s="141">
        <v>0</v>
      </c>
      <c r="AH521" s="141">
        <v>255</v>
      </c>
      <c r="AI521" s="141" t="s">
        <v>712</v>
      </c>
      <c r="AJ521" s="164" t="s">
        <v>2188</v>
      </c>
      <c r="AK521" s="143" t="s">
        <v>703</v>
      </c>
      <c r="AL521" s="143" t="s">
        <v>1551</v>
      </c>
      <c r="AM521" s="143" t="s">
        <v>705</v>
      </c>
      <c r="AN521" s="143"/>
      <c r="AO521" s="143"/>
      <c r="AP521" s="143"/>
      <c r="AQ521" s="143"/>
      <c r="AR521" s="143"/>
      <c r="AS521" s="143"/>
      <c r="AT521" s="143"/>
      <c r="AU521" s="143"/>
      <c r="AV521" s="143"/>
      <c r="AW521" s="144"/>
      <c r="AX521" s="145"/>
      <c r="AY521" s="138"/>
      <c r="AZ521" s="138"/>
      <c r="BA521" s="138"/>
      <c r="BB521" s="138"/>
      <c r="BC521" s="138"/>
      <c r="BD521" s="138"/>
      <c r="BE521" s="138"/>
    </row>
    <row r="522" spans="1:57" s="139" customFormat="1" ht="30">
      <c r="A522" s="140" t="s">
        <v>6</v>
      </c>
      <c r="B522" s="129">
        <v>520</v>
      </c>
      <c r="C522" s="141" t="s">
        <v>1552</v>
      </c>
      <c r="D522" s="141" t="s">
        <v>3106</v>
      </c>
      <c r="E522" s="141" t="s">
        <v>1559</v>
      </c>
      <c r="F522" s="141" t="s">
        <v>1560</v>
      </c>
      <c r="G522" s="141" t="s">
        <v>712</v>
      </c>
      <c r="H522" s="143" t="s">
        <v>1550</v>
      </c>
      <c r="I522" s="143" t="s">
        <v>661</v>
      </c>
      <c r="J522" s="141" t="s">
        <v>192</v>
      </c>
      <c r="K522" s="141" t="s">
        <v>192</v>
      </c>
      <c r="L522" s="141" t="s">
        <v>712</v>
      </c>
      <c r="M522" s="143" t="s">
        <v>198</v>
      </c>
      <c r="N522" s="141">
        <v>10</v>
      </c>
      <c r="O522" s="141" t="s">
        <v>1493</v>
      </c>
      <c r="P522" s="143"/>
      <c r="Q522" s="141">
        <v>8</v>
      </c>
      <c r="R522" s="143">
        <v>39</v>
      </c>
      <c r="S522" s="143">
        <v>32</v>
      </c>
      <c r="T522" s="141">
        <v>8</v>
      </c>
      <c r="U522" s="141" t="s">
        <v>1521</v>
      </c>
      <c r="V522" s="141" t="s">
        <v>535</v>
      </c>
      <c r="W522" s="143">
        <v>1000</v>
      </c>
      <c r="X522" s="141" t="s">
        <v>712</v>
      </c>
      <c r="Y522" s="141" t="s">
        <v>585</v>
      </c>
      <c r="Z522" s="141" t="s">
        <v>1496</v>
      </c>
      <c r="AA522" s="141">
        <v>1</v>
      </c>
      <c r="AB522" s="141" t="s">
        <v>712</v>
      </c>
      <c r="AC522" s="143" t="s">
        <v>712</v>
      </c>
      <c r="AD522" s="141" t="s">
        <v>837</v>
      </c>
      <c r="AE522" s="141" t="s">
        <v>712</v>
      </c>
      <c r="AF522" s="141">
        <v>0</v>
      </c>
      <c r="AG522" s="141">
        <v>0</v>
      </c>
      <c r="AH522" s="141">
        <v>255</v>
      </c>
      <c r="AI522" s="141" t="s">
        <v>712</v>
      </c>
      <c r="AJ522" s="164" t="s">
        <v>2188</v>
      </c>
      <c r="AK522" s="143" t="s">
        <v>703</v>
      </c>
      <c r="AL522" s="143" t="s">
        <v>1551</v>
      </c>
      <c r="AM522" s="143" t="s">
        <v>705</v>
      </c>
      <c r="AN522" s="143"/>
      <c r="AO522" s="143"/>
      <c r="AP522" s="143"/>
      <c r="AQ522" s="143"/>
      <c r="AR522" s="143"/>
      <c r="AS522" s="143"/>
      <c r="AT522" s="143"/>
      <c r="AU522" s="143"/>
      <c r="AV522" s="143"/>
      <c r="AW522" s="144"/>
      <c r="AX522" s="145"/>
      <c r="AY522" s="138"/>
      <c r="AZ522" s="138"/>
      <c r="BA522" s="138"/>
      <c r="BB522" s="138"/>
      <c r="BC522" s="138"/>
      <c r="BD522" s="138"/>
      <c r="BE522" s="138"/>
    </row>
    <row r="523" spans="1:57" s="139" customFormat="1" ht="30">
      <c r="A523" s="140" t="s">
        <v>6</v>
      </c>
      <c r="B523" s="129">
        <v>521</v>
      </c>
      <c r="C523" s="141" t="s">
        <v>1552</v>
      </c>
      <c r="D523" s="141" t="s">
        <v>3106</v>
      </c>
      <c r="E523" s="141" t="s">
        <v>1561</v>
      </c>
      <c r="F523" s="141" t="s">
        <v>1562</v>
      </c>
      <c r="G523" s="141" t="s">
        <v>712</v>
      </c>
      <c r="H523" s="143" t="s">
        <v>1550</v>
      </c>
      <c r="I523" s="143" t="s">
        <v>661</v>
      </c>
      <c r="J523" s="141" t="s">
        <v>192</v>
      </c>
      <c r="K523" s="141" t="s">
        <v>192</v>
      </c>
      <c r="L523" s="141" t="s">
        <v>712</v>
      </c>
      <c r="M523" s="143" t="s">
        <v>198</v>
      </c>
      <c r="N523" s="141">
        <v>10</v>
      </c>
      <c r="O523" s="141" t="s">
        <v>1493</v>
      </c>
      <c r="P523" s="143"/>
      <c r="Q523" s="141">
        <v>8</v>
      </c>
      <c r="R523" s="143">
        <v>47</v>
      </c>
      <c r="S523" s="143">
        <v>47</v>
      </c>
      <c r="T523" s="141">
        <v>1</v>
      </c>
      <c r="U523" s="141" t="s">
        <v>1521</v>
      </c>
      <c r="V523" s="141" t="s">
        <v>535</v>
      </c>
      <c r="W523" s="143">
        <v>1000</v>
      </c>
      <c r="X523" s="141" t="s">
        <v>712</v>
      </c>
      <c r="Y523" s="141" t="s">
        <v>558</v>
      </c>
      <c r="Z523" s="141" t="s">
        <v>558</v>
      </c>
      <c r="AA523" s="141">
        <v>1</v>
      </c>
      <c r="AB523" s="141" t="s">
        <v>801</v>
      </c>
      <c r="AC523" s="143" t="s">
        <v>801</v>
      </c>
      <c r="AD523" s="141" t="s">
        <v>806</v>
      </c>
      <c r="AE523" s="141" t="s">
        <v>801</v>
      </c>
      <c r="AF523" s="141">
        <v>0</v>
      </c>
      <c r="AG523" s="141">
        <v>0</v>
      </c>
      <c r="AH523" s="141">
        <v>1</v>
      </c>
      <c r="AI523" s="141" t="s">
        <v>801</v>
      </c>
      <c r="AJ523" s="164" t="s">
        <v>662</v>
      </c>
      <c r="AK523" s="143" t="s">
        <v>804</v>
      </c>
      <c r="AL523" s="143" t="s">
        <v>1563</v>
      </c>
      <c r="AM523" s="143" t="s">
        <v>807</v>
      </c>
      <c r="AN523" s="143"/>
      <c r="AO523" s="143"/>
      <c r="AP523" s="143"/>
      <c r="AQ523" s="143"/>
      <c r="AR523" s="143"/>
      <c r="AS523" s="143"/>
      <c r="AT523" s="143"/>
      <c r="AU523" s="143"/>
      <c r="AV523" s="143"/>
      <c r="AW523" s="144"/>
      <c r="AX523" s="145"/>
      <c r="AY523" s="138"/>
      <c r="AZ523" s="138"/>
      <c r="BA523" s="138"/>
      <c r="BB523" s="138"/>
      <c r="BC523" s="138"/>
      <c r="BD523" s="138"/>
      <c r="BE523" s="138"/>
    </row>
    <row r="524" spans="1:57" s="139" customFormat="1" ht="30">
      <c r="A524" s="140" t="s">
        <v>6</v>
      </c>
      <c r="B524" s="129">
        <v>522</v>
      </c>
      <c r="C524" s="141" t="s">
        <v>1564</v>
      </c>
      <c r="D524" s="141" t="s">
        <v>3106</v>
      </c>
      <c r="E524" s="141" t="s">
        <v>1565</v>
      </c>
      <c r="F524" s="141" t="s">
        <v>1566</v>
      </c>
      <c r="G524" s="141" t="s">
        <v>801</v>
      </c>
      <c r="H524" s="143" t="s">
        <v>1567</v>
      </c>
      <c r="I524" s="143" t="s">
        <v>661</v>
      </c>
      <c r="J524" s="141" t="s">
        <v>192</v>
      </c>
      <c r="K524" s="141" t="s">
        <v>192</v>
      </c>
      <c r="L524" s="141" t="s">
        <v>801</v>
      </c>
      <c r="M524" s="143" t="s">
        <v>198</v>
      </c>
      <c r="N524" s="141">
        <v>10</v>
      </c>
      <c r="O524" s="141" t="s">
        <v>1568</v>
      </c>
      <c r="P524" s="143"/>
      <c r="Q524" s="141">
        <v>8</v>
      </c>
      <c r="R524" s="143">
        <v>46</v>
      </c>
      <c r="S524" s="143">
        <v>46</v>
      </c>
      <c r="T524" s="141">
        <v>1</v>
      </c>
      <c r="U524" s="141" t="s">
        <v>816</v>
      </c>
      <c r="V524" s="141" t="s">
        <v>535</v>
      </c>
      <c r="W524" s="143">
        <v>1000</v>
      </c>
      <c r="X524" s="141" t="s">
        <v>801</v>
      </c>
      <c r="Y524" s="141" t="s">
        <v>558</v>
      </c>
      <c r="Z524" s="141" t="s">
        <v>558</v>
      </c>
      <c r="AA524" s="141">
        <v>1</v>
      </c>
      <c r="AB524" s="141" t="s">
        <v>801</v>
      </c>
      <c r="AC524" s="143" t="s">
        <v>801</v>
      </c>
      <c r="AD524" s="141" t="s">
        <v>806</v>
      </c>
      <c r="AE524" s="141" t="s">
        <v>801</v>
      </c>
      <c r="AF524" s="141">
        <v>0</v>
      </c>
      <c r="AG524" s="141">
        <v>0</v>
      </c>
      <c r="AH524" s="141">
        <v>1</v>
      </c>
      <c r="AI524" s="141" t="s">
        <v>801</v>
      </c>
      <c r="AJ524" s="164" t="s">
        <v>662</v>
      </c>
      <c r="AK524" s="143" t="s">
        <v>804</v>
      </c>
      <c r="AL524" s="143" t="s">
        <v>1563</v>
      </c>
      <c r="AM524" s="143" t="s">
        <v>807</v>
      </c>
      <c r="AN524" s="143"/>
      <c r="AO524" s="143"/>
      <c r="AP524" s="143"/>
      <c r="AQ524" s="143"/>
      <c r="AR524" s="143"/>
      <c r="AS524" s="143"/>
      <c r="AT524" s="143"/>
      <c r="AU524" s="143"/>
      <c r="AV524" s="143"/>
      <c r="AW524" s="144"/>
      <c r="AX524" s="145"/>
      <c r="AY524" s="138"/>
      <c r="AZ524" s="138"/>
      <c r="BA524" s="138"/>
      <c r="BB524" s="138"/>
      <c r="BC524" s="138"/>
      <c r="BD524" s="138"/>
      <c r="BE524" s="138"/>
    </row>
    <row r="525" spans="1:57" s="139" customFormat="1" ht="30">
      <c r="A525" s="140" t="s">
        <v>6</v>
      </c>
      <c r="B525" s="129">
        <v>523</v>
      </c>
      <c r="C525" s="141" t="s">
        <v>1564</v>
      </c>
      <c r="D525" s="141" t="s">
        <v>3106</v>
      </c>
      <c r="E525" s="141" t="s">
        <v>1569</v>
      </c>
      <c r="F525" s="141" t="s">
        <v>1570</v>
      </c>
      <c r="G525" s="141" t="s">
        <v>801</v>
      </c>
      <c r="H525" s="143" t="s">
        <v>1567</v>
      </c>
      <c r="I525" s="143" t="s">
        <v>661</v>
      </c>
      <c r="J525" s="141" t="s">
        <v>192</v>
      </c>
      <c r="K525" s="141" t="s">
        <v>192</v>
      </c>
      <c r="L525" s="141" t="s">
        <v>801</v>
      </c>
      <c r="M525" s="143" t="s">
        <v>198</v>
      </c>
      <c r="N525" s="141">
        <v>10</v>
      </c>
      <c r="O525" s="141" t="s">
        <v>1568</v>
      </c>
      <c r="P525" s="143"/>
      <c r="Q525" s="141">
        <v>8</v>
      </c>
      <c r="R525" s="143">
        <v>45</v>
      </c>
      <c r="S525" s="143">
        <v>45</v>
      </c>
      <c r="T525" s="141">
        <v>1</v>
      </c>
      <c r="U525" s="141" t="s">
        <v>816</v>
      </c>
      <c r="V525" s="141" t="s">
        <v>535</v>
      </c>
      <c r="W525" s="143">
        <v>1000</v>
      </c>
      <c r="X525" s="141" t="s">
        <v>801</v>
      </c>
      <c r="Y525" s="141" t="s">
        <v>558</v>
      </c>
      <c r="Z525" s="141" t="s">
        <v>558</v>
      </c>
      <c r="AA525" s="141">
        <v>1</v>
      </c>
      <c r="AB525" s="141" t="s">
        <v>801</v>
      </c>
      <c r="AC525" s="143" t="s">
        <v>801</v>
      </c>
      <c r="AD525" s="141" t="s">
        <v>806</v>
      </c>
      <c r="AE525" s="141" t="s">
        <v>801</v>
      </c>
      <c r="AF525" s="141">
        <v>0</v>
      </c>
      <c r="AG525" s="141">
        <v>0</v>
      </c>
      <c r="AH525" s="141">
        <v>1</v>
      </c>
      <c r="AI525" s="141" t="s">
        <v>801</v>
      </c>
      <c r="AJ525" s="164" t="s">
        <v>662</v>
      </c>
      <c r="AK525" s="143" t="s">
        <v>804</v>
      </c>
      <c r="AL525" s="143" t="s">
        <v>1563</v>
      </c>
      <c r="AM525" s="143" t="s">
        <v>807</v>
      </c>
      <c r="AN525" s="143"/>
      <c r="AO525" s="143"/>
      <c r="AP525" s="143"/>
      <c r="AQ525" s="143"/>
      <c r="AR525" s="143"/>
      <c r="AS525" s="143"/>
      <c r="AT525" s="143"/>
      <c r="AU525" s="143"/>
      <c r="AV525" s="143"/>
      <c r="AW525" s="144"/>
      <c r="AX525" s="145"/>
      <c r="AY525" s="138"/>
      <c r="AZ525" s="138"/>
      <c r="BA525" s="138"/>
      <c r="BB525" s="138"/>
      <c r="BC525" s="138"/>
      <c r="BD525" s="138"/>
      <c r="BE525" s="138"/>
    </row>
    <row r="526" spans="1:57" s="139" customFormat="1" ht="30">
      <c r="A526" s="140" t="s">
        <v>6</v>
      </c>
      <c r="B526" s="129">
        <v>524</v>
      </c>
      <c r="C526" s="141" t="s">
        <v>1564</v>
      </c>
      <c r="D526" s="141" t="s">
        <v>3106</v>
      </c>
      <c r="E526" s="141" t="s">
        <v>1571</v>
      </c>
      <c r="F526" s="141" t="s">
        <v>1572</v>
      </c>
      <c r="G526" s="141" t="s">
        <v>801</v>
      </c>
      <c r="H526" s="143" t="s">
        <v>1567</v>
      </c>
      <c r="I526" s="143" t="s">
        <v>661</v>
      </c>
      <c r="J526" s="141" t="s">
        <v>192</v>
      </c>
      <c r="K526" s="141" t="s">
        <v>192</v>
      </c>
      <c r="L526" s="141" t="s">
        <v>801</v>
      </c>
      <c r="M526" s="143" t="s">
        <v>198</v>
      </c>
      <c r="N526" s="141">
        <v>10</v>
      </c>
      <c r="O526" s="141" t="s">
        <v>1568</v>
      </c>
      <c r="P526" s="143"/>
      <c r="Q526" s="141">
        <v>8</v>
      </c>
      <c r="R526" s="143">
        <v>44</v>
      </c>
      <c r="S526" s="143">
        <v>44</v>
      </c>
      <c r="T526" s="141">
        <v>1</v>
      </c>
      <c r="U526" s="141" t="s">
        <v>816</v>
      </c>
      <c r="V526" s="141" t="s">
        <v>535</v>
      </c>
      <c r="W526" s="143">
        <v>1000</v>
      </c>
      <c r="X526" s="141" t="s">
        <v>801</v>
      </c>
      <c r="Y526" s="141" t="s">
        <v>558</v>
      </c>
      <c r="Z526" s="141" t="s">
        <v>558</v>
      </c>
      <c r="AA526" s="141">
        <v>1</v>
      </c>
      <c r="AB526" s="141" t="s">
        <v>801</v>
      </c>
      <c r="AC526" s="143" t="s">
        <v>801</v>
      </c>
      <c r="AD526" s="141" t="s">
        <v>806</v>
      </c>
      <c r="AE526" s="141" t="s">
        <v>801</v>
      </c>
      <c r="AF526" s="141">
        <v>0</v>
      </c>
      <c r="AG526" s="141">
        <v>0</v>
      </c>
      <c r="AH526" s="141">
        <v>1</v>
      </c>
      <c r="AI526" s="141" t="s">
        <v>801</v>
      </c>
      <c r="AJ526" s="164" t="s">
        <v>662</v>
      </c>
      <c r="AK526" s="143" t="s">
        <v>804</v>
      </c>
      <c r="AL526" s="143" t="s">
        <v>1563</v>
      </c>
      <c r="AM526" s="143" t="s">
        <v>807</v>
      </c>
      <c r="AN526" s="143"/>
      <c r="AO526" s="143"/>
      <c r="AP526" s="143"/>
      <c r="AQ526" s="143"/>
      <c r="AR526" s="143"/>
      <c r="AS526" s="143"/>
      <c r="AT526" s="143"/>
      <c r="AU526" s="143"/>
      <c r="AV526" s="143"/>
      <c r="AW526" s="144"/>
      <c r="AX526" s="145"/>
      <c r="AY526" s="138"/>
      <c r="AZ526" s="138"/>
      <c r="BA526" s="138"/>
      <c r="BB526" s="138"/>
      <c r="BC526" s="138"/>
      <c r="BD526" s="138"/>
      <c r="BE526" s="138"/>
    </row>
    <row r="527" spans="1:57" s="139" customFormat="1" ht="25">
      <c r="A527" s="140" t="s">
        <v>6</v>
      </c>
      <c r="B527" s="129">
        <v>525</v>
      </c>
      <c r="C527" s="141" t="s">
        <v>809</v>
      </c>
      <c r="D527" s="141" t="s">
        <v>3105</v>
      </c>
      <c r="E527" s="141" t="s">
        <v>1573</v>
      </c>
      <c r="F527" s="141" t="s">
        <v>1574</v>
      </c>
      <c r="G527" s="141" t="s">
        <v>801</v>
      </c>
      <c r="H527" s="143" t="s">
        <v>1567</v>
      </c>
      <c r="I527" s="143" t="s">
        <v>661</v>
      </c>
      <c r="J527" s="141" t="s">
        <v>829</v>
      </c>
      <c r="K527" s="141" t="s">
        <v>825</v>
      </c>
      <c r="L527" s="141" t="s">
        <v>801</v>
      </c>
      <c r="M527" s="143" t="s">
        <v>198</v>
      </c>
      <c r="N527" s="141">
        <v>10</v>
      </c>
      <c r="O527" s="141" t="s">
        <v>1568</v>
      </c>
      <c r="P527" s="143"/>
      <c r="Q527" s="141">
        <v>8</v>
      </c>
      <c r="R527" s="141">
        <v>59</v>
      </c>
      <c r="S527" s="141">
        <v>56</v>
      </c>
      <c r="T527" s="141">
        <v>4</v>
      </c>
      <c r="U527" s="141" t="s">
        <v>1575</v>
      </c>
      <c r="V527" s="141" t="s">
        <v>535</v>
      </c>
      <c r="W527" s="143">
        <v>1000</v>
      </c>
      <c r="X527" s="141" t="s">
        <v>801</v>
      </c>
      <c r="Y527" s="141" t="s">
        <v>558</v>
      </c>
      <c r="Z527" s="141" t="s">
        <v>1576</v>
      </c>
      <c r="AA527" s="141">
        <v>1</v>
      </c>
      <c r="AB527" s="141" t="s">
        <v>801</v>
      </c>
      <c r="AC527" s="143" t="s">
        <v>801</v>
      </c>
      <c r="AD527" s="141" t="s">
        <v>806</v>
      </c>
      <c r="AE527" s="141" t="s">
        <v>801</v>
      </c>
      <c r="AF527" s="141">
        <v>0</v>
      </c>
      <c r="AG527" s="143">
        <v>0</v>
      </c>
      <c r="AH527" s="143">
        <v>15</v>
      </c>
      <c r="AI527" s="141" t="s">
        <v>801</v>
      </c>
      <c r="AJ527" s="164" t="s">
        <v>1577</v>
      </c>
      <c r="AK527" s="143" t="s">
        <v>804</v>
      </c>
      <c r="AL527" s="160" t="s">
        <v>1952</v>
      </c>
      <c r="AM527" s="143"/>
      <c r="AN527" s="143"/>
      <c r="AO527" s="143"/>
      <c r="AP527" s="143"/>
      <c r="AQ527" s="143"/>
      <c r="AR527" s="143"/>
      <c r="AS527" s="143"/>
      <c r="AT527" s="143"/>
      <c r="AU527" s="143"/>
      <c r="AV527" s="143"/>
      <c r="AW527" s="144"/>
      <c r="AX527" s="145" t="s">
        <v>685</v>
      </c>
      <c r="AY527" s="138"/>
      <c r="AZ527" s="138"/>
      <c r="BA527" s="138"/>
      <c r="BB527" s="138"/>
      <c r="BC527" s="138"/>
      <c r="BD527" s="138"/>
      <c r="BE527" s="138"/>
    </row>
    <row r="528" spans="1:57" s="139" customFormat="1" ht="44">
      <c r="A528" s="140" t="s">
        <v>6</v>
      </c>
      <c r="B528" s="129">
        <v>526</v>
      </c>
      <c r="C528" s="141" t="s">
        <v>1578</v>
      </c>
      <c r="D528" s="253" t="s">
        <v>3115</v>
      </c>
      <c r="E528" s="141" t="s">
        <v>1579</v>
      </c>
      <c r="F528" s="141" t="s">
        <v>1080</v>
      </c>
      <c r="G528" s="141" t="s">
        <v>804</v>
      </c>
      <c r="H528" s="143" t="s">
        <v>1580</v>
      </c>
      <c r="I528" s="143" t="s">
        <v>564</v>
      </c>
      <c r="J528" s="129" t="s">
        <v>843</v>
      </c>
      <c r="K528" s="129" t="s">
        <v>843</v>
      </c>
      <c r="L528" s="141" t="s">
        <v>804</v>
      </c>
      <c r="M528" s="143" t="s">
        <v>198</v>
      </c>
      <c r="N528" s="141">
        <v>20</v>
      </c>
      <c r="O528" s="141" t="s">
        <v>1568</v>
      </c>
      <c r="P528" s="129" t="s">
        <v>804</v>
      </c>
      <c r="Q528" s="141">
        <v>8</v>
      </c>
      <c r="R528" s="141">
        <v>7</v>
      </c>
      <c r="S528" s="141">
        <v>0</v>
      </c>
      <c r="T528" s="141">
        <v>8</v>
      </c>
      <c r="U528" s="141" t="s">
        <v>816</v>
      </c>
      <c r="V528" s="141" t="s">
        <v>803</v>
      </c>
      <c r="W528" s="143">
        <v>1000</v>
      </c>
      <c r="X528" s="141" t="s">
        <v>804</v>
      </c>
      <c r="Y528" s="141" t="s">
        <v>585</v>
      </c>
      <c r="Z528" s="141" t="s">
        <v>804</v>
      </c>
      <c r="AA528" s="141">
        <v>1</v>
      </c>
      <c r="AB528" s="141" t="s">
        <v>804</v>
      </c>
      <c r="AC528" s="141" t="s">
        <v>804</v>
      </c>
      <c r="AD528" s="141" t="s">
        <v>804</v>
      </c>
      <c r="AE528" s="141" t="s">
        <v>804</v>
      </c>
      <c r="AF528" s="141">
        <v>0</v>
      </c>
      <c r="AG528" s="141">
        <v>0</v>
      </c>
      <c r="AH528" s="141">
        <v>255</v>
      </c>
      <c r="AI528" s="141" t="s">
        <v>804</v>
      </c>
      <c r="AJ528" s="164" t="s">
        <v>804</v>
      </c>
      <c r="AK528" s="143" t="s">
        <v>804</v>
      </c>
      <c r="AL528" s="143" t="s">
        <v>804</v>
      </c>
      <c r="AM528" s="143"/>
      <c r="AN528" s="160" t="s">
        <v>2397</v>
      </c>
      <c r="AO528" s="143"/>
      <c r="AP528" s="143"/>
      <c r="AQ528" s="143"/>
      <c r="AR528" s="143"/>
      <c r="AS528" s="143"/>
      <c r="AT528" s="143"/>
      <c r="AU528" s="143"/>
      <c r="AV528" s="143"/>
      <c r="AW528" s="144"/>
      <c r="AX528" s="145"/>
      <c r="AY528" s="138"/>
      <c r="AZ528" s="138"/>
      <c r="BA528" s="138"/>
      <c r="BB528" s="138"/>
      <c r="BC528" s="138"/>
      <c r="BD528" s="138"/>
      <c r="BE528" s="138"/>
    </row>
    <row r="529" spans="1:57" s="139" customFormat="1" ht="30">
      <c r="A529" s="140" t="s">
        <v>6</v>
      </c>
      <c r="B529" s="129">
        <v>527</v>
      </c>
      <c r="C529" s="141" t="s">
        <v>1578</v>
      </c>
      <c r="D529" s="141" t="s">
        <v>3115</v>
      </c>
      <c r="E529" s="141" t="s">
        <v>1581</v>
      </c>
      <c r="F529" s="141" t="s">
        <v>1582</v>
      </c>
      <c r="G529" s="141" t="s">
        <v>804</v>
      </c>
      <c r="H529" s="143" t="s">
        <v>2996</v>
      </c>
      <c r="I529" s="143" t="s">
        <v>564</v>
      </c>
      <c r="J529" s="129" t="s">
        <v>843</v>
      </c>
      <c r="K529" s="129" t="s">
        <v>843</v>
      </c>
      <c r="L529" s="141" t="s">
        <v>804</v>
      </c>
      <c r="M529" s="143" t="s">
        <v>198</v>
      </c>
      <c r="N529" s="141">
        <v>20</v>
      </c>
      <c r="O529" s="141" t="s">
        <v>1568</v>
      </c>
      <c r="P529" s="129" t="s">
        <v>804</v>
      </c>
      <c r="Q529" s="141">
        <v>8</v>
      </c>
      <c r="R529" s="143">
        <v>16</v>
      </c>
      <c r="S529" s="143">
        <v>16</v>
      </c>
      <c r="T529" s="141">
        <v>1</v>
      </c>
      <c r="U529" s="141" t="s">
        <v>816</v>
      </c>
      <c r="V529" s="141" t="s">
        <v>535</v>
      </c>
      <c r="W529" s="143">
        <v>1000</v>
      </c>
      <c r="X529" s="141" t="s">
        <v>804</v>
      </c>
      <c r="Y529" s="260" t="s">
        <v>558</v>
      </c>
      <c r="Z529" s="141" t="s">
        <v>565</v>
      </c>
      <c r="AA529" s="141">
        <v>1</v>
      </c>
      <c r="AB529" s="141" t="s">
        <v>804</v>
      </c>
      <c r="AC529" s="143" t="s">
        <v>804</v>
      </c>
      <c r="AD529" s="141" t="s">
        <v>806</v>
      </c>
      <c r="AE529" s="141" t="s">
        <v>804</v>
      </c>
      <c r="AF529" s="141">
        <v>0</v>
      </c>
      <c r="AG529" s="141">
        <v>0</v>
      </c>
      <c r="AH529" s="141">
        <v>1</v>
      </c>
      <c r="AI529" s="141" t="s">
        <v>801</v>
      </c>
      <c r="AJ529" s="164" t="s">
        <v>566</v>
      </c>
      <c r="AK529" s="141" t="s">
        <v>806</v>
      </c>
      <c r="AL529" s="143" t="s">
        <v>804</v>
      </c>
      <c r="AM529" s="141"/>
      <c r="AN529" s="141" t="s">
        <v>677</v>
      </c>
      <c r="AO529" s="141"/>
      <c r="AP529" s="141"/>
      <c r="AQ529" s="141"/>
      <c r="AR529" s="141"/>
      <c r="AS529" s="141"/>
      <c r="AT529" s="141"/>
      <c r="AU529" s="141"/>
      <c r="AV529" s="141"/>
      <c r="AW529" s="205"/>
      <c r="AX529" s="206"/>
      <c r="AY529" s="138"/>
      <c r="AZ529" s="138"/>
      <c r="BA529" s="138"/>
      <c r="BB529" s="138"/>
      <c r="BC529" s="138"/>
      <c r="BD529" s="138"/>
      <c r="BE529" s="138"/>
    </row>
    <row r="530" spans="1:57" s="139" customFormat="1" ht="44">
      <c r="A530" s="140" t="s">
        <v>6</v>
      </c>
      <c r="B530" s="129">
        <v>528</v>
      </c>
      <c r="C530" s="141" t="s">
        <v>1578</v>
      </c>
      <c r="D530" s="141" t="s">
        <v>3106</v>
      </c>
      <c r="E530" s="141" t="s">
        <v>1583</v>
      </c>
      <c r="F530" s="141" t="s">
        <v>1584</v>
      </c>
      <c r="G530" s="141" t="s">
        <v>804</v>
      </c>
      <c r="H530" s="143" t="s">
        <v>1580</v>
      </c>
      <c r="I530" s="143" t="s">
        <v>564</v>
      </c>
      <c r="J530" s="129" t="s">
        <v>843</v>
      </c>
      <c r="K530" s="129" t="s">
        <v>843</v>
      </c>
      <c r="L530" s="141" t="s">
        <v>804</v>
      </c>
      <c r="M530" s="143" t="s">
        <v>198</v>
      </c>
      <c r="N530" s="141">
        <v>20</v>
      </c>
      <c r="O530" s="141" t="s">
        <v>1568</v>
      </c>
      <c r="P530" s="129" t="s">
        <v>804</v>
      </c>
      <c r="Q530" s="141">
        <v>8</v>
      </c>
      <c r="R530" s="143">
        <v>17</v>
      </c>
      <c r="S530" s="143">
        <v>17</v>
      </c>
      <c r="T530" s="141">
        <v>1</v>
      </c>
      <c r="U530" s="141" t="s">
        <v>816</v>
      </c>
      <c r="V530" s="141" t="s">
        <v>535</v>
      </c>
      <c r="W530" s="143">
        <v>1000</v>
      </c>
      <c r="X530" s="141" t="s">
        <v>804</v>
      </c>
      <c r="Y530" s="260" t="s">
        <v>558</v>
      </c>
      <c r="Z530" s="260" t="s">
        <v>558</v>
      </c>
      <c r="AA530" s="141">
        <v>1</v>
      </c>
      <c r="AB530" s="141" t="s">
        <v>804</v>
      </c>
      <c r="AC530" s="143" t="s">
        <v>804</v>
      </c>
      <c r="AD530" s="141" t="s">
        <v>806</v>
      </c>
      <c r="AE530" s="141" t="s">
        <v>804</v>
      </c>
      <c r="AF530" s="141">
        <v>0</v>
      </c>
      <c r="AG530" s="141">
        <v>0</v>
      </c>
      <c r="AH530" s="141">
        <v>1</v>
      </c>
      <c r="AI530" s="141" t="s">
        <v>1585</v>
      </c>
      <c r="AJ530" s="164" t="s">
        <v>567</v>
      </c>
      <c r="AK530" s="141" t="s">
        <v>806</v>
      </c>
      <c r="AL530" s="143" t="s">
        <v>1586</v>
      </c>
      <c r="AM530" s="141" t="s">
        <v>807</v>
      </c>
      <c r="AN530" s="141"/>
      <c r="AO530" s="141"/>
      <c r="AP530" s="141"/>
      <c r="AQ530" s="141"/>
      <c r="AR530" s="141"/>
      <c r="AS530" s="141"/>
      <c r="AT530" s="141"/>
      <c r="AU530" s="141"/>
      <c r="AV530" s="141"/>
      <c r="AW530" s="205"/>
      <c r="AX530" s="206"/>
      <c r="AY530" s="138"/>
      <c r="AZ530" s="138"/>
      <c r="BA530" s="138"/>
      <c r="BB530" s="138"/>
      <c r="BC530" s="138"/>
      <c r="BD530" s="138"/>
      <c r="BE530" s="138"/>
    </row>
    <row r="531" spans="1:57" s="139" customFormat="1" ht="58">
      <c r="A531" s="140" t="s">
        <v>6</v>
      </c>
      <c r="B531" s="129">
        <v>529</v>
      </c>
      <c r="C531" s="141" t="s">
        <v>1578</v>
      </c>
      <c r="D531" s="141" t="s">
        <v>3106</v>
      </c>
      <c r="E531" s="141" t="s">
        <v>1587</v>
      </c>
      <c r="F531" s="141" t="s">
        <v>1588</v>
      </c>
      <c r="G531" s="141" t="s">
        <v>804</v>
      </c>
      <c r="H531" s="143" t="s">
        <v>1580</v>
      </c>
      <c r="I531" s="143" t="s">
        <v>564</v>
      </c>
      <c r="J531" s="129" t="s">
        <v>843</v>
      </c>
      <c r="K531" s="129" t="s">
        <v>843</v>
      </c>
      <c r="L531" s="141" t="s">
        <v>804</v>
      </c>
      <c r="M531" s="143" t="s">
        <v>198</v>
      </c>
      <c r="N531" s="141">
        <v>20</v>
      </c>
      <c r="O531" s="141" t="s">
        <v>1568</v>
      </c>
      <c r="P531" s="129" t="s">
        <v>804</v>
      </c>
      <c r="Q531" s="141">
        <v>8</v>
      </c>
      <c r="R531" s="143">
        <v>27</v>
      </c>
      <c r="S531" s="143">
        <v>26</v>
      </c>
      <c r="T531" s="141">
        <v>2</v>
      </c>
      <c r="U531" s="141" t="s">
        <v>816</v>
      </c>
      <c r="V531" s="141" t="s">
        <v>535</v>
      </c>
      <c r="W531" s="143">
        <v>1000</v>
      </c>
      <c r="X531" s="141" t="s">
        <v>804</v>
      </c>
      <c r="Y531" s="260" t="s">
        <v>558</v>
      </c>
      <c r="Z531" s="141" t="s">
        <v>1589</v>
      </c>
      <c r="AA531" s="141">
        <v>1</v>
      </c>
      <c r="AB531" s="141" t="s">
        <v>804</v>
      </c>
      <c r="AC531" s="143" t="s">
        <v>804</v>
      </c>
      <c r="AD531" s="141" t="s">
        <v>806</v>
      </c>
      <c r="AE531" s="141" t="s">
        <v>804</v>
      </c>
      <c r="AF531" s="141">
        <v>0</v>
      </c>
      <c r="AG531" s="141">
        <v>0</v>
      </c>
      <c r="AH531" s="141">
        <v>3</v>
      </c>
      <c r="AI531" s="141" t="s">
        <v>801</v>
      </c>
      <c r="AJ531" s="164" t="s">
        <v>568</v>
      </c>
      <c r="AK531" s="141" t="s">
        <v>806</v>
      </c>
      <c r="AL531" s="141" t="s">
        <v>592</v>
      </c>
      <c r="AM531" s="141" t="s">
        <v>807</v>
      </c>
      <c r="AN531" s="141"/>
      <c r="AO531" s="141"/>
      <c r="AP531" s="141"/>
      <c r="AQ531" s="141"/>
      <c r="AR531" s="141"/>
      <c r="AS531" s="141"/>
      <c r="AT531" s="141"/>
      <c r="AU531" s="141"/>
      <c r="AV531" s="141"/>
      <c r="AW531" s="205"/>
      <c r="AX531" s="206"/>
      <c r="AY531" s="138"/>
      <c r="AZ531" s="138"/>
      <c r="BA531" s="138"/>
      <c r="BB531" s="138"/>
      <c r="BC531" s="138"/>
      <c r="BD531" s="138"/>
      <c r="BE531" s="138"/>
    </row>
    <row r="532" spans="1:57" s="139" customFormat="1" ht="58">
      <c r="A532" s="140" t="s">
        <v>6</v>
      </c>
      <c r="B532" s="129">
        <v>530</v>
      </c>
      <c r="C532" s="141" t="s">
        <v>1578</v>
      </c>
      <c r="D532" s="141" t="s">
        <v>3144</v>
      </c>
      <c r="E532" s="141" t="s">
        <v>1590</v>
      </c>
      <c r="F532" s="141" t="s">
        <v>1591</v>
      </c>
      <c r="G532" s="141" t="s">
        <v>804</v>
      </c>
      <c r="H532" s="143" t="s">
        <v>1580</v>
      </c>
      <c r="I532" s="143" t="s">
        <v>564</v>
      </c>
      <c r="J532" s="129" t="s">
        <v>843</v>
      </c>
      <c r="K532" s="129" t="s">
        <v>843</v>
      </c>
      <c r="L532" s="141" t="s">
        <v>804</v>
      </c>
      <c r="M532" s="143" t="s">
        <v>198</v>
      </c>
      <c r="N532" s="141">
        <v>20</v>
      </c>
      <c r="O532" s="141" t="s">
        <v>1568</v>
      </c>
      <c r="P532" s="129" t="s">
        <v>804</v>
      </c>
      <c r="Q532" s="141">
        <v>8</v>
      </c>
      <c r="R532" s="143">
        <v>29</v>
      </c>
      <c r="S532" s="143">
        <v>28</v>
      </c>
      <c r="T532" s="141">
        <v>2</v>
      </c>
      <c r="U532" s="141" t="s">
        <v>816</v>
      </c>
      <c r="V532" s="141" t="s">
        <v>535</v>
      </c>
      <c r="W532" s="143">
        <v>1000</v>
      </c>
      <c r="X532" s="141" t="s">
        <v>804</v>
      </c>
      <c r="Y532" s="260" t="s">
        <v>558</v>
      </c>
      <c r="Z532" s="141" t="s">
        <v>1589</v>
      </c>
      <c r="AA532" s="141">
        <v>1</v>
      </c>
      <c r="AB532" s="141" t="s">
        <v>804</v>
      </c>
      <c r="AC532" s="143" t="s">
        <v>804</v>
      </c>
      <c r="AD532" s="141" t="s">
        <v>806</v>
      </c>
      <c r="AE532" s="141" t="s">
        <v>804</v>
      </c>
      <c r="AF532" s="141">
        <v>0</v>
      </c>
      <c r="AG532" s="141">
        <v>0</v>
      </c>
      <c r="AH532" s="141">
        <v>3</v>
      </c>
      <c r="AI532" s="141" t="s">
        <v>801</v>
      </c>
      <c r="AJ532" s="164" t="s">
        <v>569</v>
      </c>
      <c r="AK532" s="141" t="s">
        <v>806</v>
      </c>
      <c r="AL532" s="141" t="s">
        <v>593</v>
      </c>
      <c r="AM532" s="141" t="s">
        <v>1082</v>
      </c>
      <c r="AN532" s="141" t="s">
        <v>807</v>
      </c>
      <c r="AO532" s="141"/>
      <c r="AP532" s="143"/>
      <c r="AQ532" s="141"/>
      <c r="AR532" s="141"/>
      <c r="AS532" s="141"/>
      <c r="AT532" s="141"/>
      <c r="AU532" s="141"/>
      <c r="AV532" s="141"/>
      <c r="AW532" s="205"/>
      <c r="AX532" s="206"/>
      <c r="AY532" s="138"/>
      <c r="AZ532" s="138"/>
      <c r="BA532" s="138"/>
      <c r="BB532" s="138"/>
      <c r="BC532" s="138"/>
      <c r="BD532" s="138"/>
      <c r="BE532" s="138"/>
    </row>
    <row r="533" spans="1:57" s="139" customFormat="1" ht="86">
      <c r="A533" s="140" t="s">
        <v>6</v>
      </c>
      <c r="B533" s="129">
        <v>531</v>
      </c>
      <c r="C533" s="141" t="s">
        <v>1578</v>
      </c>
      <c r="D533" s="141" t="s">
        <v>3115</v>
      </c>
      <c r="E533" s="141" t="s">
        <v>2995</v>
      </c>
      <c r="F533" s="141" t="s">
        <v>1592</v>
      </c>
      <c r="G533" s="141" t="s">
        <v>804</v>
      </c>
      <c r="H533" s="143" t="s">
        <v>1580</v>
      </c>
      <c r="I533" s="143" t="s">
        <v>564</v>
      </c>
      <c r="J533" s="129" t="s">
        <v>843</v>
      </c>
      <c r="K533" s="129" t="s">
        <v>843</v>
      </c>
      <c r="L533" s="141" t="s">
        <v>804</v>
      </c>
      <c r="M533" s="143" t="s">
        <v>198</v>
      </c>
      <c r="N533" s="141">
        <v>20</v>
      </c>
      <c r="O533" s="141" t="s">
        <v>1568</v>
      </c>
      <c r="P533" s="129" t="s">
        <v>804</v>
      </c>
      <c r="Q533" s="141">
        <v>8</v>
      </c>
      <c r="R533" s="143">
        <v>31</v>
      </c>
      <c r="S533" s="143">
        <v>30</v>
      </c>
      <c r="T533" s="141">
        <v>2</v>
      </c>
      <c r="U533" s="141" t="s">
        <v>816</v>
      </c>
      <c r="V533" s="141" t="s">
        <v>535</v>
      </c>
      <c r="W533" s="143">
        <v>1000</v>
      </c>
      <c r="X533" s="141" t="s">
        <v>804</v>
      </c>
      <c r="Y533" s="260" t="s">
        <v>558</v>
      </c>
      <c r="Z533" s="141" t="s">
        <v>565</v>
      </c>
      <c r="AA533" s="141">
        <v>1</v>
      </c>
      <c r="AB533" s="141" t="s">
        <v>804</v>
      </c>
      <c r="AC533" s="143" t="s">
        <v>804</v>
      </c>
      <c r="AD533" s="141" t="s">
        <v>806</v>
      </c>
      <c r="AE533" s="141" t="s">
        <v>804</v>
      </c>
      <c r="AF533" s="141">
        <v>0</v>
      </c>
      <c r="AG533" s="141">
        <v>0</v>
      </c>
      <c r="AH533" s="141">
        <v>3</v>
      </c>
      <c r="AI533" s="141" t="s">
        <v>801</v>
      </c>
      <c r="AJ533" s="164" t="s">
        <v>570</v>
      </c>
      <c r="AK533" s="141" t="s">
        <v>806</v>
      </c>
      <c r="AL533" s="143"/>
      <c r="AM533" s="141"/>
      <c r="AN533" s="141" t="s">
        <v>677</v>
      </c>
      <c r="AO533" s="141"/>
      <c r="AP533" s="141"/>
      <c r="AQ533" s="141"/>
      <c r="AR533" s="141"/>
      <c r="AS533" s="141"/>
      <c r="AT533" s="141"/>
      <c r="AU533" s="141"/>
      <c r="AV533" s="141"/>
      <c r="AW533" s="205"/>
      <c r="AX533" s="206"/>
      <c r="AY533" s="138"/>
      <c r="AZ533" s="138"/>
      <c r="BA533" s="138"/>
      <c r="BB533" s="138"/>
      <c r="BC533" s="138"/>
      <c r="BD533" s="138"/>
      <c r="BE533" s="138"/>
    </row>
    <row r="534" spans="1:57" s="139" customFormat="1" ht="128">
      <c r="A534" s="140" t="s">
        <v>6</v>
      </c>
      <c r="B534" s="129">
        <v>532</v>
      </c>
      <c r="C534" s="141" t="s">
        <v>1578</v>
      </c>
      <c r="D534" s="141" t="s">
        <v>3106</v>
      </c>
      <c r="E534" s="141" t="s">
        <v>571</v>
      </c>
      <c r="F534" s="141" t="s">
        <v>572</v>
      </c>
      <c r="G534" s="141" t="s">
        <v>804</v>
      </c>
      <c r="H534" s="143" t="s">
        <v>1580</v>
      </c>
      <c r="I534" s="143" t="s">
        <v>564</v>
      </c>
      <c r="J534" s="129" t="s">
        <v>843</v>
      </c>
      <c r="K534" s="129" t="s">
        <v>843</v>
      </c>
      <c r="L534" s="141" t="s">
        <v>804</v>
      </c>
      <c r="M534" s="143" t="s">
        <v>198</v>
      </c>
      <c r="N534" s="141">
        <v>20</v>
      </c>
      <c r="O534" s="141" t="s">
        <v>1568</v>
      </c>
      <c r="P534" s="129" t="s">
        <v>804</v>
      </c>
      <c r="Q534" s="141">
        <v>8</v>
      </c>
      <c r="R534" s="143">
        <v>39</v>
      </c>
      <c r="S534" s="143">
        <v>36</v>
      </c>
      <c r="T534" s="141">
        <v>4</v>
      </c>
      <c r="U534" s="141" t="s">
        <v>816</v>
      </c>
      <c r="V534" s="141" t="s">
        <v>535</v>
      </c>
      <c r="W534" s="143">
        <v>1000</v>
      </c>
      <c r="X534" s="141" t="s">
        <v>804</v>
      </c>
      <c r="Y534" s="260" t="s">
        <v>558</v>
      </c>
      <c r="Z534" s="260" t="s">
        <v>558</v>
      </c>
      <c r="AA534" s="141">
        <v>1</v>
      </c>
      <c r="AB534" s="141" t="s">
        <v>804</v>
      </c>
      <c r="AC534" s="143" t="s">
        <v>804</v>
      </c>
      <c r="AD534" s="141" t="s">
        <v>806</v>
      </c>
      <c r="AE534" s="141" t="s">
        <v>804</v>
      </c>
      <c r="AF534" s="141">
        <v>0</v>
      </c>
      <c r="AG534" s="141">
        <v>0</v>
      </c>
      <c r="AH534" s="141">
        <v>15</v>
      </c>
      <c r="AI534" s="141" t="s">
        <v>1585</v>
      </c>
      <c r="AJ534" s="164" t="s">
        <v>2172</v>
      </c>
      <c r="AK534" s="141" t="s">
        <v>806</v>
      </c>
      <c r="AL534" s="143" t="s">
        <v>1593</v>
      </c>
      <c r="AM534" s="141" t="s">
        <v>559</v>
      </c>
      <c r="AN534" s="141"/>
      <c r="AO534" s="141"/>
      <c r="AP534" s="141"/>
      <c r="AQ534" s="141"/>
      <c r="AR534" s="141"/>
      <c r="AS534" s="141"/>
      <c r="AT534" s="141"/>
      <c r="AU534" s="141"/>
      <c r="AV534" s="141"/>
      <c r="AW534" s="205"/>
      <c r="AX534" s="206"/>
      <c r="AY534" s="138"/>
      <c r="AZ534" s="138"/>
      <c r="BA534" s="138"/>
      <c r="BB534" s="138"/>
      <c r="BC534" s="138"/>
      <c r="BD534" s="138"/>
      <c r="BE534" s="138"/>
    </row>
    <row r="535" spans="1:57" s="139" customFormat="1" ht="25">
      <c r="A535" s="140" t="s">
        <v>6</v>
      </c>
      <c r="B535" s="129">
        <v>533</v>
      </c>
      <c r="C535" s="141" t="s">
        <v>1578</v>
      </c>
      <c r="D535" s="141" t="s">
        <v>3115</v>
      </c>
      <c r="E535" s="169" t="s">
        <v>2400</v>
      </c>
      <c r="F535" s="141" t="s">
        <v>1574</v>
      </c>
      <c r="G535" s="141" t="s">
        <v>804</v>
      </c>
      <c r="H535" s="143" t="s">
        <v>1580</v>
      </c>
      <c r="I535" s="143" t="s">
        <v>564</v>
      </c>
      <c r="J535" s="129" t="s">
        <v>843</v>
      </c>
      <c r="K535" s="129" t="s">
        <v>843</v>
      </c>
      <c r="L535" s="141" t="s">
        <v>804</v>
      </c>
      <c r="M535" s="143" t="s">
        <v>198</v>
      </c>
      <c r="N535" s="141">
        <v>20</v>
      </c>
      <c r="O535" s="141" t="s">
        <v>1568</v>
      </c>
      <c r="P535" s="129" t="s">
        <v>804</v>
      </c>
      <c r="Q535" s="141">
        <v>8</v>
      </c>
      <c r="R535" s="143">
        <v>59</v>
      </c>
      <c r="S535" s="143">
        <v>56</v>
      </c>
      <c r="T535" s="141">
        <v>4</v>
      </c>
      <c r="U535" s="141" t="s">
        <v>816</v>
      </c>
      <c r="V535" s="141" t="s">
        <v>535</v>
      </c>
      <c r="W535" s="143">
        <v>1000</v>
      </c>
      <c r="X535" s="141" t="s">
        <v>804</v>
      </c>
      <c r="Y535" s="141" t="s">
        <v>804</v>
      </c>
      <c r="Z535" s="141" t="s">
        <v>804</v>
      </c>
      <c r="AA535" s="141">
        <v>1</v>
      </c>
      <c r="AB535" s="141" t="s">
        <v>804</v>
      </c>
      <c r="AC535" s="143" t="s">
        <v>804</v>
      </c>
      <c r="AD535" s="141" t="s">
        <v>806</v>
      </c>
      <c r="AE535" s="141" t="s">
        <v>804</v>
      </c>
      <c r="AF535" s="141">
        <v>0</v>
      </c>
      <c r="AG535" s="141">
        <v>0</v>
      </c>
      <c r="AH535" s="141">
        <v>15</v>
      </c>
      <c r="AI535" s="141" t="s">
        <v>804</v>
      </c>
      <c r="AJ535" s="164" t="s">
        <v>804</v>
      </c>
      <c r="AK535" s="141" t="s">
        <v>806</v>
      </c>
      <c r="AL535" s="143" t="s">
        <v>804</v>
      </c>
      <c r="AM535" s="141"/>
      <c r="AN535" s="169" t="s">
        <v>2397</v>
      </c>
      <c r="AO535" s="141"/>
      <c r="AP535" s="141"/>
      <c r="AQ535" s="141"/>
      <c r="AR535" s="141"/>
      <c r="AS535" s="141"/>
      <c r="AT535" s="141"/>
      <c r="AU535" s="141"/>
      <c r="AV535" s="141"/>
      <c r="AW535" s="205"/>
      <c r="AX535" s="206"/>
      <c r="AY535" s="138"/>
      <c r="AZ535" s="138"/>
      <c r="BA535" s="138"/>
      <c r="BB535" s="138"/>
      <c r="BC535" s="138"/>
      <c r="BD535" s="138"/>
      <c r="BE535" s="138"/>
    </row>
    <row r="536" spans="1:57" s="139" customFormat="1" ht="44">
      <c r="A536" s="140" t="s">
        <v>6</v>
      </c>
      <c r="B536" s="129">
        <v>534</v>
      </c>
      <c r="C536" s="141" t="s">
        <v>1578</v>
      </c>
      <c r="D536" s="141" t="s">
        <v>3115</v>
      </c>
      <c r="E536" s="141" t="s">
        <v>1594</v>
      </c>
      <c r="F536" s="141" t="s">
        <v>1080</v>
      </c>
      <c r="G536" s="141" t="s">
        <v>804</v>
      </c>
      <c r="H536" s="141" t="s">
        <v>1595</v>
      </c>
      <c r="I536" s="143" t="s">
        <v>1863</v>
      </c>
      <c r="J536" s="129" t="s">
        <v>843</v>
      </c>
      <c r="K536" s="129" t="s">
        <v>843</v>
      </c>
      <c r="L536" s="141" t="s">
        <v>804</v>
      </c>
      <c r="M536" s="141" t="s">
        <v>804</v>
      </c>
      <c r="N536" s="141">
        <v>20</v>
      </c>
      <c r="O536" s="141" t="s">
        <v>804</v>
      </c>
      <c r="P536" s="129" t="s">
        <v>804</v>
      </c>
      <c r="Q536" s="141">
        <v>8</v>
      </c>
      <c r="R536" s="141">
        <v>7</v>
      </c>
      <c r="S536" s="141">
        <v>0</v>
      </c>
      <c r="T536" s="141">
        <v>8</v>
      </c>
      <c r="U536" s="141" t="s">
        <v>816</v>
      </c>
      <c r="V536" s="141" t="s">
        <v>803</v>
      </c>
      <c r="W536" s="129" t="s">
        <v>804</v>
      </c>
      <c r="X536" s="141" t="s">
        <v>804</v>
      </c>
      <c r="Y536" s="141" t="s">
        <v>817</v>
      </c>
      <c r="Z536" s="141" t="s">
        <v>804</v>
      </c>
      <c r="AA536" s="141">
        <v>1</v>
      </c>
      <c r="AB536" s="141" t="s">
        <v>804</v>
      </c>
      <c r="AC536" s="141" t="s">
        <v>804</v>
      </c>
      <c r="AD536" s="141" t="s">
        <v>804</v>
      </c>
      <c r="AE536" s="141" t="s">
        <v>804</v>
      </c>
      <c r="AF536" s="141" t="s">
        <v>804</v>
      </c>
      <c r="AG536" s="141">
        <v>0</v>
      </c>
      <c r="AH536" s="141">
        <v>255</v>
      </c>
      <c r="AI536" s="141" t="s">
        <v>804</v>
      </c>
      <c r="AJ536" s="164" t="s">
        <v>2121</v>
      </c>
      <c r="AK536" s="143" t="s">
        <v>804</v>
      </c>
      <c r="AL536" s="143" t="s">
        <v>804</v>
      </c>
      <c r="AM536" s="143"/>
      <c r="AN536" s="160" t="s">
        <v>1983</v>
      </c>
      <c r="AO536" s="143"/>
      <c r="AP536" s="143"/>
      <c r="AQ536" s="143"/>
      <c r="AR536" s="160"/>
      <c r="AS536" s="143"/>
      <c r="AT536" s="143"/>
      <c r="AU536" s="143"/>
      <c r="AV536" s="143"/>
      <c r="AW536" s="144"/>
      <c r="AX536" s="145"/>
      <c r="AY536" s="138"/>
      <c r="AZ536" s="138"/>
      <c r="BA536" s="138"/>
      <c r="BB536" s="138"/>
      <c r="BC536" s="138"/>
      <c r="BD536" s="138"/>
      <c r="BE536" s="138"/>
    </row>
    <row r="537" spans="1:57" s="139" customFormat="1" ht="30">
      <c r="A537" s="140" t="s">
        <v>6</v>
      </c>
      <c r="B537" s="129">
        <v>535</v>
      </c>
      <c r="C537" s="141" t="s">
        <v>1578</v>
      </c>
      <c r="D537" s="141" t="s">
        <v>3095</v>
      </c>
      <c r="E537" s="141" t="s">
        <v>1605</v>
      </c>
      <c r="F537" s="141" t="s">
        <v>1606</v>
      </c>
      <c r="G537" s="141" t="s">
        <v>804</v>
      </c>
      <c r="H537" s="141" t="s">
        <v>1595</v>
      </c>
      <c r="I537" s="143" t="s">
        <v>1863</v>
      </c>
      <c r="J537" s="129" t="s">
        <v>843</v>
      </c>
      <c r="K537" s="129" t="s">
        <v>843</v>
      </c>
      <c r="L537" s="141" t="s">
        <v>804</v>
      </c>
      <c r="M537" s="141" t="s">
        <v>804</v>
      </c>
      <c r="N537" s="141">
        <v>20</v>
      </c>
      <c r="O537" s="141" t="s">
        <v>804</v>
      </c>
      <c r="P537" s="129" t="s">
        <v>804</v>
      </c>
      <c r="Q537" s="141">
        <v>8</v>
      </c>
      <c r="R537" s="141">
        <v>15</v>
      </c>
      <c r="S537" s="141">
        <v>15</v>
      </c>
      <c r="T537" s="141">
        <v>1</v>
      </c>
      <c r="U537" s="141" t="s">
        <v>816</v>
      </c>
      <c r="V537" s="141" t="s">
        <v>803</v>
      </c>
      <c r="W537" s="143">
        <v>1000</v>
      </c>
      <c r="X537" s="141" t="s">
        <v>804</v>
      </c>
      <c r="Y537" s="141" t="s">
        <v>1607</v>
      </c>
      <c r="Z537" s="141" t="s">
        <v>194</v>
      </c>
      <c r="AA537" s="141">
        <v>1</v>
      </c>
      <c r="AB537" s="141" t="s">
        <v>804</v>
      </c>
      <c r="AC537" s="141" t="s">
        <v>804</v>
      </c>
      <c r="AD537" s="141" t="s">
        <v>804</v>
      </c>
      <c r="AE537" s="141" t="s">
        <v>804</v>
      </c>
      <c r="AF537" s="141">
        <v>0</v>
      </c>
      <c r="AG537" s="141">
        <v>0</v>
      </c>
      <c r="AH537" s="141">
        <v>1</v>
      </c>
      <c r="AI537" s="141" t="s">
        <v>801</v>
      </c>
      <c r="AJ537" s="164" t="s">
        <v>586</v>
      </c>
      <c r="AK537" s="143" t="s">
        <v>804</v>
      </c>
      <c r="AL537" s="141" t="s">
        <v>1608</v>
      </c>
      <c r="AM537" s="143" t="s">
        <v>807</v>
      </c>
      <c r="AN537" s="143"/>
      <c r="AO537" s="143"/>
      <c r="AP537" s="143"/>
      <c r="AQ537" s="143"/>
      <c r="AR537" s="143"/>
      <c r="AS537" s="143"/>
      <c r="AT537" s="143"/>
      <c r="AU537" s="143"/>
      <c r="AV537" s="143"/>
      <c r="AW537" s="144"/>
      <c r="AX537" s="145"/>
      <c r="AY537" s="138"/>
      <c r="AZ537" s="138"/>
      <c r="BA537" s="138"/>
      <c r="BB537" s="138"/>
      <c r="BC537" s="138"/>
      <c r="BD537" s="138"/>
      <c r="BE537" s="138"/>
    </row>
    <row r="538" spans="1:57" s="139" customFormat="1" ht="30">
      <c r="A538" s="140" t="s">
        <v>6</v>
      </c>
      <c r="B538" s="129">
        <v>536</v>
      </c>
      <c r="C538" s="141" t="s">
        <v>1578</v>
      </c>
      <c r="D538" s="141" t="s">
        <v>3106</v>
      </c>
      <c r="E538" s="141" t="s">
        <v>1614</v>
      </c>
      <c r="F538" s="141" t="s">
        <v>1615</v>
      </c>
      <c r="G538" s="141" t="s">
        <v>804</v>
      </c>
      <c r="H538" s="143" t="s">
        <v>1595</v>
      </c>
      <c r="I538" s="143" t="s">
        <v>1863</v>
      </c>
      <c r="J538" s="129" t="s">
        <v>843</v>
      </c>
      <c r="K538" s="129" t="s">
        <v>843</v>
      </c>
      <c r="L538" s="141" t="s">
        <v>804</v>
      </c>
      <c r="M538" s="143" t="s">
        <v>198</v>
      </c>
      <c r="N538" s="141">
        <v>20</v>
      </c>
      <c r="O538" s="203" t="s">
        <v>806</v>
      </c>
      <c r="P538" s="129" t="s">
        <v>804</v>
      </c>
      <c r="Q538" s="141">
        <v>8</v>
      </c>
      <c r="R538" s="143">
        <v>14</v>
      </c>
      <c r="S538" s="143">
        <v>14</v>
      </c>
      <c r="T538" s="141">
        <v>1</v>
      </c>
      <c r="U538" s="141" t="s">
        <v>816</v>
      </c>
      <c r="V538" s="141" t="s">
        <v>535</v>
      </c>
      <c r="W538" s="143">
        <v>1000</v>
      </c>
      <c r="X538" s="141" t="s">
        <v>804</v>
      </c>
      <c r="Y538" s="260" t="s">
        <v>558</v>
      </c>
      <c r="Z538" s="260" t="s">
        <v>558</v>
      </c>
      <c r="AA538" s="141">
        <v>1</v>
      </c>
      <c r="AB538" s="141" t="s">
        <v>804</v>
      </c>
      <c r="AC538" s="143" t="s">
        <v>804</v>
      </c>
      <c r="AD538" s="141" t="s">
        <v>806</v>
      </c>
      <c r="AE538" s="141" t="s">
        <v>804</v>
      </c>
      <c r="AF538" s="141">
        <v>0</v>
      </c>
      <c r="AG538" s="141">
        <v>0</v>
      </c>
      <c r="AH538" s="141">
        <v>1</v>
      </c>
      <c r="AI538" s="141" t="s">
        <v>801</v>
      </c>
      <c r="AJ538" s="164" t="s">
        <v>573</v>
      </c>
      <c r="AK538" s="141" t="s">
        <v>806</v>
      </c>
      <c r="AL538" s="141" t="s">
        <v>1616</v>
      </c>
      <c r="AM538" s="141" t="s">
        <v>559</v>
      </c>
      <c r="AN538" s="141"/>
      <c r="AO538" s="141"/>
      <c r="AP538" s="143"/>
      <c r="AQ538" s="141"/>
      <c r="AR538" s="141"/>
      <c r="AS538" s="141"/>
      <c r="AT538" s="141"/>
      <c r="AU538" s="141"/>
      <c r="AV538" s="141"/>
      <c r="AW538" s="205"/>
      <c r="AX538" s="206"/>
      <c r="AY538" s="138"/>
      <c r="AZ538" s="138"/>
      <c r="BA538" s="138"/>
      <c r="BB538" s="138"/>
      <c r="BC538" s="138"/>
      <c r="BD538" s="138"/>
      <c r="BE538" s="138"/>
    </row>
    <row r="539" spans="1:57" s="139" customFormat="1" ht="44">
      <c r="A539" s="140" t="s">
        <v>6</v>
      </c>
      <c r="B539" s="129">
        <v>537</v>
      </c>
      <c r="C539" s="141" t="s">
        <v>1578</v>
      </c>
      <c r="D539" s="141" t="s">
        <v>3095</v>
      </c>
      <c r="E539" s="141" t="s">
        <v>1609</v>
      </c>
      <c r="F539" s="141" t="s">
        <v>1610</v>
      </c>
      <c r="G539" s="141" t="s">
        <v>804</v>
      </c>
      <c r="H539" s="141" t="s">
        <v>1595</v>
      </c>
      <c r="I539" s="143" t="s">
        <v>1863</v>
      </c>
      <c r="J539" s="129" t="s">
        <v>843</v>
      </c>
      <c r="K539" s="129" t="s">
        <v>843</v>
      </c>
      <c r="L539" s="141" t="s">
        <v>804</v>
      </c>
      <c r="M539" s="141" t="s">
        <v>804</v>
      </c>
      <c r="N539" s="141">
        <v>20</v>
      </c>
      <c r="O539" s="203" t="s">
        <v>806</v>
      </c>
      <c r="P539" s="129" t="s">
        <v>804</v>
      </c>
      <c r="Q539" s="141">
        <v>8</v>
      </c>
      <c r="R539" s="141">
        <v>13</v>
      </c>
      <c r="S539" s="141">
        <v>13</v>
      </c>
      <c r="T539" s="141">
        <v>1</v>
      </c>
      <c r="U539" s="141" t="s">
        <v>816</v>
      </c>
      <c r="V539" s="141" t="s">
        <v>803</v>
      </c>
      <c r="W539" s="143">
        <v>1000</v>
      </c>
      <c r="X539" s="141" t="s">
        <v>804</v>
      </c>
      <c r="Y539" s="141" t="s">
        <v>817</v>
      </c>
      <c r="Z539" s="141" t="s">
        <v>804</v>
      </c>
      <c r="AA539" s="141">
        <v>1</v>
      </c>
      <c r="AB539" s="141" t="s">
        <v>804</v>
      </c>
      <c r="AC539" s="141" t="s">
        <v>804</v>
      </c>
      <c r="AD539" s="141" t="s">
        <v>804</v>
      </c>
      <c r="AE539" s="141" t="s">
        <v>804</v>
      </c>
      <c r="AF539" s="141">
        <v>0</v>
      </c>
      <c r="AG539" s="141">
        <v>0</v>
      </c>
      <c r="AH539" s="141">
        <v>1</v>
      </c>
      <c r="AI539" s="141" t="s">
        <v>801</v>
      </c>
      <c r="AJ539" s="164" t="s">
        <v>1598</v>
      </c>
      <c r="AK539" s="143" t="s">
        <v>804</v>
      </c>
      <c r="AL539" s="143" t="s">
        <v>530</v>
      </c>
      <c r="AM539" s="143" t="s">
        <v>807</v>
      </c>
      <c r="AN539" s="143"/>
      <c r="AO539" s="143"/>
      <c r="AP539" s="143"/>
      <c r="AQ539" s="143"/>
      <c r="AR539" s="143"/>
      <c r="AS539" s="143"/>
      <c r="AT539" s="143"/>
      <c r="AU539" s="143"/>
      <c r="AV539" s="143"/>
      <c r="AW539" s="144"/>
      <c r="AX539" s="145"/>
      <c r="AY539" s="138"/>
      <c r="AZ539" s="138"/>
      <c r="BA539" s="138"/>
      <c r="BB539" s="138"/>
      <c r="BC539" s="138"/>
      <c r="BD539" s="138"/>
      <c r="BE539" s="138"/>
    </row>
    <row r="540" spans="1:57" s="139" customFormat="1" ht="30">
      <c r="A540" s="140" t="s">
        <v>6</v>
      </c>
      <c r="B540" s="129">
        <v>538</v>
      </c>
      <c r="C540" s="141" t="s">
        <v>1578</v>
      </c>
      <c r="D540" s="141" t="s">
        <v>3145</v>
      </c>
      <c r="E540" s="141" t="s">
        <v>1601</v>
      </c>
      <c r="F540" s="141" t="s">
        <v>1602</v>
      </c>
      <c r="G540" s="141" t="s">
        <v>804</v>
      </c>
      <c r="H540" s="141" t="s">
        <v>1595</v>
      </c>
      <c r="I540" s="143" t="s">
        <v>1863</v>
      </c>
      <c r="J540" s="129" t="s">
        <v>843</v>
      </c>
      <c r="K540" s="129" t="s">
        <v>843</v>
      </c>
      <c r="L540" s="141" t="s">
        <v>804</v>
      </c>
      <c r="M540" s="141" t="s">
        <v>804</v>
      </c>
      <c r="N540" s="141">
        <v>20</v>
      </c>
      <c r="O540" s="141" t="s">
        <v>804</v>
      </c>
      <c r="P540" s="129" t="s">
        <v>804</v>
      </c>
      <c r="Q540" s="141">
        <v>8</v>
      </c>
      <c r="R540" s="141">
        <v>12</v>
      </c>
      <c r="S540" s="141">
        <v>12</v>
      </c>
      <c r="T540" s="141">
        <v>1</v>
      </c>
      <c r="U540" s="141" t="s">
        <v>816</v>
      </c>
      <c r="V540" s="141" t="s">
        <v>803</v>
      </c>
      <c r="W540" s="143">
        <v>1000</v>
      </c>
      <c r="X540" s="141" t="s">
        <v>804</v>
      </c>
      <c r="Y540" s="141" t="s">
        <v>817</v>
      </c>
      <c r="Z540" s="141" t="s">
        <v>804</v>
      </c>
      <c r="AA540" s="141">
        <v>1</v>
      </c>
      <c r="AB540" s="141" t="s">
        <v>804</v>
      </c>
      <c r="AC540" s="141" t="s">
        <v>804</v>
      </c>
      <c r="AD540" s="141" t="s">
        <v>804</v>
      </c>
      <c r="AE540" s="141" t="s">
        <v>804</v>
      </c>
      <c r="AF540" s="141">
        <v>0</v>
      </c>
      <c r="AG540" s="141">
        <v>0</v>
      </c>
      <c r="AH540" s="141">
        <v>1</v>
      </c>
      <c r="AI540" s="141" t="s">
        <v>801</v>
      </c>
      <c r="AJ540" s="164" t="s">
        <v>1598</v>
      </c>
      <c r="AK540" s="143" t="s">
        <v>804</v>
      </c>
      <c r="AL540" s="141" t="s">
        <v>1114</v>
      </c>
      <c r="AM540" s="143" t="s">
        <v>807</v>
      </c>
      <c r="AN540" s="143"/>
      <c r="AO540" s="143"/>
      <c r="AP540" s="143"/>
      <c r="AQ540" s="143"/>
      <c r="AR540" s="143"/>
      <c r="AS540" s="143"/>
      <c r="AT540" s="143"/>
      <c r="AU540" s="143"/>
      <c r="AV540" s="143" t="s">
        <v>838</v>
      </c>
      <c r="AW540" s="144"/>
      <c r="AX540" s="145"/>
      <c r="AY540" s="138"/>
      <c r="AZ540" s="138"/>
      <c r="BA540" s="138"/>
      <c r="BB540" s="138"/>
      <c r="BC540" s="138"/>
      <c r="BD540" s="138"/>
      <c r="BE540" s="138"/>
    </row>
    <row r="541" spans="1:57" s="139" customFormat="1" ht="58">
      <c r="A541" s="140" t="s">
        <v>6</v>
      </c>
      <c r="B541" s="129">
        <v>539</v>
      </c>
      <c r="C541" s="141" t="s">
        <v>809</v>
      </c>
      <c r="D541" s="143" t="s">
        <v>3106</v>
      </c>
      <c r="E541" s="141" t="s">
        <v>1611</v>
      </c>
      <c r="F541" s="141" t="s">
        <v>1612</v>
      </c>
      <c r="G541" s="141" t="s">
        <v>665</v>
      </c>
      <c r="H541" s="143" t="s">
        <v>1595</v>
      </c>
      <c r="I541" s="143" t="s">
        <v>1863</v>
      </c>
      <c r="J541" s="129" t="s">
        <v>843</v>
      </c>
      <c r="K541" s="129" t="s">
        <v>843</v>
      </c>
      <c r="L541" s="141" t="s">
        <v>804</v>
      </c>
      <c r="M541" s="143" t="s">
        <v>198</v>
      </c>
      <c r="N541" s="141">
        <v>20</v>
      </c>
      <c r="O541" s="203" t="s">
        <v>806</v>
      </c>
      <c r="P541" s="129" t="s">
        <v>804</v>
      </c>
      <c r="Q541" s="141">
        <v>8</v>
      </c>
      <c r="R541" s="143">
        <v>11</v>
      </c>
      <c r="S541" s="143">
        <v>10</v>
      </c>
      <c r="T541" s="143">
        <v>2</v>
      </c>
      <c r="U541" s="141" t="s">
        <v>802</v>
      </c>
      <c r="V541" s="141" t="s">
        <v>535</v>
      </c>
      <c r="W541" s="143">
        <v>1000</v>
      </c>
      <c r="X541" s="141" t="s">
        <v>804</v>
      </c>
      <c r="Y541" s="141" t="s">
        <v>1613</v>
      </c>
      <c r="Z541" s="141" t="s">
        <v>1576</v>
      </c>
      <c r="AA541" s="143">
        <v>1</v>
      </c>
      <c r="AB541" s="141" t="s">
        <v>804</v>
      </c>
      <c r="AC541" s="143" t="s">
        <v>804</v>
      </c>
      <c r="AD541" s="141" t="s">
        <v>806</v>
      </c>
      <c r="AE541" s="141" t="s">
        <v>804</v>
      </c>
      <c r="AF541" s="143">
        <v>0</v>
      </c>
      <c r="AG541" s="143">
        <v>0</v>
      </c>
      <c r="AH541" s="143">
        <v>3</v>
      </c>
      <c r="AI541" s="141" t="s">
        <v>804</v>
      </c>
      <c r="AJ541" s="212" t="s">
        <v>2190</v>
      </c>
      <c r="AK541" s="141" t="s">
        <v>198</v>
      </c>
      <c r="AL541" s="143" t="s">
        <v>1586</v>
      </c>
      <c r="AM541" s="141" t="s">
        <v>1082</v>
      </c>
      <c r="AN541" s="141"/>
      <c r="AO541" s="141"/>
      <c r="AP541" s="141"/>
      <c r="AQ541" s="141"/>
      <c r="AR541" s="141"/>
      <c r="AS541" s="141"/>
      <c r="AT541" s="141"/>
      <c r="AU541" s="141"/>
      <c r="AV541" s="141"/>
      <c r="AW541" s="205"/>
      <c r="AX541" s="206"/>
      <c r="AY541" s="138"/>
      <c r="AZ541" s="138"/>
      <c r="BA541" s="138"/>
      <c r="BB541" s="138"/>
      <c r="BC541" s="138"/>
      <c r="BD541" s="138"/>
      <c r="BE541" s="138"/>
    </row>
    <row r="542" spans="1:57" s="139" customFormat="1" ht="30">
      <c r="A542" s="140" t="s">
        <v>6</v>
      </c>
      <c r="B542" s="129">
        <v>540</v>
      </c>
      <c r="C542" s="141" t="s">
        <v>1443</v>
      </c>
      <c r="D542" s="141" t="s">
        <v>3146</v>
      </c>
      <c r="E542" s="169" t="s">
        <v>2384</v>
      </c>
      <c r="F542" s="262" t="s">
        <v>1862</v>
      </c>
      <c r="G542" s="141" t="s">
        <v>665</v>
      </c>
      <c r="H542" s="143" t="s">
        <v>1595</v>
      </c>
      <c r="I542" s="143" t="s">
        <v>1863</v>
      </c>
      <c r="J542" s="141" t="s">
        <v>192</v>
      </c>
      <c r="K542" s="141" t="s">
        <v>192</v>
      </c>
      <c r="L542" s="141" t="s">
        <v>665</v>
      </c>
      <c r="M542" s="143" t="s">
        <v>198</v>
      </c>
      <c r="N542" s="141">
        <v>20</v>
      </c>
      <c r="O542" s="141" t="s">
        <v>1493</v>
      </c>
      <c r="P542" s="169" t="s">
        <v>190</v>
      </c>
      <c r="Q542" s="141">
        <v>8</v>
      </c>
      <c r="R542" s="143">
        <v>23</v>
      </c>
      <c r="S542" s="143">
        <v>23</v>
      </c>
      <c r="T542" s="141">
        <v>1</v>
      </c>
      <c r="U542" s="141" t="s">
        <v>88</v>
      </c>
      <c r="V542" s="141" t="s">
        <v>535</v>
      </c>
      <c r="W542" s="143">
        <v>1000</v>
      </c>
      <c r="X542" s="141" t="s">
        <v>665</v>
      </c>
      <c r="Y542" s="260" t="s">
        <v>558</v>
      </c>
      <c r="Z542" s="141" t="s">
        <v>736</v>
      </c>
      <c r="AA542" s="141">
        <v>1</v>
      </c>
      <c r="AB542" s="141" t="s">
        <v>665</v>
      </c>
      <c r="AC542" s="143" t="s">
        <v>665</v>
      </c>
      <c r="AD542" s="141" t="s">
        <v>190</v>
      </c>
      <c r="AE542" s="141" t="s">
        <v>665</v>
      </c>
      <c r="AF542" s="141">
        <v>0</v>
      </c>
      <c r="AG542" s="141">
        <v>0</v>
      </c>
      <c r="AH542" s="141">
        <v>1</v>
      </c>
      <c r="AI542" s="141" t="s">
        <v>190</v>
      </c>
      <c r="AJ542" s="262" t="s">
        <v>562</v>
      </c>
      <c r="AK542" s="141" t="s">
        <v>198</v>
      </c>
      <c r="AL542" s="141" t="s">
        <v>190</v>
      </c>
      <c r="AM542" s="262"/>
      <c r="AN542" s="169" t="s">
        <v>1866</v>
      </c>
      <c r="AO542" s="141"/>
      <c r="AP542" s="141"/>
      <c r="AQ542" s="141"/>
      <c r="AR542" s="141"/>
      <c r="AS542" s="169" t="s">
        <v>1866</v>
      </c>
      <c r="AT542" s="141"/>
      <c r="AU542" s="141"/>
      <c r="AV542" s="169" t="s">
        <v>2383</v>
      </c>
      <c r="AW542" s="263"/>
      <c r="AX542" s="206"/>
      <c r="AY542" s="207"/>
    </row>
    <row r="543" spans="1:57" s="139" customFormat="1" ht="30">
      <c r="A543" s="140" t="s">
        <v>6</v>
      </c>
      <c r="B543" s="129">
        <v>541</v>
      </c>
      <c r="C543" s="141" t="s">
        <v>1443</v>
      </c>
      <c r="D543" s="141" t="s">
        <v>3146</v>
      </c>
      <c r="E543" s="169" t="s">
        <v>2385</v>
      </c>
      <c r="F543" s="262" t="s">
        <v>1864</v>
      </c>
      <c r="G543" s="141" t="s">
        <v>665</v>
      </c>
      <c r="H543" s="143" t="s">
        <v>1595</v>
      </c>
      <c r="I543" s="143" t="s">
        <v>1863</v>
      </c>
      <c r="J543" s="141" t="s">
        <v>192</v>
      </c>
      <c r="K543" s="141" t="s">
        <v>192</v>
      </c>
      <c r="L543" s="141" t="s">
        <v>665</v>
      </c>
      <c r="M543" s="143" t="s">
        <v>198</v>
      </c>
      <c r="N543" s="141">
        <v>20</v>
      </c>
      <c r="O543" s="141" t="s">
        <v>1493</v>
      </c>
      <c r="P543" s="169" t="s">
        <v>190</v>
      </c>
      <c r="Q543" s="141">
        <v>8</v>
      </c>
      <c r="R543" s="143">
        <v>22</v>
      </c>
      <c r="S543" s="143">
        <v>22</v>
      </c>
      <c r="T543" s="141">
        <v>1</v>
      </c>
      <c r="U543" s="141" t="s">
        <v>88</v>
      </c>
      <c r="V543" s="141" t="s">
        <v>535</v>
      </c>
      <c r="W543" s="143">
        <v>1000</v>
      </c>
      <c r="X543" s="141" t="s">
        <v>665</v>
      </c>
      <c r="Y543" s="260" t="s">
        <v>558</v>
      </c>
      <c r="Z543" s="141" t="s">
        <v>736</v>
      </c>
      <c r="AA543" s="141">
        <v>1</v>
      </c>
      <c r="AB543" s="141" t="s">
        <v>665</v>
      </c>
      <c r="AC543" s="143" t="s">
        <v>665</v>
      </c>
      <c r="AD543" s="141" t="s">
        <v>190</v>
      </c>
      <c r="AE543" s="141" t="s">
        <v>665</v>
      </c>
      <c r="AF543" s="141">
        <v>0</v>
      </c>
      <c r="AG543" s="141">
        <v>0</v>
      </c>
      <c r="AH543" s="141">
        <v>1</v>
      </c>
      <c r="AI543" s="141" t="s">
        <v>190</v>
      </c>
      <c r="AJ543" s="262" t="s">
        <v>562</v>
      </c>
      <c r="AK543" s="141" t="s">
        <v>198</v>
      </c>
      <c r="AL543" s="141" t="s">
        <v>190</v>
      </c>
      <c r="AM543" s="262"/>
      <c r="AN543" s="169" t="s">
        <v>1866</v>
      </c>
      <c r="AO543" s="141"/>
      <c r="AP543" s="141"/>
      <c r="AQ543" s="141"/>
      <c r="AR543" s="141"/>
      <c r="AS543" s="169" t="s">
        <v>1866</v>
      </c>
      <c r="AT543" s="141"/>
      <c r="AU543" s="141"/>
      <c r="AV543" s="169" t="s">
        <v>2383</v>
      </c>
      <c r="AW543" s="263"/>
      <c r="AX543" s="206"/>
      <c r="AY543" s="207"/>
    </row>
    <row r="544" spans="1:57" s="139" customFormat="1" ht="31">
      <c r="A544" s="140" t="s">
        <v>6</v>
      </c>
      <c r="B544" s="129">
        <v>542</v>
      </c>
      <c r="C544" s="141" t="s">
        <v>1443</v>
      </c>
      <c r="D544" s="141" t="s">
        <v>3115</v>
      </c>
      <c r="E544" s="264" t="s">
        <v>2613</v>
      </c>
      <c r="F544" s="262" t="s">
        <v>2648</v>
      </c>
      <c r="G544" s="141" t="s">
        <v>665</v>
      </c>
      <c r="H544" s="143" t="s">
        <v>1595</v>
      </c>
      <c r="I544" s="143" t="s">
        <v>1863</v>
      </c>
      <c r="J544" s="141" t="s">
        <v>2616</v>
      </c>
      <c r="K544" s="141" t="s">
        <v>2616</v>
      </c>
      <c r="L544" s="141" t="s">
        <v>665</v>
      </c>
      <c r="M544" s="143" t="s">
        <v>198</v>
      </c>
      <c r="N544" s="141">
        <v>20</v>
      </c>
      <c r="O544" s="141" t="s">
        <v>2617</v>
      </c>
      <c r="P544" s="169" t="s">
        <v>190</v>
      </c>
      <c r="Q544" s="141">
        <v>8</v>
      </c>
      <c r="R544" s="143">
        <v>21</v>
      </c>
      <c r="S544" s="143">
        <v>21</v>
      </c>
      <c r="T544" s="141">
        <v>1</v>
      </c>
      <c r="U544" s="141" t="s">
        <v>88</v>
      </c>
      <c r="V544" s="141" t="s">
        <v>535</v>
      </c>
      <c r="W544" s="143" t="s">
        <v>665</v>
      </c>
      <c r="X544" s="141" t="s">
        <v>665</v>
      </c>
      <c r="Y544" s="260" t="s">
        <v>558</v>
      </c>
      <c r="Z544" s="141" t="s">
        <v>736</v>
      </c>
      <c r="AA544" s="141">
        <v>1</v>
      </c>
      <c r="AB544" s="141" t="s">
        <v>665</v>
      </c>
      <c r="AC544" s="143" t="s">
        <v>665</v>
      </c>
      <c r="AD544" s="141" t="s">
        <v>190</v>
      </c>
      <c r="AE544" s="141" t="s">
        <v>665</v>
      </c>
      <c r="AF544" s="141">
        <v>0</v>
      </c>
      <c r="AG544" s="141">
        <v>0</v>
      </c>
      <c r="AH544" s="141">
        <v>1</v>
      </c>
      <c r="AI544" s="141" t="s">
        <v>190</v>
      </c>
      <c r="AJ544" s="262" t="s">
        <v>2615</v>
      </c>
      <c r="AK544" s="141" t="s">
        <v>198</v>
      </c>
      <c r="AL544" s="141" t="s">
        <v>190</v>
      </c>
      <c r="AM544" s="262"/>
      <c r="AN544" s="169" t="s">
        <v>677</v>
      </c>
      <c r="AO544" s="141"/>
      <c r="AP544" s="141"/>
      <c r="AQ544" s="141"/>
      <c r="AR544" s="141"/>
      <c r="AS544" s="169"/>
      <c r="AT544" s="141"/>
      <c r="AU544" s="141"/>
      <c r="AV544" s="169"/>
      <c r="AW544" s="263"/>
      <c r="AX544" s="206"/>
      <c r="AY544" s="207"/>
    </row>
    <row r="545" spans="1:57" s="139" customFormat="1" ht="44">
      <c r="A545" s="140" t="s">
        <v>6</v>
      </c>
      <c r="B545" s="129">
        <v>543</v>
      </c>
      <c r="C545" s="141" t="s">
        <v>1578</v>
      </c>
      <c r="D545" s="253" t="s">
        <v>3147</v>
      </c>
      <c r="E545" s="169" t="s">
        <v>2388</v>
      </c>
      <c r="F545" s="141" t="s">
        <v>1596</v>
      </c>
      <c r="G545" s="141" t="s">
        <v>804</v>
      </c>
      <c r="H545" s="141" t="s">
        <v>1595</v>
      </c>
      <c r="I545" s="143" t="s">
        <v>1863</v>
      </c>
      <c r="J545" s="129" t="s">
        <v>843</v>
      </c>
      <c r="K545" s="129" t="s">
        <v>843</v>
      </c>
      <c r="L545" s="141" t="s">
        <v>804</v>
      </c>
      <c r="M545" s="141" t="s">
        <v>804</v>
      </c>
      <c r="N545" s="141">
        <v>20</v>
      </c>
      <c r="O545" s="141" t="s">
        <v>804</v>
      </c>
      <c r="P545" s="129" t="s">
        <v>804</v>
      </c>
      <c r="Q545" s="141">
        <v>8</v>
      </c>
      <c r="R545" s="141">
        <v>20</v>
      </c>
      <c r="S545" s="141">
        <v>20</v>
      </c>
      <c r="T545" s="141">
        <v>1</v>
      </c>
      <c r="U545" s="141" t="s">
        <v>816</v>
      </c>
      <c r="V545" s="141" t="s">
        <v>803</v>
      </c>
      <c r="W545" s="143">
        <v>1000</v>
      </c>
      <c r="X545" s="141" t="s">
        <v>804</v>
      </c>
      <c r="Y545" s="141" t="s">
        <v>817</v>
      </c>
      <c r="Z545" s="141" t="s">
        <v>804</v>
      </c>
      <c r="AA545" s="141">
        <v>1</v>
      </c>
      <c r="AB545" s="141" t="s">
        <v>804</v>
      </c>
      <c r="AC545" s="141" t="s">
        <v>804</v>
      </c>
      <c r="AD545" s="141" t="s">
        <v>804</v>
      </c>
      <c r="AE545" s="141" t="s">
        <v>804</v>
      </c>
      <c r="AF545" s="141">
        <v>0</v>
      </c>
      <c r="AG545" s="141">
        <v>0</v>
      </c>
      <c r="AH545" s="141">
        <v>1</v>
      </c>
      <c r="AI545" s="141" t="s">
        <v>801</v>
      </c>
      <c r="AJ545" s="164" t="s">
        <v>255</v>
      </c>
      <c r="AK545" s="143" t="s">
        <v>804</v>
      </c>
      <c r="AL545" s="143" t="s">
        <v>804</v>
      </c>
      <c r="AM545" s="143"/>
      <c r="AN545" s="169" t="s">
        <v>677</v>
      </c>
      <c r="AO545" s="143"/>
      <c r="AP545" s="143"/>
      <c r="AQ545" s="143"/>
      <c r="AR545" s="143"/>
      <c r="AS545" s="160" t="s">
        <v>2000</v>
      </c>
      <c r="AT545" s="143"/>
      <c r="AU545" s="143"/>
      <c r="AV545" s="160" t="s">
        <v>2386</v>
      </c>
      <c r="AW545" s="259"/>
      <c r="AX545" s="145"/>
      <c r="AY545" s="138"/>
      <c r="AZ545" s="138"/>
      <c r="BA545" s="138"/>
      <c r="BB545" s="138"/>
      <c r="BC545" s="138"/>
      <c r="BD545" s="138"/>
      <c r="BE545" s="138"/>
    </row>
    <row r="546" spans="1:57" s="139" customFormat="1" ht="30">
      <c r="A546" s="140" t="s">
        <v>6</v>
      </c>
      <c r="B546" s="129">
        <v>544</v>
      </c>
      <c r="C546" s="141" t="s">
        <v>1578</v>
      </c>
      <c r="D546" s="141" t="s">
        <v>3095</v>
      </c>
      <c r="E546" s="169" t="s">
        <v>2387</v>
      </c>
      <c r="F546" s="141" t="s">
        <v>1597</v>
      </c>
      <c r="G546" s="141" t="s">
        <v>804</v>
      </c>
      <c r="H546" s="141" t="s">
        <v>1595</v>
      </c>
      <c r="I546" s="143" t="s">
        <v>1863</v>
      </c>
      <c r="J546" s="129" t="s">
        <v>843</v>
      </c>
      <c r="K546" s="129" t="s">
        <v>843</v>
      </c>
      <c r="L546" s="141" t="s">
        <v>804</v>
      </c>
      <c r="M546" s="141" t="s">
        <v>804</v>
      </c>
      <c r="N546" s="141">
        <v>20</v>
      </c>
      <c r="O546" s="141" t="s">
        <v>804</v>
      </c>
      <c r="P546" s="129" t="s">
        <v>804</v>
      </c>
      <c r="Q546" s="141">
        <v>8</v>
      </c>
      <c r="R546" s="141">
        <v>18</v>
      </c>
      <c r="S546" s="141">
        <v>18</v>
      </c>
      <c r="T546" s="141">
        <v>1</v>
      </c>
      <c r="U546" s="141" t="s">
        <v>816</v>
      </c>
      <c r="V546" s="141" t="s">
        <v>803</v>
      </c>
      <c r="W546" s="143">
        <v>1000</v>
      </c>
      <c r="X546" s="141" t="s">
        <v>804</v>
      </c>
      <c r="Y546" s="141" t="s">
        <v>817</v>
      </c>
      <c r="Z546" s="141" t="s">
        <v>804</v>
      </c>
      <c r="AA546" s="141">
        <v>1</v>
      </c>
      <c r="AB546" s="141" t="s">
        <v>804</v>
      </c>
      <c r="AC546" s="141" t="s">
        <v>804</v>
      </c>
      <c r="AD546" s="141" t="s">
        <v>804</v>
      </c>
      <c r="AE546" s="141" t="s">
        <v>804</v>
      </c>
      <c r="AF546" s="141">
        <v>0</v>
      </c>
      <c r="AG546" s="141">
        <v>0</v>
      </c>
      <c r="AH546" s="141">
        <v>1</v>
      </c>
      <c r="AI546" s="141" t="s">
        <v>801</v>
      </c>
      <c r="AJ546" s="212" t="s">
        <v>1867</v>
      </c>
      <c r="AK546" s="143" t="s">
        <v>804</v>
      </c>
      <c r="AL546" s="143" t="s">
        <v>1593</v>
      </c>
      <c r="AM546" s="143" t="s">
        <v>807</v>
      </c>
      <c r="AN546" s="143"/>
      <c r="AO546" s="143"/>
      <c r="AP546" s="143"/>
      <c r="AQ546" s="143"/>
      <c r="AR546" s="143"/>
      <c r="AS546" s="143"/>
      <c r="AT546" s="143"/>
      <c r="AU546" s="143"/>
      <c r="AV546" s="143"/>
      <c r="AW546" s="144"/>
      <c r="AX546" s="145"/>
      <c r="AY546" s="138"/>
      <c r="AZ546" s="138"/>
      <c r="BA546" s="138"/>
      <c r="BB546" s="138"/>
      <c r="BC546" s="138"/>
      <c r="BD546" s="138"/>
      <c r="BE546" s="138"/>
    </row>
    <row r="547" spans="1:57" s="139" customFormat="1" ht="30">
      <c r="A547" s="140" t="s">
        <v>6</v>
      </c>
      <c r="B547" s="129">
        <v>545</v>
      </c>
      <c r="C547" s="141" t="s">
        <v>1578</v>
      </c>
      <c r="D547" s="141" t="s">
        <v>3115</v>
      </c>
      <c r="E547" s="141" t="s">
        <v>655</v>
      </c>
      <c r="F547" s="141" t="s">
        <v>1599</v>
      </c>
      <c r="G547" s="141" t="s">
        <v>804</v>
      </c>
      <c r="H547" s="141" t="s">
        <v>1595</v>
      </c>
      <c r="I547" s="143" t="s">
        <v>1863</v>
      </c>
      <c r="J547" s="129" t="s">
        <v>843</v>
      </c>
      <c r="K547" s="129" t="s">
        <v>843</v>
      </c>
      <c r="L547" s="141" t="s">
        <v>804</v>
      </c>
      <c r="M547" s="141" t="s">
        <v>804</v>
      </c>
      <c r="N547" s="141">
        <v>20</v>
      </c>
      <c r="O547" s="141" t="s">
        <v>804</v>
      </c>
      <c r="P547" s="129" t="s">
        <v>804</v>
      </c>
      <c r="Q547" s="141">
        <v>8</v>
      </c>
      <c r="R547" s="141">
        <v>16</v>
      </c>
      <c r="S547" s="141">
        <v>16</v>
      </c>
      <c r="T547" s="141">
        <v>1</v>
      </c>
      <c r="U547" s="141" t="s">
        <v>816</v>
      </c>
      <c r="V547" s="141" t="s">
        <v>803</v>
      </c>
      <c r="W547" s="143">
        <v>1000</v>
      </c>
      <c r="X547" s="141" t="s">
        <v>804</v>
      </c>
      <c r="Y547" s="141" t="s">
        <v>817</v>
      </c>
      <c r="Z547" s="141" t="s">
        <v>804</v>
      </c>
      <c r="AA547" s="141">
        <v>1</v>
      </c>
      <c r="AB547" s="141" t="s">
        <v>804</v>
      </c>
      <c r="AC547" s="141" t="s">
        <v>804</v>
      </c>
      <c r="AD547" s="141" t="s">
        <v>804</v>
      </c>
      <c r="AE547" s="141" t="s">
        <v>804</v>
      </c>
      <c r="AF547" s="141">
        <v>0</v>
      </c>
      <c r="AG547" s="141">
        <v>0</v>
      </c>
      <c r="AH547" s="141">
        <v>1</v>
      </c>
      <c r="AI547" s="141" t="s">
        <v>804</v>
      </c>
      <c r="AJ547" s="164" t="s">
        <v>1600</v>
      </c>
      <c r="AK547" s="143" t="s">
        <v>804</v>
      </c>
      <c r="AL547" s="141" t="s">
        <v>804</v>
      </c>
      <c r="AM547" s="143"/>
      <c r="AN547" s="143" t="s">
        <v>807</v>
      </c>
      <c r="AO547" s="143"/>
      <c r="AP547" s="143"/>
      <c r="AQ547" s="143"/>
      <c r="AR547" s="143"/>
      <c r="AS547" s="143"/>
      <c r="AT547" s="143"/>
      <c r="AU547" s="143"/>
      <c r="AV547" s="143"/>
      <c r="AW547" s="144"/>
      <c r="AX547" s="145"/>
      <c r="AY547" s="138"/>
      <c r="AZ547" s="138"/>
      <c r="BA547" s="138"/>
      <c r="BB547" s="138"/>
      <c r="BC547" s="138"/>
      <c r="BD547" s="138"/>
      <c r="BE547" s="138"/>
    </row>
    <row r="548" spans="1:57" s="139" customFormat="1" ht="30">
      <c r="A548" s="140" t="s">
        <v>6</v>
      </c>
      <c r="B548" s="129">
        <v>546</v>
      </c>
      <c r="C548" s="141" t="s">
        <v>1578</v>
      </c>
      <c r="D548" s="141" t="s">
        <v>3148</v>
      </c>
      <c r="E548" s="141" t="s">
        <v>1617</v>
      </c>
      <c r="F548" s="141" t="s">
        <v>1618</v>
      </c>
      <c r="G548" s="141" t="s">
        <v>804</v>
      </c>
      <c r="H548" s="141" t="s">
        <v>1595</v>
      </c>
      <c r="I548" s="143" t="s">
        <v>1863</v>
      </c>
      <c r="J548" s="129" t="s">
        <v>843</v>
      </c>
      <c r="K548" s="129" t="s">
        <v>843</v>
      </c>
      <c r="L548" s="141" t="s">
        <v>804</v>
      </c>
      <c r="M548" s="141" t="s">
        <v>804</v>
      </c>
      <c r="N548" s="141">
        <v>20</v>
      </c>
      <c r="O548" s="203" t="s">
        <v>806</v>
      </c>
      <c r="P548" s="129" t="s">
        <v>804</v>
      </c>
      <c r="Q548" s="141">
        <v>8</v>
      </c>
      <c r="R548" s="143">
        <v>31</v>
      </c>
      <c r="S548" s="143">
        <v>32</v>
      </c>
      <c r="T548" s="141">
        <v>16</v>
      </c>
      <c r="U548" s="141" t="s">
        <v>816</v>
      </c>
      <c r="V548" s="141" t="s">
        <v>535</v>
      </c>
      <c r="W548" s="143">
        <v>1000</v>
      </c>
      <c r="X548" s="141" t="s">
        <v>804</v>
      </c>
      <c r="Y548" s="260" t="s">
        <v>817</v>
      </c>
      <c r="Z548" s="260" t="s">
        <v>817</v>
      </c>
      <c r="AA548" s="141">
        <v>3.125E-2</v>
      </c>
      <c r="AB548" s="141" t="s">
        <v>804</v>
      </c>
      <c r="AC548" s="141" t="s">
        <v>804</v>
      </c>
      <c r="AD548" s="141" t="s">
        <v>804</v>
      </c>
      <c r="AE548" s="141" t="s">
        <v>804</v>
      </c>
      <c r="AF548" s="141" t="s">
        <v>1619</v>
      </c>
      <c r="AG548" s="141" t="s">
        <v>1619</v>
      </c>
      <c r="AH548" s="141">
        <v>425</v>
      </c>
      <c r="AI548" s="141" t="s">
        <v>1620</v>
      </c>
      <c r="AJ548" s="164" t="s">
        <v>574</v>
      </c>
      <c r="AK548" s="141" t="s">
        <v>806</v>
      </c>
      <c r="AL548" s="141" t="s">
        <v>804</v>
      </c>
      <c r="AM548" s="141"/>
      <c r="AN548" s="141" t="s">
        <v>807</v>
      </c>
      <c r="AO548" s="141"/>
      <c r="AP548" s="143"/>
      <c r="AQ548" s="141"/>
      <c r="AR548" s="141"/>
      <c r="AS548" s="141"/>
      <c r="AT548" s="141"/>
      <c r="AU548" s="141"/>
      <c r="AV548" s="141" t="s">
        <v>807</v>
      </c>
      <c r="AW548" s="205"/>
      <c r="AX548" s="206"/>
      <c r="AY548" s="138"/>
      <c r="AZ548" s="138"/>
      <c r="BA548" s="138"/>
      <c r="BB548" s="138"/>
      <c r="BC548" s="138"/>
      <c r="BD548" s="138"/>
      <c r="BE548" s="138"/>
    </row>
    <row r="549" spans="1:57" s="139" customFormat="1" ht="25">
      <c r="A549" s="140" t="s">
        <v>6</v>
      </c>
      <c r="B549" s="129">
        <v>547</v>
      </c>
      <c r="C549" s="141" t="s">
        <v>1578</v>
      </c>
      <c r="D549" s="141" t="s">
        <v>3115</v>
      </c>
      <c r="E549" s="141" t="s">
        <v>1622</v>
      </c>
      <c r="F549" s="141" t="s">
        <v>1623</v>
      </c>
      <c r="G549" s="141" t="s">
        <v>804</v>
      </c>
      <c r="H549" s="141" t="s">
        <v>1595</v>
      </c>
      <c r="I549" s="143" t="s">
        <v>1863</v>
      </c>
      <c r="J549" s="129" t="s">
        <v>843</v>
      </c>
      <c r="K549" s="129" t="s">
        <v>843</v>
      </c>
      <c r="L549" s="141" t="s">
        <v>804</v>
      </c>
      <c r="M549" s="141" t="s">
        <v>804</v>
      </c>
      <c r="N549" s="141">
        <v>20</v>
      </c>
      <c r="O549" s="203" t="s">
        <v>806</v>
      </c>
      <c r="P549" s="129" t="s">
        <v>804</v>
      </c>
      <c r="Q549" s="141">
        <v>8</v>
      </c>
      <c r="R549" s="141">
        <v>59</v>
      </c>
      <c r="S549" s="141">
        <v>56</v>
      </c>
      <c r="T549" s="141">
        <v>4</v>
      </c>
      <c r="U549" s="141" t="s">
        <v>816</v>
      </c>
      <c r="V549" s="141" t="s">
        <v>803</v>
      </c>
      <c r="W549" s="143">
        <v>1000</v>
      </c>
      <c r="X549" s="141" t="s">
        <v>804</v>
      </c>
      <c r="Y549" s="141" t="s">
        <v>817</v>
      </c>
      <c r="Z549" s="141" t="s">
        <v>194</v>
      </c>
      <c r="AA549" s="129">
        <v>1</v>
      </c>
      <c r="AB549" s="141" t="s">
        <v>804</v>
      </c>
      <c r="AC549" s="141" t="s">
        <v>804</v>
      </c>
      <c r="AD549" s="141" t="s">
        <v>804</v>
      </c>
      <c r="AE549" s="141" t="s">
        <v>804</v>
      </c>
      <c r="AF549" s="141">
        <v>0</v>
      </c>
      <c r="AG549" s="141">
        <v>0</v>
      </c>
      <c r="AH549" s="141">
        <v>15</v>
      </c>
      <c r="AI549" s="141" t="s">
        <v>804</v>
      </c>
      <c r="AJ549" s="164" t="s">
        <v>2123</v>
      </c>
      <c r="AK549" s="143" t="s">
        <v>804</v>
      </c>
      <c r="AL549" s="143" t="s">
        <v>804</v>
      </c>
      <c r="AM549" s="143"/>
      <c r="AN549" s="160" t="s">
        <v>1983</v>
      </c>
      <c r="AO549" s="143"/>
      <c r="AP549" s="143"/>
      <c r="AQ549" s="143"/>
      <c r="AR549" s="143"/>
      <c r="AS549" s="143"/>
      <c r="AT549" s="143"/>
      <c r="AU549" s="143"/>
      <c r="AV549" s="143"/>
      <c r="AW549" s="144"/>
      <c r="AX549" s="145"/>
      <c r="AY549" s="138"/>
      <c r="AZ549" s="138"/>
      <c r="BA549" s="138"/>
      <c r="BB549" s="138"/>
      <c r="BC549" s="138"/>
      <c r="BD549" s="138"/>
      <c r="BE549" s="138"/>
    </row>
    <row r="550" spans="1:57" s="139" customFormat="1" ht="42">
      <c r="A550" s="140" t="s">
        <v>6</v>
      </c>
      <c r="B550" s="129">
        <v>548</v>
      </c>
      <c r="C550" s="141" t="s">
        <v>1850</v>
      </c>
      <c r="D550" s="141" t="s">
        <v>3115</v>
      </c>
      <c r="E550" s="265" t="s">
        <v>1881</v>
      </c>
      <c r="F550" s="266" t="s">
        <v>1851</v>
      </c>
      <c r="G550" s="141" t="s">
        <v>1852</v>
      </c>
      <c r="H550" s="267" t="s">
        <v>1882</v>
      </c>
      <c r="I550" s="267" t="s">
        <v>560</v>
      </c>
      <c r="J550" s="265" t="s">
        <v>1853</v>
      </c>
      <c r="K550" s="265" t="s">
        <v>1854</v>
      </c>
      <c r="L550" s="265" t="s">
        <v>1852</v>
      </c>
      <c r="M550" s="267" t="s">
        <v>198</v>
      </c>
      <c r="N550" s="265">
        <v>20</v>
      </c>
      <c r="O550" s="265" t="s">
        <v>1855</v>
      </c>
      <c r="P550" s="169" t="s">
        <v>1856</v>
      </c>
      <c r="Q550" s="265">
        <v>8</v>
      </c>
      <c r="R550" s="265">
        <v>7</v>
      </c>
      <c r="S550" s="265">
        <v>0</v>
      </c>
      <c r="T550" s="265">
        <v>8</v>
      </c>
      <c r="U550" s="265" t="s">
        <v>1857</v>
      </c>
      <c r="V550" s="265" t="s">
        <v>535</v>
      </c>
      <c r="W550" s="267">
        <v>1000</v>
      </c>
      <c r="X550" s="265" t="s">
        <v>1852</v>
      </c>
      <c r="Y550" s="265" t="s">
        <v>585</v>
      </c>
      <c r="Z550" s="265" t="s">
        <v>1856</v>
      </c>
      <c r="AA550" s="265">
        <v>1</v>
      </c>
      <c r="AB550" s="265" t="s">
        <v>1852</v>
      </c>
      <c r="AC550" s="267" t="s">
        <v>1852</v>
      </c>
      <c r="AD550" s="265" t="s">
        <v>1856</v>
      </c>
      <c r="AE550" s="265" t="s">
        <v>1852</v>
      </c>
      <c r="AF550" s="265">
        <v>0</v>
      </c>
      <c r="AG550" s="267">
        <v>0</v>
      </c>
      <c r="AH550" s="267">
        <v>255</v>
      </c>
      <c r="AI550" s="265" t="s">
        <v>1856</v>
      </c>
      <c r="AJ550" s="268" t="s">
        <v>1856</v>
      </c>
      <c r="AK550" s="265" t="s">
        <v>198</v>
      </c>
      <c r="AL550" s="265" t="s">
        <v>198</v>
      </c>
      <c r="AM550" s="262"/>
      <c r="AN550" s="169" t="s">
        <v>2397</v>
      </c>
      <c r="AO550" s="141"/>
      <c r="AP550" s="141"/>
      <c r="AQ550" s="141"/>
      <c r="AR550" s="143"/>
      <c r="AS550" s="141"/>
      <c r="AT550" s="141"/>
      <c r="AU550" s="141"/>
      <c r="AV550" s="141"/>
      <c r="AW550" s="205"/>
      <c r="AX550" s="206"/>
      <c r="AY550" s="138"/>
    </row>
    <row r="551" spans="1:57" s="139" customFormat="1" ht="44">
      <c r="A551" s="140" t="s">
        <v>6</v>
      </c>
      <c r="B551" s="129">
        <v>549</v>
      </c>
      <c r="C551" s="169" t="s">
        <v>2086</v>
      </c>
      <c r="D551" s="141" t="s">
        <v>3105</v>
      </c>
      <c r="E551" s="169" t="s">
        <v>2100</v>
      </c>
      <c r="F551" s="169" t="s">
        <v>2088</v>
      </c>
      <c r="G551" s="169" t="s">
        <v>198</v>
      </c>
      <c r="H551" s="169" t="s">
        <v>2090</v>
      </c>
      <c r="I551" s="169" t="s">
        <v>560</v>
      </c>
      <c r="J551" s="169" t="s">
        <v>192</v>
      </c>
      <c r="K551" s="169" t="s">
        <v>192</v>
      </c>
      <c r="L551" s="169" t="s">
        <v>198</v>
      </c>
      <c r="M551" s="169" t="s">
        <v>198</v>
      </c>
      <c r="N551" s="169">
        <v>20</v>
      </c>
      <c r="O551" s="269" t="s">
        <v>2091</v>
      </c>
      <c r="P551" s="169" t="s">
        <v>198</v>
      </c>
      <c r="Q551" s="169">
        <v>8</v>
      </c>
      <c r="R551" s="169">
        <v>8</v>
      </c>
      <c r="S551" s="169">
        <v>8</v>
      </c>
      <c r="T551" s="169">
        <v>1</v>
      </c>
      <c r="U551" s="169" t="s">
        <v>240</v>
      </c>
      <c r="V551" s="169" t="s">
        <v>535</v>
      </c>
      <c r="W551" s="169">
        <v>1000</v>
      </c>
      <c r="X551" s="169" t="s">
        <v>198</v>
      </c>
      <c r="Y551" s="169" t="s">
        <v>558</v>
      </c>
      <c r="Z551" s="169" t="s">
        <v>194</v>
      </c>
      <c r="AA551" s="169">
        <v>1</v>
      </c>
      <c r="AB551" s="169" t="s">
        <v>198</v>
      </c>
      <c r="AC551" s="169" t="s">
        <v>198</v>
      </c>
      <c r="AD551" s="169" t="s">
        <v>198</v>
      </c>
      <c r="AE551" s="169" t="s">
        <v>198</v>
      </c>
      <c r="AF551" s="169">
        <v>0</v>
      </c>
      <c r="AG551" s="169">
        <v>0</v>
      </c>
      <c r="AH551" s="169">
        <v>1</v>
      </c>
      <c r="AI551" s="169" t="s">
        <v>198</v>
      </c>
      <c r="AJ551" s="212" t="s">
        <v>2092</v>
      </c>
      <c r="AK551" s="265" t="s">
        <v>198</v>
      </c>
      <c r="AL551" s="265" t="s">
        <v>198</v>
      </c>
      <c r="AM551" s="141"/>
      <c r="AN551" s="141"/>
      <c r="AO551" s="141"/>
      <c r="AP551" s="141"/>
      <c r="AQ551" s="141"/>
      <c r="AR551" s="143"/>
      <c r="AS551" s="141"/>
      <c r="AT551" s="141"/>
      <c r="AU551" s="141"/>
      <c r="AV551" s="141"/>
      <c r="AW551" s="205"/>
      <c r="AX551" s="206" t="s">
        <v>685</v>
      </c>
      <c r="AY551" s="138"/>
    </row>
    <row r="552" spans="1:57" s="139" customFormat="1" ht="72">
      <c r="A552" s="140" t="s">
        <v>6</v>
      </c>
      <c r="B552" s="129">
        <v>550</v>
      </c>
      <c r="C552" s="169" t="s">
        <v>2086</v>
      </c>
      <c r="D552" s="141" t="s">
        <v>3105</v>
      </c>
      <c r="E552" s="169" t="s">
        <v>2087</v>
      </c>
      <c r="F552" s="169" t="s">
        <v>2089</v>
      </c>
      <c r="G552" s="169" t="s">
        <v>2085</v>
      </c>
      <c r="H552" s="169" t="s">
        <v>2090</v>
      </c>
      <c r="I552" s="169" t="s">
        <v>560</v>
      </c>
      <c r="J552" s="169" t="s">
        <v>192</v>
      </c>
      <c r="K552" s="169" t="s">
        <v>192</v>
      </c>
      <c r="L552" s="169" t="s">
        <v>198</v>
      </c>
      <c r="M552" s="169" t="s">
        <v>198</v>
      </c>
      <c r="N552" s="169">
        <v>20</v>
      </c>
      <c r="O552" s="269" t="s">
        <v>2091</v>
      </c>
      <c r="P552" s="169" t="s">
        <v>198</v>
      </c>
      <c r="Q552" s="169">
        <v>8</v>
      </c>
      <c r="R552" s="169">
        <v>11</v>
      </c>
      <c r="S552" s="169">
        <v>10</v>
      </c>
      <c r="T552" s="169">
        <v>2</v>
      </c>
      <c r="U552" s="169" t="s">
        <v>240</v>
      </c>
      <c r="V552" s="169" t="s">
        <v>535</v>
      </c>
      <c r="W552" s="169">
        <v>1000</v>
      </c>
      <c r="X552" s="169" t="s">
        <v>2117</v>
      </c>
      <c r="Y552" s="169" t="s">
        <v>2116</v>
      </c>
      <c r="Z552" s="169" t="s">
        <v>194</v>
      </c>
      <c r="AA552" s="169">
        <v>1</v>
      </c>
      <c r="AB552" s="169" t="s">
        <v>2117</v>
      </c>
      <c r="AC552" s="169" t="s">
        <v>198</v>
      </c>
      <c r="AD552" s="169" t="s">
        <v>198</v>
      </c>
      <c r="AE552" s="169" t="s">
        <v>198</v>
      </c>
      <c r="AF552" s="169">
        <v>0</v>
      </c>
      <c r="AG552" s="169">
        <v>0</v>
      </c>
      <c r="AH552" s="169">
        <v>3</v>
      </c>
      <c r="AI552" s="169" t="s">
        <v>198</v>
      </c>
      <c r="AJ552" s="212" t="s">
        <v>2093</v>
      </c>
      <c r="AK552" s="265" t="s">
        <v>198</v>
      </c>
      <c r="AL552" s="265" t="s">
        <v>198</v>
      </c>
      <c r="AM552" s="141"/>
      <c r="AN552" s="141"/>
      <c r="AO552" s="141"/>
      <c r="AP552" s="141"/>
      <c r="AQ552" s="141"/>
      <c r="AR552" s="143"/>
      <c r="AS552" s="141"/>
      <c r="AT552" s="141"/>
      <c r="AU552" s="141"/>
      <c r="AV552" s="141"/>
      <c r="AW552" s="205"/>
      <c r="AX552" s="206" t="s">
        <v>685</v>
      </c>
      <c r="AY552" s="138"/>
    </row>
    <row r="553" spans="1:57" s="139" customFormat="1" ht="44">
      <c r="A553" s="140" t="s">
        <v>6</v>
      </c>
      <c r="B553" s="129">
        <v>551</v>
      </c>
      <c r="C553" s="141" t="s">
        <v>1578</v>
      </c>
      <c r="D553" s="141" t="s">
        <v>3149</v>
      </c>
      <c r="E553" s="169" t="s">
        <v>2182</v>
      </c>
      <c r="F553" s="169" t="s">
        <v>2183</v>
      </c>
      <c r="G553" s="141" t="s">
        <v>804</v>
      </c>
      <c r="H553" s="143" t="s">
        <v>1624</v>
      </c>
      <c r="I553" s="143" t="s">
        <v>1625</v>
      </c>
      <c r="J553" s="129" t="s">
        <v>843</v>
      </c>
      <c r="K553" s="129" t="s">
        <v>843</v>
      </c>
      <c r="L553" s="141" t="s">
        <v>804</v>
      </c>
      <c r="M553" s="141" t="s">
        <v>804</v>
      </c>
      <c r="N553" s="141">
        <v>20</v>
      </c>
      <c r="O553" s="141" t="s">
        <v>1493</v>
      </c>
      <c r="P553" s="129" t="s">
        <v>804</v>
      </c>
      <c r="Q553" s="141">
        <v>8</v>
      </c>
      <c r="R553" s="143">
        <v>12</v>
      </c>
      <c r="S553" s="143">
        <v>12</v>
      </c>
      <c r="T553" s="141">
        <v>1</v>
      </c>
      <c r="U553" s="141" t="s">
        <v>816</v>
      </c>
      <c r="V553" s="141" t="s">
        <v>535</v>
      </c>
      <c r="W553" s="143">
        <v>1000</v>
      </c>
      <c r="X553" s="141" t="s">
        <v>804</v>
      </c>
      <c r="Y553" s="260" t="s">
        <v>1613</v>
      </c>
      <c r="Z553" s="141" t="s">
        <v>1589</v>
      </c>
      <c r="AA553" s="141">
        <v>1</v>
      </c>
      <c r="AB553" s="141" t="s">
        <v>804</v>
      </c>
      <c r="AC553" s="141" t="s">
        <v>804</v>
      </c>
      <c r="AD553" s="141" t="s">
        <v>804</v>
      </c>
      <c r="AE553" s="141" t="s">
        <v>804</v>
      </c>
      <c r="AF553" s="141">
        <v>0</v>
      </c>
      <c r="AG553" s="141">
        <v>0</v>
      </c>
      <c r="AH553" s="141">
        <v>1</v>
      </c>
      <c r="AI553" s="141" t="s">
        <v>804</v>
      </c>
      <c r="AJ553" s="164" t="s">
        <v>1621</v>
      </c>
      <c r="AK553" s="141" t="s">
        <v>806</v>
      </c>
      <c r="AL553" s="141" t="s">
        <v>804</v>
      </c>
      <c r="AM553" s="141"/>
      <c r="AN553" s="141"/>
      <c r="AO553" s="141"/>
      <c r="AP553" s="143"/>
      <c r="AQ553" s="141"/>
      <c r="AR553" s="141"/>
      <c r="AS553" s="141"/>
      <c r="AT553" s="141"/>
      <c r="AU553" s="141"/>
      <c r="AV553" s="141" t="s">
        <v>807</v>
      </c>
      <c r="AW553" s="205"/>
      <c r="AX553" s="206"/>
      <c r="AY553" s="138"/>
      <c r="AZ553" s="138"/>
      <c r="BA553" s="138"/>
      <c r="BB553" s="138"/>
      <c r="BC553" s="138"/>
      <c r="BD553" s="138"/>
      <c r="BE553" s="138"/>
    </row>
    <row r="554" spans="1:57" s="139" customFormat="1" ht="30">
      <c r="A554" s="140" t="s">
        <v>6</v>
      </c>
      <c r="B554" s="129">
        <v>552</v>
      </c>
      <c r="C554" s="141" t="s">
        <v>1578</v>
      </c>
      <c r="D554" s="141" t="s">
        <v>3115</v>
      </c>
      <c r="E554" s="141" t="s">
        <v>1603</v>
      </c>
      <c r="F554" s="141" t="s">
        <v>1604</v>
      </c>
      <c r="G554" s="141" t="s">
        <v>804</v>
      </c>
      <c r="H554" s="143" t="s">
        <v>1624</v>
      </c>
      <c r="I554" s="143" t="s">
        <v>1625</v>
      </c>
      <c r="J554" s="129" t="s">
        <v>843</v>
      </c>
      <c r="K554" s="129" t="s">
        <v>843</v>
      </c>
      <c r="L554" s="141" t="s">
        <v>804</v>
      </c>
      <c r="M554" s="141" t="s">
        <v>804</v>
      </c>
      <c r="N554" s="141">
        <v>20</v>
      </c>
      <c r="O554" s="141" t="s">
        <v>1493</v>
      </c>
      <c r="P554" s="129" t="s">
        <v>804</v>
      </c>
      <c r="Q554" s="141">
        <v>8</v>
      </c>
      <c r="R554" s="141">
        <v>16</v>
      </c>
      <c r="S554" s="141">
        <v>16</v>
      </c>
      <c r="T554" s="141">
        <v>1</v>
      </c>
      <c r="U554" s="141" t="s">
        <v>816</v>
      </c>
      <c r="V554" s="141" t="s">
        <v>803</v>
      </c>
      <c r="W554" s="143">
        <v>1000</v>
      </c>
      <c r="X554" s="141" t="s">
        <v>804</v>
      </c>
      <c r="Y554" s="141" t="s">
        <v>817</v>
      </c>
      <c r="Z554" s="141" t="s">
        <v>817</v>
      </c>
      <c r="AA554" s="141">
        <v>1</v>
      </c>
      <c r="AB554" s="141" t="s">
        <v>804</v>
      </c>
      <c r="AC554" s="141" t="s">
        <v>804</v>
      </c>
      <c r="AD554" s="141" t="s">
        <v>804</v>
      </c>
      <c r="AE554" s="141" t="s">
        <v>804</v>
      </c>
      <c r="AF554" s="141">
        <v>0</v>
      </c>
      <c r="AG554" s="141">
        <v>0</v>
      </c>
      <c r="AH554" s="141">
        <v>1</v>
      </c>
      <c r="AI554" s="141" t="s">
        <v>801</v>
      </c>
      <c r="AJ554" s="164" t="s">
        <v>562</v>
      </c>
      <c r="AK554" s="143" t="s">
        <v>804</v>
      </c>
      <c r="AL554" s="141" t="s">
        <v>804</v>
      </c>
      <c r="AM554" s="143"/>
      <c r="AN554" s="143" t="s">
        <v>807</v>
      </c>
      <c r="AO554" s="143"/>
      <c r="AP554" s="143"/>
      <c r="AQ554" s="143"/>
      <c r="AR554" s="143"/>
      <c r="AS554" s="143"/>
      <c r="AT554" s="143"/>
      <c r="AU554" s="143"/>
      <c r="AV554" s="143"/>
      <c r="AW554" s="144"/>
      <c r="AX554" s="145"/>
      <c r="AY554" s="138"/>
      <c r="AZ554" s="138"/>
      <c r="BA554" s="138"/>
      <c r="BB554" s="138"/>
      <c r="BC554" s="138"/>
      <c r="BD554" s="138"/>
      <c r="BE554" s="138"/>
    </row>
    <row r="555" spans="1:57" s="138" customFormat="1" ht="30">
      <c r="A555" s="140" t="s">
        <v>6</v>
      </c>
      <c r="B555" s="129">
        <v>553</v>
      </c>
      <c r="C555" s="141" t="s">
        <v>1578</v>
      </c>
      <c r="D555" s="141" t="s">
        <v>3144</v>
      </c>
      <c r="E555" s="141" t="s">
        <v>1627</v>
      </c>
      <c r="F555" s="141" t="s">
        <v>1626</v>
      </c>
      <c r="G555" s="141" t="s">
        <v>804</v>
      </c>
      <c r="H555" s="143" t="s">
        <v>1624</v>
      </c>
      <c r="I555" s="143" t="s">
        <v>1625</v>
      </c>
      <c r="J555" s="129" t="s">
        <v>843</v>
      </c>
      <c r="K555" s="129" t="s">
        <v>843</v>
      </c>
      <c r="L555" s="141" t="s">
        <v>804</v>
      </c>
      <c r="M555" s="143" t="s">
        <v>198</v>
      </c>
      <c r="N555" s="141">
        <v>20</v>
      </c>
      <c r="O555" s="141" t="s">
        <v>1568</v>
      </c>
      <c r="P555" s="129" t="s">
        <v>804</v>
      </c>
      <c r="Q555" s="141">
        <v>8</v>
      </c>
      <c r="R555" s="143">
        <v>39</v>
      </c>
      <c r="S555" s="143">
        <v>39</v>
      </c>
      <c r="T555" s="141">
        <v>1</v>
      </c>
      <c r="U555" s="141" t="s">
        <v>816</v>
      </c>
      <c r="V555" s="141" t="s">
        <v>535</v>
      </c>
      <c r="W555" s="143">
        <v>1000</v>
      </c>
      <c r="X555" s="141" t="s">
        <v>804</v>
      </c>
      <c r="Y555" s="260" t="s">
        <v>558</v>
      </c>
      <c r="Z555" s="141" t="s">
        <v>1589</v>
      </c>
      <c r="AA555" s="141">
        <v>1</v>
      </c>
      <c r="AB555" s="141" t="s">
        <v>804</v>
      </c>
      <c r="AC555" s="143" t="s">
        <v>804</v>
      </c>
      <c r="AD555" s="141" t="s">
        <v>806</v>
      </c>
      <c r="AE555" s="141" t="s">
        <v>804</v>
      </c>
      <c r="AF555" s="141">
        <v>0</v>
      </c>
      <c r="AG555" s="141">
        <v>0</v>
      </c>
      <c r="AH555" s="141">
        <v>1</v>
      </c>
      <c r="AI555" s="141" t="s">
        <v>801</v>
      </c>
      <c r="AJ555" s="164" t="s">
        <v>562</v>
      </c>
      <c r="AK555" s="141" t="s">
        <v>806</v>
      </c>
      <c r="AL555" s="141" t="s">
        <v>1593</v>
      </c>
      <c r="AM555" s="141" t="s">
        <v>807</v>
      </c>
      <c r="AN555" s="141" t="s">
        <v>807</v>
      </c>
      <c r="AO555" s="141"/>
      <c r="AP555" s="141"/>
      <c r="AQ555" s="141"/>
      <c r="AR555" s="141"/>
      <c r="AS555" s="141"/>
      <c r="AT555" s="141"/>
      <c r="AU555" s="141"/>
      <c r="AV555" s="141"/>
      <c r="AW555" s="205"/>
      <c r="AX555" s="206"/>
    </row>
    <row r="556" spans="1:57" s="138" customFormat="1" ht="30">
      <c r="A556" s="140" t="s">
        <v>6</v>
      </c>
      <c r="B556" s="129">
        <v>554</v>
      </c>
      <c r="C556" s="141" t="s">
        <v>1578</v>
      </c>
      <c r="D556" s="141" t="s">
        <v>3115</v>
      </c>
      <c r="E556" s="141" t="s">
        <v>2664</v>
      </c>
      <c r="F556" s="141" t="s">
        <v>1626</v>
      </c>
      <c r="G556" s="141" t="s">
        <v>804</v>
      </c>
      <c r="H556" s="143" t="s">
        <v>1624</v>
      </c>
      <c r="I556" s="143" t="s">
        <v>560</v>
      </c>
      <c r="J556" s="129" t="s">
        <v>843</v>
      </c>
      <c r="K556" s="129" t="s">
        <v>843</v>
      </c>
      <c r="L556" s="141" t="s">
        <v>804</v>
      </c>
      <c r="M556" s="143" t="s">
        <v>198</v>
      </c>
      <c r="N556" s="141">
        <v>20</v>
      </c>
      <c r="O556" s="141" t="s">
        <v>1568</v>
      </c>
      <c r="P556" s="129" t="s">
        <v>804</v>
      </c>
      <c r="Q556" s="141">
        <v>8</v>
      </c>
      <c r="R556" s="143">
        <v>38</v>
      </c>
      <c r="S556" s="143">
        <v>38</v>
      </c>
      <c r="T556" s="141">
        <v>1</v>
      </c>
      <c r="U556" s="141" t="s">
        <v>816</v>
      </c>
      <c r="V556" s="141" t="s">
        <v>535</v>
      </c>
      <c r="W556" s="143">
        <v>1000</v>
      </c>
      <c r="X556" s="141" t="s">
        <v>804</v>
      </c>
      <c r="Y556" s="260" t="s">
        <v>558</v>
      </c>
      <c r="Z556" s="141" t="s">
        <v>1589</v>
      </c>
      <c r="AA556" s="141">
        <v>1</v>
      </c>
      <c r="AB556" s="141" t="s">
        <v>804</v>
      </c>
      <c r="AC556" s="143" t="s">
        <v>804</v>
      </c>
      <c r="AD556" s="141" t="s">
        <v>806</v>
      </c>
      <c r="AE556" s="141" t="s">
        <v>804</v>
      </c>
      <c r="AF556" s="141">
        <v>0</v>
      </c>
      <c r="AG556" s="141">
        <v>0</v>
      </c>
      <c r="AH556" s="141">
        <v>1</v>
      </c>
      <c r="AI556" s="141" t="s">
        <v>801</v>
      </c>
      <c r="AJ556" s="164" t="s">
        <v>561</v>
      </c>
      <c r="AK556" s="141" t="s">
        <v>806</v>
      </c>
      <c r="AL556" s="141" t="s">
        <v>2665</v>
      </c>
      <c r="AM556" s="141"/>
      <c r="AN556" s="141" t="s">
        <v>807</v>
      </c>
      <c r="AO556" s="141"/>
      <c r="AP556" s="141"/>
      <c r="AQ556" s="141"/>
      <c r="AR556" s="141"/>
      <c r="AS556" s="141"/>
      <c r="AT556" s="141"/>
      <c r="AU556" s="141"/>
      <c r="AV556" s="141"/>
      <c r="AW556" s="205"/>
      <c r="AX556" s="206"/>
    </row>
    <row r="557" spans="1:57" s="138" customFormat="1" ht="44">
      <c r="A557" s="140" t="s">
        <v>6</v>
      </c>
      <c r="B557" s="129">
        <v>555</v>
      </c>
      <c r="C557" s="141" t="s">
        <v>1578</v>
      </c>
      <c r="D557" s="141" t="s">
        <v>3144</v>
      </c>
      <c r="E557" s="141" t="s">
        <v>1630</v>
      </c>
      <c r="F557" s="141" t="s">
        <v>1631</v>
      </c>
      <c r="G557" s="141" t="s">
        <v>804</v>
      </c>
      <c r="H557" s="143" t="s">
        <v>1624</v>
      </c>
      <c r="I557" s="143" t="s">
        <v>560</v>
      </c>
      <c r="J557" s="129" t="s">
        <v>843</v>
      </c>
      <c r="K557" s="129" t="s">
        <v>843</v>
      </c>
      <c r="L557" s="141" t="s">
        <v>804</v>
      </c>
      <c r="M557" s="143" t="s">
        <v>198</v>
      </c>
      <c r="N557" s="141">
        <v>20</v>
      </c>
      <c r="O557" s="141" t="s">
        <v>1568</v>
      </c>
      <c r="P557" s="129" t="s">
        <v>804</v>
      </c>
      <c r="Q557" s="141">
        <v>8</v>
      </c>
      <c r="R557" s="143">
        <v>37</v>
      </c>
      <c r="S557" s="143">
        <v>36</v>
      </c>
      <c r="T557" s="141">
        <v>2</v>
      </c>
      <c r="U557" s="141" t="s">
        <v>816</v>
      </c>
      <c r="V557" s="141" t="s">
        <v>535</v>
      </c>
      <c r="W557" s="143">
        <v>1000</v>
      </c>
      <c r="X557" s="141" t="s">
        <v>804</v>
      </c>
      <c r="Y557" s="260" t="s">
        <v>558</v>
      </c>
      <c r="Z557" s="260" t="s">
        <v>558</v>
      </c>
      <c r="AA557" s="141">
        <v>1</v>
      </c>
      <c r="AB557" s="141" t="s">
        <v>804</v>
      </c>
      <c r="AC557" s="143" t="s">
        <v>804</v>
      </c>
      <c r="AD557" s="141" t="s">
        <v>806</v>
      </c>
      <c r="AE557" s="141" t="s">
        <v>804</v>
      </c>
      <c r="AF557" s="141">
        <v>0</v>
      </c>
      <c r="AG557" s="141">
        <v>0</v>
      </c>
      <c r="AH557" s="141">
        <v>2</v>
      </c>
      <c r="AI557" s="141" t="s">
        <v>801</v>
      </c>
      <c r="AJ557" s="164" t="s">
        <v>563</v>
      </c>
      <c r="AK557" s="141" t="s">
        <v>806</v>
      </c>
      <c r="AL557" s="141" t="s">
        <v>1593</v>
      </c>
      <c r="AM557" s="141" t="s">
        <v>807</v>
      </c>
      <c r="AN557" s="141" t="s">
        <v>807</v>
      </c>
      <c r="AO557" s="141"/>
      <c r="AP557" s="141"/>
      <c r="AQ557" s="141"/>
      <c r="AR557" s="141"/>
      <c r="AS557" s="141"/>
      <c r="AT557" s="141"/>
      <c r="AU557" s="141"/>
      <c r="AV557" s="141"/>
      <c r="AW557" s="205"/>
      <c r="AX557" s="206"/>
    </row>
    <row r="558" spans="1:57" s="138" customFormat="1" ht="58">
      <c r="A558" s="140" t="s">
        <v>6</v>
      </c>
      <c r="B558" s="129">
        <v>556</v>
      </c>
      <c r="C558" s="141" t="s">
        <v>1578</v>
      </c>
      <c r="D558" s="141" t="s">
        <v>3106</v>
      </c>
      <c r="E558" s="141" t="s">
        <v>1628</v>
      </c>
      <c r="F558" s="141" t="s">
        <v>1629</v>
      </c>
      <c r="G558" s="141" t="s">
        <v>804</v>
      </c>
      <c r="H558" s="143" t="s">
        <v>1624</v>
      </c>
      <c r="I558" s="143" t="s">
        <v>560</v>
      </c>
      <c r="J558" s="129" t="s">
        <v>843</v>
      </c>
      <c r="K558" s="129" t="s">
        <v>843</v>
      </c>
      <c r="L558" s="141" t="s">
        <v>804</v>
      </c>
      <c r="M558" s="143" t="s">
        <v>198</v>
      </c>
      <c r="N558" s="141">
        <v>20</v>
      </c>
      <c r="O558" s="141" t="s">
        <v>1568</v>
      </c>
      <c r="P558" s="129" t="s">
        <v>804</v>
      </c>
      <c r="Q558" s="141">
        <v>8</v>
      </c>
      <c r="R558" s="143">
        <v>35</v>
      </c>
      <c r="S558" s="143">
        <v>34</v>
      </c>
      <c r="T558" s="141">
        <v>2</v>
      </c>
      <c r="U558" s="141" t="s">
        <v>816</v>
      </c>
      <c r="V558" s="141" t="s">
        <v>535</v>
      </c>
      <c r="W558" s="143">
        <v>1000</v>
      </c>
      <c r="X558" s="141" t="s">
        <v>804</v>
      </c>
      <c r="Y558" s="260" t="s">
        <v>558</v>
      </c>
      <c r="Z558" s="260" t="s">
        <v>558</v>
      </c>
      <c r="AA558" s="141">
        <v>1</v>
      </c>
      <c r="AB558" s="141" t="s">
        <v>804</v>
      </c>
      <c r="AC558" s="143" t="s">
        <v>804</v>
      </c>
      <c r="AD558" s="141" t="s">
        <v>806</v>
      </c>
      <c r="AE558" s="141" t="s">
        <v>804</v>
      </c>
      <c r="AF558" s="141">
        <v>0</v>
      </c>
      <c r="AG558" s="141">
        <v>0</v>
      </c>
      <c r="AH558" s="141">
        <v>3</v>
      </c>
      <c r="AI558" s="141" t="s">
        <v>801</v>
      </c>
      <c r="AJ558" s="164" t="s">
        <v>2468</v>
      </c>
      <c r="AK558" s="141" t="s">
        <v>806</v>
      </c>
      <c r="AL558" s="141" t="s">
        <v>1593</v>
      </c>
      <c r="AM558" s="141" t="s">
        <v>559</v>
      </c>
      <c r="AN558" s="141"/>
      <c r="AO558" s="141"/>
      <c r="AP558" s="141"/>
      <c r="AQ558" s="141"/>
      <c r="AR558" s="141"/>
      <c r="AS558" s="141"/>
      <c r="AT558" s="141"/>
      <c r="AU558" s="141"/>
      <c r="AV558" s="141"/>
      <c r="AW558" s="205"/>
      <c r="AX558" s="206"/>
    </row>
    <row r="559" spans="1:57" s="167" customFormat="1" ht="29">
      <c r="A559" s="140" t="s">
        <v>6</v>
      </c>
      <c r="B559" s="129">
        <v>557</v>
      </c>
      <c r="C559" s="270" t="s">
        <v>2452</v>
      </c>
      <c r="D559" s="271" t="s">
        <v>3115</v>
      </c>
      <c r="E559" s="272" t="s">
        <v>2450</v>
      </c>
      <c r="F559" s="265" t="s">
        <v>2467</v>
      </c>
      <c r="G559" s="273" t="s">
        <v>665</v>
      </c>
      <c r="H559" s="267" t="s">
        <v>1882</v>
      </c>
      <c r="I559" s="267" t="s">
        <v>560</v>
      </c>
      <c r="J559" s="274" t="s">
        <v>2454</v>
      </c>
      <c r="K559" s="274" t="s">
        <v>2453</v>
      </c>
      <c r="L559" s="272" t="s">
        <v>2451</v>
      </c>
      <c r="M559" s="271" t="s">
        <v>2451</v>
      </c>
      <c r="N559" s="271">
        <v>20</v>
      </c>
      <c r="O559" s="265" t="s">
        <v>2455</v>
      </c>
      <c r="P559" s="274" t="s">
        <v>2451</v>
      </c>
      <c r="Q559" s="271">
        <v>8</v>
      </c>
      <c r="R559" s="275">
        <v>15</v>
      </c>
      <c r="S559" s="275">
        <v>15</v>
      </c>
      <c r="T559" s="270">
        <v>1</v>
      </c>
      <c r="U559" s="265" t="s">
        <v>2456</v>
      </c>
      <c r="V559" s="265" t="s">
        <v>2457</v>
      </c>
      <c r="W559" s="270">
        <v>1000</v>
      </c>
      <c r="X559" s="270" t="s">
        <v>2451</v>
      </c>
      <c r="Y559" s="270" t="s">
        <v>2458</v>
      </c>
      <c r="Z559" s="270" t="s">
        <v>2459</v>
      </c>
      <c r="AA559" s="270">
        <v>1</v>
      </c>
      <c r="AB559" s="270" t="s">
        <v>2451</v>
      </c>
      <c r="AC559" s="276" t="s">
        <v>2460</v>
      </c>
      <c r="AD559" s="270" t="s">
        <v>2461</v>
      </c>
      <c r="AE559" s="276" t="s">
        <v>2462</v>
      </c>
      <c r="AF559" s="270">
        <v>0</v>
      </c>
      <c r="AG559" s="270">
        <v>0</v>
      </c>
      <c r="AH559" s="270">
        <v>1</v>
      </c>
      <c r="AI559" s="270" t="s">
        <v>2461</v>
      </c>
      <c r="AJ559" s="265" t="s">
        <v>2464</v>
      </c>
      <c r="AK559" s="277" t="s">
        <v>2465</v>
      </c>
      <c r="AL559" s="272" t="s">
        <v>2461</v>
      </c>
      <c r="AM559" s="270"/>
      <c r="AN559" s="272" t="s">
        <v>2466</v>
      </c>
      <c r="AO559" s="275"/>
      <c r="AP559" s="278"/>
      <c r="AQ559" s="278"/>
      <c r="AR559" s="278"/>
      <c r="AS559" s="278"/>
      <c r="AT559" s="278"/>
      <c r="AU559" s="278"/>
      <c r="AV559" s="278"/>
      <c r="AW559" s="279"/>
      <c r="AX559" s="280"/>
    </row>
    <row r="560" spans="1:57" s="139" customFormat="1" ht="25">
      <c r="A560" s="140" t="s">
        <v>6</v>
      </c>
      <c r="B560" s="129">
        <v>558</v>
      </c>
      <c r="C560" s="141" t="s">
        <v>1850</v>
      </c>
      <c r="D560" s="141" t="s">
        <v>3115</v>
      </c>
      <c r="E560" s="265" t="s">
        <v>1883</v>
      </c>
      <c r="F560" s="268" t="s">
        <v>1860</v>
      </c>
      <c r="G560" s="141" t="s">
        <v>1852</v>
      </c>
      <c r="H560" s="267" t="s">
        <v>1882</v>
      </c>
      <c r="I560" s="267" t="s">
        <v>560</v>
      </c>
      <c r="J560" s="265" t="s">
        <v>1853</v>
      </c>
      <c r="K560" s="265" t="s">
        <v>1854</v>
      </c>
      <c r="L560" s="265" t="s">
        <v>1852</v>
      </c>
      <c r="M560" s="267" t="s">
        <v>198</v>
      </c>
      <c r="N560" s="265">
        <v>20</v>
      </c>
      <c r="O560" s="265" t="s">
        <v>1855</v>
      </c>
      <c r="P560" s="169" t="s">
        <v>1856</v>
      </c>
      <c r="Q560" s="265">
        <v>8</v>
      </c>
      <c r="R560" s="265">
        <v>59</v>
      </c>
      <c r="S560" s="265">
        <v>56</v>
      </c>
      <c r="T560" s="265">
        <v>4</v>
      </c>
      <c r="U560" s="265" t="s">
        <v>1857</v>
      </c>
      <c r="V560" s="265" t="s">
        <v>535</v>
      </c>
      <c r="W560" s="267">
        <v>1000</v>
      </c>
      <c r="X560" s="265" t="s">
        <v>1852</v>
      </c>
      <c r="Y560" s="265" t="s">
        <v>558</v>
      </c>
      <c r="Z560" s="265" t="s">
        <v>1861</v>
      </c>
      <c r="AA560" s="265">
        <v>1</v>
      </c>
      <c r="AB560" s="265" t="s">
        <v>1852</v>
      </c>
      <c r="AC560" s="267" t="s">
        <v>1852</v>
      </c>
      <c r="AD560" s="265" t="s">
        <v>1856</v>
      </c>
      <c r="AE560" s="265" t="s">
        <v>1852</v>
      </c>
      <c r="AF560" s="265">
        <v>0</v>
      </c>
      <c r="AG560" s="267">
        <v>0</v>
      </c>
      <c r="AH560" s="267">
        <v>15</v>
      </c>
      <c r="AI560" s="265" t="s">
        <v>1852</v>
      </c>
      <c r="AJ560" s="268" t="s">
        <v>1852</v>
      </c>
      <c r="AK560" s="265" t="s">
        <v>198</v>
      </c>
      <c r="AL560" s="265" t="s">
        <v>198</v>
      </c>
      <c r="AM560" s="268"/>
      <c r="AN560" s="169" t="s">
        <v>2397</v>
      </c>
      <c r="AO560" s="141"/>
      <c r="AP560" s="141"/>
      <c r="AQ560" s="141"/>
      <c r="AR560" s="141"/>
      <c r="AS560" s="141"/>
      <c r="AT560" s="141"/>
      <c r="AU560" s="141"/>
      <c r="AV560" s="141"/>
      <c r="AW560" s="205"/>
      <c r="AX560" s="206"/>
      <c r="AY560" s="207"/>
    </row>
    <row r="561" spans="1:57" s="139" customFormat="1" ht="72">
      <c r="A561" s="140" t="s">
        <v>6</v>
      </c>
      <c r="B561" s="129">
        <v>559</v>
      </c>
      <c r="C561" s="141" t="s">
        <v>1850</v>
      </c>
      <c r="D561" s="141" t="s">
        <v>3150</v>
      </c>
      <c r="E561" s="281" t="s">
        <v>2930</v>
      </c>
      <c r="F561" s="212" t="s">
        <v>2931</v>
      </c>
      <c r="G561" s="141" t="s">
        <v>2940</v>
      </c>
      <c r="H561" s="143" t="s">
        <v>2932</v>
      </c>
      <c r="I561" s="160" t="s">
        <v>2933</v>
      </c>
      <c r="J561" s="160" t="s">
        <v>2934</v>
      </c>
      <c r="K561" s="160" t="s">
        <v>2934</v>
      </c>
      <c r="L561" s="141" t="s">
        <v>1852</v>
      </c>
      <c r="M561" s="143" t="s">
        <v>198</v>
      </c>
      <c r="N561" s="141" t="s">
        <v>2941</v>
      </c>
      <c r="O561" s="141" t="s">
        <v>2941</v>
      </c>
      <c r="P561" s="141" t="s">
        <v>2941</v>
      </c>
      <c r="Q561" s="282">
        <v>8</v>
      </c>
      <c r="R561" s="282">
        <v>7</v>
      </c>
      <c r="S561" s="282">
        <v>4</v>
      </c>
      <c r="T561" s="282">
        <v>4</v>
      </c>
      <c r="U561" s="141" t="s">
        <v>1857</v>
      </c>
      <c r="V561" s="141" t="s">
        <v>535</v>
      </c>
      <c r="W561" s="143" t="s">
        <v>2935</v>
      </c>
      <c r="X561" s="141" t="s">
        <v>2935</v>
      </c>
      <c r="Y561" s="141" t="s">
        <v>2935</v>
      </c>
      <c r="Z561" s="141" t="s">
        <v>2935</v>
      </c>
      <c r="AA561" s="141">
        <v>1</v>
      </c>
      <c r="AB561" s="141" t="s">
        <v>1852</v>
      </c>
      <c r="AC561" s="143" t="s">
        <v>1852</v>
      </c>
      <c r="AD561" s="141" t="s">
        <v>1856</v>
      </c>
      <c r="AE561" s="141" t="s">
        <v>1852</v>
      </c>
      <c r="AF561" s="141">
        <v>0</v>
      </c>
      <c r="AG561" s="143">
        <v>0</v>
      </c>
      <c r="AH561" s="143">
        <v>15</v>
      </c>
      <c r="AI561" s="141" t="s">
        <v>1852</v>
      </c>
      <c r="AJ561" s="262" t="s">
        <v>2936</v>
      </c>
      <c r="AK561" s="141" t="s">
        <v>2937</v>
      </c>
      <c r="AL561" s="265" t="s">
        <v>198</v>
      </c>
      <c r="AM561" s="268"/>
      <c r="AN561" s="169"/>
      <c r="AO561" s="141"/>
      <c r="AP561" s="141"/>
      <c r="AQ561" s="141"/>
      <c r="AR561" s="141"/>
      <c r="AS561" s="141"/>
      <c r="AT561" s="141"/>
      <c r="AU561" s="141"/>
      <c r="AV561" s="141"/>
      <c r="AW561" s="205" t="s">
        <v>1866</v>
      </c>
      <c r="AX561" s="206"/>
      <c r="AY561" s="207"/>
    </row>
    <row r="562" spans="1:57" s="139" customFormat="1" ht="44">
      <c r="A562" s="140" t="s">
        <v>6</v>
      </c>
      <c r="B562" s="129">
        <v>560</v>
      </c>
      <c r="C562" s="141" t="s">
        <v>1850</v>
      </c>
      <c r="D562" s="141" t="s">
        <v>3118</v>
      </c>
      <c r="E562" s="141" t="s">
        <v>1870</v>
      </c>
      <c r="F562" s="262" t="s">
        <v>1851</v>
      </c>
      <c r="G562" s="141" t="s">
        <v>1852</v>
      </c>
      <c r="H562" s="141" t="s">
        <v>1871</v>
      </c>
      <c r="I562" s="141" t="s">
        <v>1865</v>
      </c>
      <c r="J562" s="141" t="s">
        <v>1853</v>
      </c>
      <c r="K562" s="141" t="s">
        <v>1854</v>
      </c>
      <c r="L562" s="141" t="s">
        <v>1852</v>
      </c>
      <c r="M562" s="143" t="s">
        <v>198</v>
      </c>
      <c r="N562" s="141">
        <v>20</v>
      </c>
      <c r="O562" s="141" t="s">
        <v>1855</v>
      </c>
      <c r="P562" s="169" t="s">
        <v>1856</v>
      </c>
      <c r="Q562" s="141">
        <v>8</v>
      </c>
      <c r="R562" s="141">
        <v>7</v>
      </c>
      <c r="S562" s="141">
        <v>0</v>
      </c>
      <c r="T562" s="141">
        <v>8</v>
      </c>
      <c r="U562" s="141" t="s">
        <v>1857</v>
      </c>
      <c r="V562" s="141" t="s">
        <v>535</v>
      </c>
      <c r="W562" s="143">
        <v>1000</v>
      </c>
      <c r="X562" s="141" t="s">
        <v>1852</v>
      </c>
      <c r="Y562" s="141" t="s">
        <v>585</v>
      </c>
      <c r="Z562" s="141" t="s">
        <v>1856</v>
      </c>
      <c r="AA562" s="141">
        <v>1</v>
      </c>
      <c r="AB562" s="141" t="s">
        <v>1852</v>
      </c>
      <c r="AC562" s="143" t="s">
        <v>1852</v>
      </c>
      <c r="AD562" s="141" t="s">
        <v>1856</v>
      </c>
      <c r="AE562" s="141" t="s">
        <v>1852</v>
      </c>
      <c r="AF562" s="141">
        <v>0</v>
      </c>
      <c r="AG562" s="143">
        <v>0</v>
      </c>
      <c r="AH562" s="143">
        <v>255</v>
      </c>
      <c r="AI562" s="141" t="s">
        <v>1856</v>
      </c>
      <c r="AJ562" s="262" t="s">
        <v>1856</v>
      </c>
      <c r="AK562" s="141" t="s">
        <v>198</v>
      </c>
      <c r="AL562" s="141" t="s">
        <v>198</v>
      </c>
      <c r="AM562" s="239"/>
      <c r="AN562" s="169" t="s">
        <v>1866</v>
      </c>
      <c r="AO562" s="169"/>
      <c r="AP562" s="169"/>
      <c r="AQ562" s="169"/>
      <c r="AR562" s="160"/>
      <c r="AS562" s="141"/>
      <c r="AT562" s="141"/>
      <c r="AU562" s="141"/>
      <c r="AV562" s="141"/>
      <c r="AW562" s="205"/>
      <c r="AX562" s="206"/>
      <c r="AY562" s="207"/>
    </row>
    <row r="563" spans="1:57" s="139" customFormat="1" ht="30">
      <c r="A563" s="140" t="s">
        <v>6</v>
      </c>
      <c r="B563" s="129">
        <v>561</v>
      </c>
      <c r="C563" s="141" t="s">
        <v>1858</v>
      </c>
      <c r="D563" s="141" t="s">
        <v>3118</v>
      </c>
      <c r="E563" s="169" t="s">
        <v>1872</v>
      </c>
      <c r="F563" s="256" t="s">
        <v>2095</v>
      </c>
      <c r="G563" s="141" t="s">
        <v>1852</v>
      </c>
      <c r="H563" s="141" t="s">
        <v>1871</v>
      </c>
      <c r="I563" s="141" t="s">
        <v>1865</v>
      </c>
      <c r="J563" s="141" t="s">
        <v>192</v>
      </c>
      <c r="K563" s="141" t="s">
        <v>192</v>
      </c>
      <c r="L563" s="141" t="s">
        <v>1852</v>
      </c>
      <c r="M563" s="143" t="s">
        <v>198</v>
      </c>
      <c r="N563" s="141">
        <v>20</v>
      </c>
      <c r="O563" s="141" t="s">
        <v>1855</v>
      </c>
      <c r="P563" s="169" t="s">
        <v>1856</v>
      </c>
      <c r="Q563" s="141">
        <v>8</v>
      </c>
      <c r="R563" s="141">
        <v>15</v>
      </c>
      <c r="S563" s="141">
        <v>20</v>
      </c>
      <c r="T563" s="141">
        <v>12</v>
      </c>
      <c r="U563" s="141" t="s">
        <v>1859</v>
      </c>
      <c r="V563" s="141" t="s">
        <v>535</v>
      </c>
      <c r="W563" s="143">
        <v>1000</v>
      </c>
      <c r="X563" s="141" t="s">
        <v>1852</v>
      </c>
      <c r="Y563" s="169" t="s">
        <v>2094</v>
      </c>
      <c r="Z563" s="141" t="s">
        <v>1861</v>
      </c>
      <c r="AA563" s="141">
        <v>1</v>
      </c>
      <c r="AB563" s="141" t="s">
        <v>1852</v>
      </c>
      <c r="AC563" s="143" t="s">
        <v>1852</v>
      </c>
      <c r="AD563" s="141" t="s">
        <v>1856</v>
      </c>
      <c r="AE563" s="141" t="s">
        <v>1852</v>
      </c>
      <c r="AF563" s="141">
        <v>-150</v>
      </c>
      <c r="AG563" s="141">
        <v>-150</v>
      </c>
      <c r="AH563" s="141">
        <v>3945</v>
      </c>
      <c r="AI563" s="169" t="s">
        <v>2099</v>
      </c>
      <c r="AJ563" s="256" t="s">
        <v>2096</v>
      </c>
      <c r="AK563" s="141" t="s">
        <v>198</v>
      </c>
      <c r="AL563" s="266" t="s">
        <v>1873</v>
      </c>
      <c r="AM563" s="256"/>
      <c r="AN563" s="169" t="s">
        <v>1866</v>
      </c>
      <c r="AO563" s="169"/>
      <c r="AP563" s="169"/>
      <c r="AQ563" s="169"/>
      <c r="AR563" s="160"/>
      <c r="AS563" s="141"/>
      <c r="AT563" s="141"/>
      <c r="AU563" s="141"/>
      <c r="AV563" s="141"/>
      <c r="AW563" s="205"/>
      <c r="AX563" s="206"/>
      <c r="AY563" s="207"/>
    </row>
    <row r="564" spans="1:57" s="139" customFormat="1" ht="28">
      <c r="A564" s="140" t="s">
        <v>6</v>
      </c>
      <c r="B564" s="129">
        <v>562</v>
      </c>
      <c r="C564" s="141" t="s">
        <v>1858</v>
      </c>
      <c r="D564" s="141" t="s">
        <v>3118</v>
      </c>
      <c r="E564" s="169" t="s">
        <v>2101</v>
      </c>
      <c r="F564" s="256" t="s">
        <v>2097</v>
      </c>
      <c r="G564" s="141" t="s">
        <v>1852</v>
      </c>
      <c r="H564" s="141" t="s">
        <v>1871</v>
      </c>
      <c r="I564" s="141" t="s">
        <v>1865</v>
      </c>
      <c r="J564" s="141" t="s">
        <v>192</v>
      </c>
      <c r="K564" s="141" t="s">
        <v>192</v>
      </c>
      <c r="L564" s="141" t="s">
        <v>1852</v>
      </c>
      <c r="M564" s="143" t="s">
        <v>198</v>
      </c>
      <c r="N564" s="141">
        <v>20</v>
      </c>
      <c r="O564" s="141" t="s">
        <v>1855</v>
      </c>
      <c r="P564" s="169" t="s">
        <v>1856</v>
      </c>
      <c r="Q564" s="141">
        <v>8</v>
      </c>
      <c r="R564" s="141">
        <v>31</v>
      </c>
      <c r="S564" s="141">
        <v>36</v>
      </c>
      <c r="T564" s="141">
        <v>12</v>
      </c>
      <c r="U564" s="141" t="s">
        <v>1859</v>
      </c>
      <c r="V564" s="141" t="s">
        <v>535</v>
      </c>
      <c r="W564" s="143">
        <v>1000</v>
      </c>
      <c r="X564" s="141" t="s">
        <v>1852</v>
      </c>
      <c r="Y564" s="169" t="s">
        <v>2098</v>
      </c>
      <c r="Z564" s="141" t="s">
        <v>1861</v>
      </c>
      <c r="AA564" s="141">
        <v>1</v>
      </c>
      <c r="AB564" s="141" t="s">
        <v>1852</v>
      </c>
      <c r="AC564" s="143" t="s">
        <v>1852</v>
      </c>
      <c r="AD564" s="141" t="s">
        <v>1856</v>
      </c>
      <c r="AE564" s="141" t="s">
        <v>1852</v>
      </c>
      <c r="AF564" s="141">
        <v>-150</v>
      </c>
      <c r="AG564" s="141">
        <v>-150</v>
      </c>
      <c r="AH564" s="141">
        <v>3945</v>
      </c>
      <c r="AI564" s="169" t="s">
        <v>2099</v>
      </c>
      <c r="AJ564" s="256" t="s">
        <v>2096</v>
      </c>
      <c r="AK564" s="141" t="s">
        <v>198</v>
      </c>
      <c r="AL564" s="266" t="s">
        <v>1873</v>
      </c>
      <c r="AM564" s="256"/>
      <c r="AN564" s="169" t="s">
        <v>1866</v>
      </c>
      <c r="AO564" s="169"/>
      <c r="AP564" s="169"/>
      <c r="AQ564" s="169"/>
      <c r="AR564" s="160"/>
      <c r="AS564" s="141"/>
      <c r="AT564" s="141"/>
      <c r="AU564" s="141"/>
      <c r="AV564" s="141"/>
      <c r="AW564" s="205"/>
      <c r="AX564" s="206"/>
      <c r="AY564" s="207"/>
    </row>
    <row r="565" spans="1:57" s="139" customFormat="1" ht="30">
      <c r="A565" s="140" t="s">
        <v>6</v>
      </c>
      <c r="B565" s="129">
        <v>563</v>
      </c>
      <c r="C565" s="141" t="s">
        <v>1858</v>
      </c>
      <c r="D565" s="141" t="s">
        <v>3118</v>
      </c>
      <c r="E565" s="141" t="s">
        <v>1874</v>
      </c>
      <c r="F565" s="262" t="s">
        <v>1875</v>
      </c>
      <c r="G565" s="141" t="s">
        <v>1852</v>
      </c>
      <c r="H565" s="141" t="s">
        <v>1871</v>
      </c>
      <c r="I565" s="141" t="s">
        <v>1865</v>
      </c>
      <c r="J565" s="141" t="s">
        <v>192</v>
      </c>
      <c r="K565" s="141" t="s">
        <v>192</v>
      </c>
      <c r="L565" s="141" t="s">
        <v>1852</v>
      </c>
      <c r="M565" s="143" t="s">
        <v>198</v>
      </c>
      <c r="N565" s="141">
        <v>20</v>
      </c>
      <c r="O565" s="141" t="s">
        <v>1855</v>
      </c>
      <c r="P565" s="169" t="s">
        <v>1856</v>
      </c>
      <c r="Q565" s="141">
        <v>8</v>
      </c>
      <c r="R565" s="141">
        <v>63</v>
      </c>
      <c r="S565" s="141">
        <v>63</v>
      </c>
      <c r="T565" s="141">
        <v>1</v>
      </c>
      <c r="U565" s="141" t="s">
        <v>1859</v>
      </c>
      <c r="V565" s="141" t="s">
        <v>535</v>
      </c>
      <c r="W565" s="143">
        <v>1000</v>
      </c>
      <c r="X565" s="141" t="s">
        <v>1852</v>
      </c>
      <c r="Y565" s="260" t="s">
        <v>558</v>
      </c>
      <c r="Z565" s="260" t="s">
        <v>558</v>
      </c>
      <c r="AA565" s="141">
        <v>1</v>
      </c>
      <c r="AB565" s="141" t="s">
        <v>1852</v>
      </c>
      <c r="AC565" s="143" t="s">
        <v>1852</v>
      </c>
      <c r="AD565" s="141" t="s">
        <v>1856</v>
      </c>
      <c r="AE565" s="141" t="s">
        <v>1852</v>
      </c>
      <c r="AF565" s="141">
        <v>0</v>
      </c>
      <c r="AG565" s="141">
        <v>0</v>
      </c>
      <c r="AH565" s="141">
        <v>1</v>
      </c>
      <c r="AI565" s="141" t="s">
        <v>1856</v>
      </c>
      <c r="AJ565" s="262" t="s">
        <v>1876</v>
      </c>
      <c r="AK565" s="141" t="s">
        <v>198</v>
      </c>
      <c r="AL565" s="141" t="s">
        <v>1856</v>
      </c>
      <c r="AM565" s="262"/>
      <c r="AN565" s="169" t="s">
        <v>1866</v>
      </c>
      <c r="AO565" s="169"/>
      <c r="AP565" s="169"/>
      <c r="AQ565" s="169"/>
      <c r="AR565" s="160"/>
      <c r="AS565" s="141"/>
      <c r="AT565" s="141"/>
      <c r="AU565" s="141"/>
      <c r="AV565" s="141"/>
      <c r="AW565" s="205"/>
      <c r="AX565" s="206"/>
      <c r="AY565" s="207"/>
    </row>
    <row r="566" spans="1:57" s="139" customFormat="1" ht="30">
      <c r="A566" s="140" t="s">
        <v>6</v>
      </c>
      <c r="B566" s="129">
        <v>564</v>
      </c>
      <c r="C566" s="141" t="s">
        <v>1858</v>
      </c>
      <c r="D566" s="141" t="s">
        <v>3118</v>
      </c>
      <c r="E566" s="141" t="s">
        <v>1877</v>
      </c>
      <c r="F566" s="262" t="s">
        <v>1878</v>
      </c>
      <c r="G566" s="141" t="s">
        <v>1852</v>
      </c>
      <c r="H566" s="141" t="s">
        <v>1871</v>
      </c>
      <c r="I566" s="141" t="s">
        <v>1865</v>
      </c>
      <c r="J566" s="141" t="s">
        <v>192</v>
      </c>
      <c r="K566" s="141" t="s">
        <v>192</v>
      </c>
      <c r="L566" s="141" t="s">
        <v>1852</v>
      </c>
      <c r="M566" s="143" t="s">
        <v>198</v>
      </c>
      <c r="N566" s="141">
        <v>20</v>
      </c>
      <c r="O566" s="141" t="s">
        <v>1855</v>
      </c>
      <c r="P566" s="169" t="s">
        <v>1856</v>
      </c>
      <c r="Q566" s="141">
        <v>8</v>
      </c>
      <c r="R566" s="141">
        <v>62</v>
      </c>
      <c r="S566" s="141">
        <v>62</v>
      </c>
      <c r="T566" s="141">
        <v>1</v>
      </c>
      <c r="U566" s="141" t="s">
        <v>1859</v>
      </c>
      <c r="V566" s="141" t="s">
        <v>535</v>
      </c>
      <c r="W566" s="143">
        <v>1000</v>
      </c>
      <c r="X566" s="141" t="s">
        <v>1852</v>
      </c>
      <c r="Y566" s="260" t="s">
        <v>558</v>
      </c>
      <c r="Z566" s="260" t="s">
        <v>558</v>
      </c>
      <c r="AA566" s="141">
        <v>1</v>
      </c>
      <c r="AB566" s="141" t="s">
        <v>1852</v>
      </c>
      <c r="AC566" s="143" t="s">
        <v>1852</v>
      </c>
      <c r="AD566" s="141" t="s">
        <v>1856</v>
      </c>
      <c r="AE566" s="141" t="s">
        <v>1852</v>
      </c>
      <c r="AF566" s="141">
        <v>0</v>
      </c>
      <c r="AG566" s="141">
        <v>0</v>
      </c>
      <c r="AH566" s="141">
        <v>1</v>
      </c>
      <c r="AI566" s="141" t="s">
        <v>1856</v>
      </c>
      <c r="AJ566" s="262" t="s">
        <v>1876</v>
      </c>
      <c r="AK566" s="141" t="s">
        <v>198</v>
      </c>
      <c r="AL566" s="141" t="s">
        <v>1856</v>
      </c>
      <c r="AM566" s="262"/>
      <c r="AN566" s="169" t="s">
        <v>1866</v>
      </c>
      <c r="AO566" s="169"/>
      <c r="AP566" s="169"/>
      <c r="AQ566" s="169"/>
      <c r="AR566" s="160"/>
      <c r="AS566" s="141"/>
      <c r="AT566" s="141"/>
      <c r="AU566" s="141"/>
      <c r="AV566" s="141"/>
      <c r="AW566" s="205"/>
      <c r="AX566" s="206"/>
      <c r="AY566" s="207"/>
    </row>
    <row r="567" spans="1:57" s="139" customFormat="1" ht="25">
      <c r="A567" s="140" t="s">
        <v>6</v>
      </c>
      <c r="B567" s="129">
        <v>565</v>
      </c>
      <c r="C567" s="141" t="s">
        <v>1850</v>
      </c>
      <c r="D567" s="141" t="s">
        <v>3118</v>
      </c>
      <c r="E567" s="141" t="s">
        <v>1879</v>
      </c>
      <c r="F567" s="262" t="s">
        <v>1860</v>
      </c>
      <c r="G567" s="141" t="s">
        <v>1852</v>
      </c>
      <c r="H567" s="141" t="s">
        <v>1871</v>
      </c>
      <c r="I567" s="141" t="s">
        <v>1865</v>
      </c>
      <c r="J567" s="141" t="s">
        <v>1853</v>
      </c>
      <c r="K567" s="141" t="s">
        <v>1854</v>
      </c>
      <c r="L567" s="141" t="s">
        <v>1852</v>
      </c>
      <c r="M567" s="143" t="s">
        <v>198</v>
      </c>
      <c r="N567" s="141">
        <v>20</v>
      </c>
      <c r="O567" s="141" t="s">
        <v>1855</v>
      </c>
      <c r="P567" s="169" t="s">
        <v>1856</v>
      </c>
      <c r="Q567" s="141">
        <v>8</v>
      </c>
      <c r="R567" s="141">
        <v>59</v>
      </c>
      <c r="S567" s="141">
        <v>56</v>
      </c>
      <c r="T567" s="141">
        <v>4</v>
      </c>
      <c r="U567" s="141" t="s">
        <v>1857</v>
      </c>
      <c r="V567" s="141" t="s">
        <v>535</v>
      </c>
      <c r="W567" s="143">
        <v>1000</v>
      </c>
      <c r="X567" s="141" t="s">
        <v>1852</v>
      </c>
      <c r="Y567" s="141" t="s">
        <v>558</v>
      </c>
      <c r="Z567" s="141" t="s">
        <v>1861</v>
      </c>
      <c r="AA567" s="141">
        <v>1</v>
      </c>
      <c r="AB567" s="141" t="s">
        <v>1852</v>
      </c>
      <c r="AC567" s="143" t="s">
        <v>1852</v>
      </c>
      <c r="AD567" s="141" t="s">
        <v>1856</v>
      </c>
      <c r="AE567" s="141" t="s">
        <v>1852</v>
      </c>
      <c r="AF567" s="141">
        <v>0</v>
      </c>
      <c r="AG567" s="143">
        <v>0</v>
      </c>
      <c r="AH567" s="143">
        <v>15</v>
      </c>
      <c r="AI567" s="141" t="s">
        <v>1852</v>
      </c>
      <c r="AJ567" s="262" t="s">
        <v>1852</v>
      </c>
      <c r="AK567" s="141" t="s">
        <v>198</v>
      </c>
      <c r="AL567" s="141" t="s">
        <v>198</v>
      </c>
      <c r="AM567" s="239"/>
      <c r="AN567" s="169" t="s">
        <v>1866</v>
      </c>
      <c r="AO567" s="169"/>
      <c r="AP567" s="169"/>
      <c r="AQ567" s="169"/>
      <c r="AR567" s="160"/>
      <c r="AS567" s="141"/>
      <c r="AT567" s="141"/>
      <c r="AU567" s="141"/>
      <c r="AV567" s="141"/>
      <c r="AW567" s="205"/>
      <c r="AX567" s="206"/>
      <c r="AY567" s="207"/>
    </row>
    <row r="568" spans="1:57" s="139" customFormat="1" ht="44">
      <c r="A568" s="140" t="s">
        <v>6</v>
      </c>
      <c r="B568" s="129">
        <v>566</v>
      </c>
      <c r="C568" s="141" t="s">
        <v>1578</v>
      </c>
      <c r="D568" s="141" t="s">
        <v>3115</v>
      </c>
      <c r="E568" s="169" t="s">
        <v>1632</v>
      </c>
      <c r="F568" s="141" t="s">
        <v>1080</v>
      </c>
      <c r="G568" s="141" t="s">
        <v>804</v>
      </c>
      <c r="H568" s="129" t="s">
        <v>1633</v>
      </c>
      <c r="I568" s="129" t="s">
        <v>1634</v>
      </c>
      <c r="J568" s="129" t="s">
        <v>843</v>
      </c>
      <c r="K568" s="129" t="s">
        <v>843</v>
      </c>
      <c r="L568" s="141" t="s">
        <v>804</v>
      </c>
      <c r="M568" s="141" t="s">
        <v>804</v>
      </c>
      <c r="N568" s="129">
        <v>10</v>
      </c>
      <c r="O568" s="141" t="s">
        <v>804</v>
      </c>
      <c r="P568" s="129" t="s">
        <v>804</v>
      </c>
      <c r="Q568" s="141">
        <v>8</v>
      </c>
      <c r="R568" s="141">
        <v>7</v>
      </c>
      <c r="S568" s="141">
        <v>0</v>
      </c>
      <c r="T568" s="141">
        <v>8</v>
      </c>
      <c r="U568" s="141" t="s">
        <v>816</v>
      </c>
      <c r="V568" s="141" t="s">
        <v>803</v>
      </c>
      <c r="W568" s="129" t="s">
        <v>804</v>
      </c>
      <c r="X568" s="141" t="s">
        <v>804</v>
      </c>
      <c r="Y568" s="141" t="s">
        <v>817</v>
      </c>
      <c r="Z568" s="141" t="s">
        <v>804</v>
      </c>
      <c r="AA568" s="141">
        <v>1</v>
      </c>
      <c r="AB568" s="141" t="s">
        <v>804</v>
      </c>
      <c r="AC568" s="141" t="s">
        <v>804</v>
      </c>
      <c r="AD568" s="141" t="s">
        <v>804</v>
      </c>
      <c r="AE568" s="141" t="s">
        <v>804</v>
      </c>
      <c r="AF568" s="141" t="s">
        <v>804</v>
      </c>
      <c r="AG568" s="141">
        <v>0</v>
      </c>
      <c r="AH568" s="141">
        <v>255</v>
      </c>
      <c r="AI568" s="141" t="s">
        <v>804</v>
      </c>
      <c r="AJ568" s="164" t="s">
        <v>2121</v>
      </c>
      <c r="AK568" s="143" t="s">
        <v>804</v>
      </c>
      <c r="AL568" s="143" t="s">
        <v>804</v>
      </c>
      <c r="AM568" s="143"/>
      <c r="AN568" s="160" t="s">
        <v>2397</v>
      </c>
      <c r="AO568" s="143"/>
      <c r="AP568" s="143"/>
      <c r="AQ568" s="143"/>
      <c r="AR568" s="143"/>
      <c r="AS568" s="143"/>
      <c r="AT568" s="143"/>
      <c r="AU568" s="143"/>
      <c r="AV568" s="141"/>
      <c r="AW568" s="205"/>
      <c r="AX568" s="206"/>
      <c r="AY568" s="138"/>
      <c r="AZ568" s="138"/>
      <c r="BA568" s="138"/>
      <c r="BB568" s="138"/>
      <c r="BC568" s="138"/>
      <c r="BD568" s="138"/>
      <c r="BE568" s="138"/>
    </row>
    <row r="569" spans="1:57" s="139" customFormat="1" ht="44">
      <c r="A569" s="140" t="s">
        <v>6</v>
      </c>
      <c r="B569" s="129">
        <v>567</v>
      </c>
      <c r="C569" s="129" t="s">
        <v>1578</v>
      </c>
      <c r="D569" s="253" t="s">
        <v>3115</v>
      </c>
      <c r="E569" s="252" t="s">
        <v>1635</v>
      </c>
      <c r="F569" s="252" t="s">
        <v>1869</v>
      </c>
      <c r="G569" s="141" t="s">
        <v>804</v>
      </c>
      <c r="H569" s="129" t="s">
        <v>1633</v>
      </c>
      <c r="I569" s="129" t="s">
        <v>1634</v>
      </c>
      <c r="J569" s="253" t="s">
        <v>825</v>
      </c>
      <c r="K569" s="253" t="s">
        <v>825</v>
      </c>
      <c r="L569" s="141" t="s">
        <v>1852</v>
      </c>
      <c r="M569" s="129" t="s">
        <v>801</v>
      </c>
      <c r="N569" s="129">
        <v>10</v>
      </c>
      <c r="O569" s="129">
        <v>10</v>
      </c>
      <c r="P569" s="129" t="s">
        <v>804</v>
      </c>
      <c r="Q569" s="129">
        <v>8</v>
      </c>
      <c r="R569" s="141">
        <v>31</v>
      </c>
      <c r="S569" s="141">
        <v>32</v>
      </c>
      <c r="T569" s="252">
        <v>16</v>
      </c>
      <c r="U569" s="141" t="s">
        <v>802</v>
      </c>
      <c r="V569" s="141" t="s">
        <v>803</v>
      </c>
      <c r="W569" s="252" t="s">
        <v>256</v>
      </c>
      <c r="X569" s="141" t="s">
        <v>804</v>
      </c>
      <c r="Y569" s="129" t="s">
        <v>817</v>
      </c>
      <c r="Z569" s="143" t="s">
        <v>804</v>
      </c>
      <c r="AA569" s="252">
        <v>1</v>
      </c>
      <c r="AB569" s="252" t="s">
        <v>804</v>
      </c>
      <c r="AC569" s="141" t="s">
        <v>804</v>
      </c>
      <c r="AD569" s="141" t="s">
        <v>804</v>
      </c>
      <c r="AE569" s="141" t="s">
        <v>804</v>
      </c>
      <c r="AF569" s="253">
        <v>-32768</v>
      </c>
      <c r="AG569" s="253">
        <v>-32768</v>
      </c>
      <c r="AH569" s="253">
        <v>32767</v>
      </c>
      <c r="AI569" s="252" t="s">
        <v>818</v>
      </c>
      <c r="AJ569" s="254" t="s">
        <v>2127</v>
      </c>
      <c r="AK569" s="141" t="s">
        <v>804</v>
      </c>
      <c r="AL569" s="141" t="s">
        <v>819</v>
      </c>
      <c r="AM569" s="143"/>
      <c r="AN569" s="143" t="s">
        <v>1082</v>
      </c>
      <c r="AO569" s="143"/>
      <c r="AP569" s="143"/>
      <c r="AQ569" s="143"/>
      <c r="AR569" s="143"/>
      <c r="AS569" s="143"/>
      <c r="AT569" s="143"/>
      <c r="AU569" s="143"/>
      <c r="AV569" s="141"/>
      <c r="AW569" s="205"/>
      <c r="AX569" s="206"/>
      <c r="AY569" s="138"/>
      <c r="AZ569" s="138"/>
      <c r="BA569" s="138"/>
      <c r="BB569" s="138"/>
      <c r="BC569" s="138"/>
      <c r="BD569" s="138"/>
      <c r="BE569" s="138"/>
    </row>
    <row r="570" spans="1:57" s="139" customFormat="1" ht="58">
      <c r="A570" s="140" t="s">
        <v>6</v>
      </c>
      <c r="B570" s="129">
        <v>568</v>
      </c>
      <c r="C570" s="129" t="s">
        <v>1578</v>
      </c>
      <c r="D570" s="253" t="s">
        <v>3115</v>
      </c>
      <c r="E570" s="252" t="s">
        <v>1636</v>
      </c>
      <c r="F570" s="252" t="s">
        <v>1868</v>
      </c>
      <c r="G570" s="141" t="s">
        <v>804</v>
      </c>
      <c r="H570" s="129" t="s">
        <v>1633</v>
      </c>
      <c r="I570" s="129" t="s">
        <v>1634</v>
      </c>
      <c r="J570" s="253" t="s">
        <v>825</v>
      </c>
      <c r="K570" s="253" t="s">
        <v>825</v>
      </c>
      <c r="L570" s="141" t="s">
        <v>665</v>
      </c>
      <c r="M570" s="129" t="s">
        <v>801</v>
      </c>
      <c r="N570" s="129">
        <v>10</v>
      </c>
      <c r="O570" s="129">
        <v>10</v>
      </c>
      <c r="P570" s="129" t="s">
        <v>804</v>
      </c>
      <c r="Q570" s="129">
        <v>8</v>
      </c>
      <c r="R570" s="141">
        <v>47</v>
      </c>
      <c r="S570" s="141">
        <v>46</v>
      </c>
      <c r="T570" s="252">
        <v>2</v>
      </c>
      <c r="U570" s="141" t="s">
        <v>802</v>
      </c>
      <c r="V570" s="141" t="s">
        <v>803</v>
      </c>
      <c r="W570" s="252" t="s">
        <v>256</v>
      </c>
      <c r="X570" s="141" t="s">
        <v>804</v>
      </c>
      <c r="Y570" s="129" t="s">
        <v>817</v>
      </c>
      <c r="Z570" s="143" t="s">
        <v>804</v>
      </c>
      <c r="AA570" s="252">
        <v>1</v>
      </c>
      <c r="AB570" s="252" t="s">
        <v>804</v>
      </c>
      <c r="AC570" s="141" t="s">
        <v>804</v>
      </c>
      <c r="AD570" s="141" t="s">
        <v>804</v>
      </c>
      <c r="AE570" s="141" t="s">
        <v>804</v>
      </c>
      <c r="AF570" s="253">
        <v>0</v>
      </c>
      <c r="AG570" s="253">
        <v>0</v>
      </c>
      <c r="AH570" s="253">
        <v>2</v>
      </c>
      <c r="AI570" s="252" t="s">
        <v>801</v>
      </c>
      <c r="AJ570" s="164" t="s">
        <v>1637</v>
      </c>
      <c r="AK570" s="141" t="s">
        <v>804</v>
      </c>
      <c r="AL570" s="143" t="s">
        <v>804</v>
      </c>
      <c r="AM570" s="143"/>
      <c r="AN570" s="143" t="s">
        <v>1082</v>
      </c>
      <c r="AO570" s="143"/>
      <c r="AP570" s="143"/>
      <c r="AQ570" s="143"/>
      <c r="AR570" s="143"/>
      <c r="AS570" s="143"/>
      <c r="AT570" s="143"/>
      <c r="AU570" s="143"/>
      <c r="AV570" s="141"/>
      <c r="AW570" s="205"/>
      <c r="AX570" s="206"/>
      <c r="AY570" s="138"/>
      <c r="AZ570" s="138"/>
      <c r="BA570" s="138"/>
      <c r="BB570" s="138"/>
      <c r="BC570" s="138"/>
      <c r="BD570" s="138"/>
      <c r="BE570" s="138"/>
    </row>
    <row r="571" spans="1:57" s="139" customFormat="1" ht="25">
      <c r="A571" s="140" t="s">
        <v>6</v>
      </c>
      <c r="B571" s="129">
        <v>569</v>
      </c>
      <c r="C571" s="141" t="s">
        <v>1578</v>
      </c>
      <c r="D571" s="141" t="s">
        <v>3115</v>
      </c>
      <c r="E571" s="169" t="s">
        <v>2402</v>
      </c>
      <c r="F571" s="141" t="s">
        <v>1623</v>
      </c>
      <c r="G571" s="141" t="s">
        <v>804</v>
      </c>
      <c r="H571" s="129" t="s">
        <v>1633</v>
      </c>
      <c r="I571" s="129" t="s">
        <v>1634</v>
      </c>
      <c r="J571" s="129" t="s">
        <v>843</v>
      </c>
      <c r="K571" s="129" t="s">
        <v>843</v>
      </c>
      <c r="L571" s="141" t="s">
        <v>804</v>
      </c>
      <c r="M571" s="141" t="s">
        <v>804</v>
      </c>
      <c r="N571" s="129">
        <v>10</v>
      </c>
      <c r="O571" s="129">
        <v>10</v>
      </c>
      <c r="P571" s="129" t="s">
        <v>804</v>
      </c>
      <c r="Q571" s="141">
        <v>8</v>
      </c>
      <c r="R571" s="141">
        <v>59</v>
      </c>
      <c r="S571" s="141">
        <v>56</v>
      </c>
      <c r="T571" s="141">
        <v>4</v>
      </c>
      <c r="U571" s="141" t="s">
        <v>816</v>
      </c>
      <c r="V571" s="141" t="s">
        <v>803</v>
      </c>
      <c r="W571" s="143">
        <v>1000</v>
      </c>
      <c r="X571" s="141" t="s">
        <v>804</v>
      </c>
      <c r="Y571" s="141" t="s">
        <v>817</v>
      </c>
      <c r="Z571" s="141" t="s">
        <v>194</v>
      </c>
      <c r="AA571" s="129">
        <v>1</v>
      </c>
      <c r="AB571" s="141" t="s">
        <v>804</v>
      </c>
      <c r="AC571" s="141" t="s">
        <v>804</v>
      </c>
      <c r="AD571" s="141" t="s">
        <v>804</v>
      </c>
      <c r="AE571" s="141" t="s">
        <v>804</v>
      </c>
      <c r="AF571" s="141">
        <v>0</v>
      </c>
      <c r="AG571" s="141">
        <v>0</v>
      </c>
      <c r="AH571" s="141">
        <v>15</v>
      </c>
      <c r="AI571" s="141" t="s">
        <v>804</v>
      </c>
      <c r="AJ571" s="164" t="s">
        <v>2123</v>
      </c>
      <c r="AK571" s="143" t="s">
        <v>804</v>
      </c>
      <c r="AL571" s="143" t="s">
        <v>804</v>
      </c>
      <c r="AM571" s="143"/>
      <c r="AN571" s="160" t="s">
        <v>2397</v>
      </c>
      <c r="AO571" s="143"/>
      <c r="AP571" s="143"/>
      <c r="AQ571" s="143"/>
      <c r="AR571" s="143"/>
      <c r="AS571" s="143"/>
      <c r="AT571" s="143"/>
      <c r="AU571" s="143"/>
      <c r="AV571" s="141"/>
      <c r="AW571" s="205"/>
      <c r="AX571" s="206"/>
      <c r="AY571" s="138"/>
      <c r="AZ571" s="138"/>
      <c r="BA571" s="138"/>
      <c r="BB571" s="138"/>
      <c r="BC571" s="138"/>
      <c r="BD571" s="138"/>
      <c r="BE571" s="138"/>
    </row>
    <row r="572" spans="1:57" s="139" customFormat="1" ht="30">
      <c r="A572" s="140" t="s">
        <v>6</v>
      </c>
      <c r="B572" s="129">
        <v>570</v>
      </c>
      <c r="C572" s="129" t="s">
        <v>1638</v>
      </c>
      <c r="D572" s="253" t="s">
        <v>3095</v>
      </c>
      <c r="E572" s="252" t="s">
        <v>1639</v>
      </c>
      <c r="F572" s="252" t="s">
        <v>1640</v>
      </c>
      <c r="G572" s="141" t="s">
        <v>703</v>
      </c>
      <c r="H572" s="141" t="s">
        <v>1641</v>
      </c>
      <c r="I572" s="141" t="s">
        <v>1642</v>
      </c>
      <c r="J572" s="253" t="s">
        <v>836</v>
      </c>
      <c r="K572" s="253" t="s">
        <v>836</v>
      </c>
      <c r="L572" s="129" t="s">
        <v>703</v>
      </c>
      <c r="M572" s="129" t="s">
        <v>712</v>
      </c>
      <c r="N572" s="129">
        <v>100</v>
      </c>
      <c r="O572" s="129" t="s">
        <v>996</v>
      </c>
      <c r="P572" s="129" t="s">
        <v>703</v>
      </c>
      <c r="Q572" s="129">
        <v>8</v>
      </c>
      <c r="R572" s="141">
        <v>15</v>
      </c>
      <c r="S572" s="141">
        <v>15</v>
      </c>
      <c r="T572" s="252">
        <v>1</v>
      </c>
      <c r="U572" s="141" t="s">
        <v>713</v>
      </c>
      <c r="V572" s="141" t="s">
        <v>1643</v>
      </c>
      <c r="W572" s="252" t="s">
        <v>1644</v>
      </c>
      <c r="X572" s="141" t="s">
        <v>703</v>
      </c>
      <c r="Y572" s="141" t="s">
        <v>715</v>
      </c>
      <c r="Z572" s="129" t="s">
        <v>715</v>
      </c>
      <c r="AA572" s="252">
        <v>1</v>
      </c>
      <c r="AB572" s="252" t="s">
        <v>703</v>
      </c>
      <c r="AC572" s="141" t="s">
        <v>703</v>
      </c>
      <c r="AD572" s="141" t="s">
        <v>703</v>
      </c>
      <c r="AE572" s="141" t="s">
        <v>703</v>
      </c>
      <c r="AF572" s="253">
        <v>0</v>
      </c>
      <c r="AG572" s="253">
        <v>0</v>
      </c>
      <c r="AH572" s="253">
        <v>1</v>
      </c>
      <c r="AI572" s="252" t="s">
        <v>712</v>
      </c>
      <c r="AJ572" s="164" t="s">
        <v>1645</v>
      </c>
      <c r="AK572" s="141" t="s">
        <v>703</v>
      </c>
      <c r="AL572" s="141" t="s">
        <v>530</v>
      </c>
      <c r="AM572" s="143" t="s">
        <v>705</v>
      </c>
      <c r="AN572" s="143"/>
      <c r="AO572" s="143"/>
      <c r="AP572" s="143"/>
      <c r="AQ572" s="143"/>
      <c r="AR572" s="143"/>
      <c r="AS572" s="143"/>
      <c r="AT572" s="143"/>
      <c r="AU572" s="143"/>
      <c r="AV572" s="141"/>
      <c r="AW572" s="205"/>
      <c r="AX572" s="206"/>
      <c r="AY572" s="138"/>
      <c r="AZ572" s="138"/>
      <c r="BA572" s="138"/>
      <c r="BB572" s="138"/>
      <c r="BC572" s="138"/>
      <c r="BD572" s="138"/>
      <c r="BE572" s="138"/>
    </row>
    <row r="573" spans="1:57" s="139" customFormat="1" ht="58">
      <c r="A573" s="140" t="s">
        <v>6</v>
      </c>
      <c r="B573" s="129">
        <v>571</v>
      </c>
      <c r="C573" s="129" t="s">
        <v>1646</v>
      </c>
      <c r="D573" s="253" t="s">
        <v>3095</v>
      </c>
      <c r="E573" s="252" t="s">
        <v>1647</v>
      </c>
      <c r="F573" s="252" t="s">
        <v>1648</v>
      </c>
      <c r="G573" s="141" t="s">
        <v>703</v>
      </c>
      <c r="H573" s="141" t="s">
        <v>1641</v>
      </c>
      <c r="I573" s="141" t="s">
        <v>1642</v>
      </c>
      <c r="J573" s="253" t="s">
        <v>836</v>
      </c>
      <c r="K573" s="253" t="s">
        <v>836</v>
      </c>
      <c r="L573" s="129" t="s">
        <v>703</v>
      </c>
      <c r="M573" s="129" t="s">
        <v>712</v>
      </c>
      <c r="N573" s="129">
        <v>100</v>
      </c>
      <c r="O573" s="129" t="s">
        <v>996</v>
      </c>
      <c r="P573" s="129" t="s">
        <v>703</v>
      </c>
      <c r="Q573" s="129">
        <v>8</v>
      </c>
      <c r="R573" s="141">
        <v>14</v>
      </c>
      <c r="S573" s="141">
        <v>14</v>
      </c>
      <c r="T573" s="252">
        <v>1</v>
      </c>
      <c r="U573" s="141" t="s">
        <v>713</v>
      </c>
      <c r="V573" s="141" t="s">
        <v>1643</v>
      </c>
      <c r="W573" s="252" t="s">
        <v>1644</v>
      </c>
      <c r="X573" s="141" t="s">
        <v>703</v>
      </c>
      <c r="Y573" s="141" t="s">
        <v>715</v>
      </c>
      <c r="Z573" s="129" t="s">
        <v>715</v>
      </c>
      <c r="AA573" s="252">
        <v>1</v>
      </c>
      <c r="AB573" s="252" t="s">
        <v>703</v>
      </c>
      <c r="AC573" s="141" t="s">
        <v>703</v>
      </c>
      <c r="AD573" s="141" t="s">
        <v>703</v>
      </c>
      <c r="AE573" s="141" t="s">
        <v>703</v>
      </c>
      <c r="AF573" s="253">
        <v>0</v>
      </c>
      <c r="AG573" s="253">
        <v>0</v>
      </c>
      <c r="AH573" s="253">
        <v>1</v>
      </c>
      <c r="AI573" s="252" t="s">
        <v>712</v>
      </c>
      <c r="AJ573" s="164" t="s">
        <v>1649</v>
      </c>
      <c r="AK573" s="141" t="s">
        <v>703</v>
      </c>
      <c r="AL573" s="141" t="s">
        <v>1650</v>
      </c>
      <c r="AM573" s="143" t="s">
        <v>705</v>
      </c>
      <c r="AN573" s="143"/>
      <c r="AO573" s="143"/>
      <c r="AP573" s="143"/>
      <c r="AQ573" s="143"/>
      <c r="AR573" s="143"/>
      <c r="AS573" s="143"/>
      <c r="AT573" s="143"/>
      <c r="AU573" s="143"/>
      <c r="AV573" s="141"/>
      <c r="AW573" s="205"/>
      <c r="AX573" s="206"/>
      <c r="AY573" s="138"/>
      <c r="AZ573" s="138"/>
      <c r="BA573" s="138"/>
      <c r="BB573" s="138"/>
      <c r="BC573" s="138"/>
      <c r="BD573" s="138"/>
      <c r="BE573" s="138"/>
    </row>
    <row r="574" spans="1:57" s="139" customFormat="1" ht="72">
      <c r="A574" s="140" t="s">
        <v>6</v>
      </c>
      <c r="B574" s="129">
        <v>572</v>
      </c>
      <c r="C574" s="129" t="s">
        <v>1638</v>
      </c>
      <c r="D574" s="253" t="s">
        <v>3095</v>
      </c>
      <c r="E574" s="252" t="s">
        <v>1651</v>
      </c>
      <c r="F574" s="252" t="s">
        <v>1652</v>
      </c>
      <c r="G574" s="141" t="s">
        <v>703</v>
      </c>
      <c r="H574" s="141" t="s">
        <v>1641</v>
      </c>
      <c r="I574" s="141" t="s">
        <v>1642</v>
      </c>
      <c r="J574" s="253" t="s">
        <v>836</v>
      </c>
      <c r="K574" s="253" t="s">
        <v>836</v>
      </c>
      <c r="L574" s="129" t="s">
        <v>703</v>
      </c>
      <c r="M574" s="129" t="s">
        <v>712</v>
      </c>
      <c r="N574" s="129">
        <v>100</v>
      </c>
      <c r="O574" s="129" t="s">
        <v>996</v>
      </c>
      <c r="P574" s="129" t="s">
        <v>703</v>
      </c>
      <c r="Q574" s="129">
        <v>8</v>
      </c>
      <c r="R574" s="141">
        <v>13</v>
      </c>
      <c r="S574" s="141">
        <v>13</v>
      </c>
      <c r="T574" s="252">
        <v>1</v>
      </c>
      <c r="U574" s="141" t="s">
        <v>713</v>
      </c>
      <c r="V574" s="141" t="s">
        <v>1643</v>
      </c>
      <c r="W574" s="252" t="s">
        <v>1644</v>
      </c>
      <c r="X574" s="141" t="s">
        <v>703</v>
      </c>
      <c r="Y574" s="141" t="s">
        <v>715</v>
      </c>
      <c r="Z574" s="129" t="s">
        <v>715</v>
      </c>
      <c r="AA574" s="252">
        <v>1</v>
      </c>
      <c r="AB574" s="252" t="s">
        <v>703</v>
      </c>
      <c r="AC574" s="141" t="s">
        <v>703</v>
      </c>
      <c r="AD574" s="141" t="s">
        <v>703</v>
      </c>
      <c r="AE574" s="141" t="s">
        <v>703</v>
      </c>
      <c r="AF574" s="253">
        <v>0</v>
      </c>
      <c r="AG574" s="253">
        <v>0</v>
      </c>
      <c r="AH574" s="253">
        <v>1</v>
      </c>
      <c r="AI574" s="252" t="s">
        <v>712</v>
      </c>
      <c r="AJ574" s="164" t="s">
        <v>1653</v>
      </c>
      <c r="AK574" s="141" t="s">
        <v>703</v>
      </c>
      <c r="AL574" s="141" t="s">
        <v>1654</v>
      </c>
      <c r="AM574" s="143" t="s">
        <v>705</v>
      </c>
      <c r="AN574" s="143"/>
      <c r="AO574" s="143"/>
      <c r="AP574" s="143"/>
      <c r="AQ574" s="143"/>
      <c r="AR574" s="143"/>
      <c r="AS574" s="143"/>
      <c r="AT574" s="143"/>
      <c r="AU574" s="143"/>
      <c r="AV574" s="141"/>
      <c r="AW574" s="205"/>
      <c r="AX574" s="206"/>
      <c r="AY574" s="138"/>
      <c r="AZ574" s="138"/>
      <c r="BA574" s="138"/>
      <c r="BB574" s="138"/>
      <c r="BC574" s="138"/>
      <c r="BD574" s="138"/>
      <c r="BE574" s="138"/>
    </row>
    <row r="575" spans="1:57" s="139" customFormat="1" ht="58">
      <c r="A575" s="140" t="s">
        <v>6</v>
      </c>
      <c r="B575" s="129">
        <v>573</v>
      </c>
      <c r="C575" s="129" t="s">
        <v>1646</v>
      </c>
      <c r="D575" s="253" t="s">
        <v>3095</v>
      </c>
      <c r="E575" s="252" t="s">
        <v>1655</v>
      </c>
      <c r="F575" s="252" t="s">
        <v>1656</v>
      </c>
      <c r="G575" s="141" t="s">
        <v>703</v>
      </c>
      <c r="H575" s="141" t="s">
        <v>1641</v>
      </c>
      <c r="I575" s="141" t="s">
        <v>1642</v>
      </c>
      <c r="J575" s="253" t="s">
        <v>836</v>
      </c>
      <c r="K575" s="253" t="s">
        <v>836</v>
      </c>
      <c r="L575" s="129" t="s">
        <v>703</v>
      </c>
      <c r="M575" s="129" t="s">
        <v>712</v>
      </c>
      <c r="N575" s="129">
        <v>100</v>
      </c>
      <c r="O575" s="129" t="s">
        <v>996</v>
      </c>
      <c r="P575" s="129" t="s">
        <v>703</v>
      </c>
      <c r="Q575" s="129">
        <v>8</v>
      </c>
      <c r="R575" s="141">
        <v>12</v>
      </c>
      <c r="S575" s="141">
        <v>12</v>
      </c>
      <c r="T575" s="252">
        <v>1</v>
      </c>
      <c r="U575" s="141" t="s">
        <v>713</v>
      </c>
      <c r="V575" s="141" t="s">
        <v>1643</v>
      </c>
      <c r="W575" s="252" t="s">
        <v>1644</v>
      </c>
      <c r="X575" s="141" t="s">
        <v>703</v>
      </c>
      <c r="Y575" s="141" t="s">
        <v>715</v>
      </c>
      <c r="Z575" s="129" t="s">
        <v>715</v>
      </c>
      <c r="AA575" s="252">
        <v>1</v>
      </c>
      <c r="AB575" s="252" t="s">
        <v>703</v>
      </c>
      <c r="AC575" s="141" t="s">
        <v>703</v>
      </c>
      <c r="AD575" s="141" t="s">
        <v>703</v>
      </c>
      <c r="AE575" s="141" t="s">
        <v>703</v>
      </c>
      <c r="AF575" s="253">
        <v>0</v>
      </c>
      <c r="AG575" s="253">
        <v>0</v>
      </c>
      <c r="AH575" s="253">
        <v>1</v>
      </c>
      <c r="AI575" s="252" t="s">
        <v>712</v>
      </c>
      <c r="AJ575" s="164" t="s">
        <v>1657</v>
      </c>
      <c r="AK575" s="141" t="s">
        <v>703</v>
      </c>
      <c r="AL575" s="141" t="s">
        <v>1658</v>
      </c>
      <c r="AM575" s="143" t="s">
        <v>705</v>
      </c>
      <c r="AN575" s="143"/>
      <c r="AO575" s="143"/>
      <c r="AP575" s="143"/>
      <c r="AQ575" s="143"/>
      <c r="AR575" s="143"/>
      <c r="AS575" s="143"/>
      <c r="AT575" s="143"/>
      <c r="AU575" s="143"/>
      <c r="AV575" s="143"/>
      <c r="AW575" s="144"/>
      <c r="AX575" s="145"/>
      <c r="AY575" s="138"/>
      <c r="AZ575" s="138"/>
      <c r="BA575" s="138"/>
      <c r="BB575" s="138"/>
      <c r="BC575" s="138"/>
      <c r="BD575" s="138"/>
      <c r="BE575" s="138"/>
    </row>
    <row r="576" spans="1:57" s="139" customFormat="1" ht="100">
      <c r="A576" s="140" t="s">
        <v>6</v>
      </c>
      <c r="B576" s="129">
        <v>574</v>
      </c>
      <c r="C576" s="141" t="s">
        <v>1659</v>
      </c>
      <c r="D576" s="253" t="s">
        <v>3151</v>
      </c>
      <c r="E576" s="141" t="s">
        <v>1660</v>
      </c>
      <c r="F576" s="141" t="s">
        <v>1661</v>
      </c>
      <c r="G576" s="141" t="s">
        <v>703</v>
      </c>
      <c r="H576" s="143" t="s">
        <v>1662</v>
      </c>
      <c r="I576" s="160" t="s">
        <v>1829</v>
      </c>
      <c r="J576" s="141" t="s">
        <v>1663</v>
      </c>
      <c r="K576" s="141" t="s">
        <v>1664</v>
      </c>
      <c r="L576" s="141" t="s">
        <v>1665</v>
      </c>
      <c r="M576" s="141" t="s">
        <v>1666</v>
      </c>
      <c r="N576" s="141" t="s">
        <v>534</v>
      </c>
      <c r="O576" s="141">
        <v>2</v>
      </c>
      <c r="P576" s="141" t="s">
        <v>1666</v>
      </c>
      <c r="Q576" s="141">
        <v>8</v>
      </c>
      <c r="R576" s="143">
        <v>7</v>
      </c>
      <c r="S576" s="143">
        <v>0</v>
      </c>
      <c r="T576" s="141">
        <v>8</v>
      </c>
      <c r="U576" s="141" t="s">
        <v>1521</v>
      </c>
      <c r="V576" s="141" t="s">
        <v>535</v>
      </c>
      <c r="W576" s="141">
        <v>2000</v>
      </c>
      <c r="X576" s="141" t="s">
        <v>1666</v>
      </c>
      <c r="Y576" s="141" t="s">
        <v>1667</v>
      </c>
      <c r="Z576" s="141" t="s">
        <v>703</v>
      </c>
      <c r="AA576" s="141">
        <v>1</v>
      </c>
      <c r="AB576" s="141" t="s">
        <v>837</v>
      </c>
      <c r="AC576" s="141" t="s">
        <v>1666</v>
      </c>
      <c r="AD576" s="141" t="s">
        <v>837</v>
      </c>
      <c r="AE576" s="141" t="s">
        <v>1666</v>
      </c>
      <c r="AF576" s="141">
        <v>0</v>
      </c>
      <c r="AG576" s="141">
        <v>0</v>
      </c>
      <c r="AH576" s="141">
        <v>255</v>
      </c>
      <c r="AI576" s="141" t="s">
        <v>712</v>
      </c>
      <c r="AJ576" s="164" t="s">
        <v>1668</v>
      </c>
      <c r="AK576" s="141" t="s">
        <v>837</v>
      </c>
      <c r="AL576" s="141" t="s">
        <v>1669</v>
      </c>
      <c r="AM576" s="143" t="s">
        <v>705</v>
      </c>
      <c r="AN576" s="160" t="s">
        <v>1889</v>
      </c>
      <c r="AO576" s="143"/>
      <c r="AP576" s="143"/>
      <c r="AQ576" s="143"/>
      <c r="AR576" s="143" t="s">
        <v>705</v>
      </c>
      <c r="AS576" s="143"/>
      <c r="AT576" s="143"/>
      <c r="AU576" s="143"/>
      <c r="AV576" s="143"/>
      <c r="AW576" s="144"/>
      <c r="AX576" s="145"/>
      <c r="AY576" s="138"/>
      <c r="AZ576" s="138"/>
      <c r="BA576" s="138"/>
      <c r="BB576" s="138"/>
      <c r="BC576" s="138"/>
      <c r="BD576" s="138"/>
      <c r="BE576" s="138"/>
    </row>
    <row r="577" spans="1:57" s="139" customFormat="1" ht="100">
      <c r="A577" s="140" t="s">
        <v>6</v>
      </c>
      <c r="B577" s="129">
        <v>575</v>
      </c>
      <c r="C577" s="141" t="s">
        <v>1659</v>
      </c>
      <c r="D577" s="253" t="s">
        <v>3105</v>
      </c>
      <c r="E577" s="141" t="s">
        <v>1670</v>
      </c>
      <c r="F577" s="141" t="s">
        <v>1671</v>
      </c>
      <c r="G577" s="141" t="s">
        <v>703</v>
      </c>
      <c r="H577" s="143" t="s">
        <v>1662</v>
      </c>
      <c r="I577" s="160" t="s">
        <v>1829</v>
      </c>
      <c r="J577" s="141" t="s">
        <v>1663</v>
      </c>
      <c r="K577" s="141" t="s">
        <v>1664</v>
      </c>
      <c r="L577" s="141" t="s">
        <v>1665</v>
      </c>
      <c r="M577" s="141" t="s">
        <v>1666</v>
      </c>
      <c r="N577" s="141" t="s">
        <v>534</v>
      </c>
      <c r="O577" s="141">
        <v>2</v>
      </c>
      <c r="P577" s="141" t="s">
        <v>1666</v>
      </c>
      <c r="Q577" s="141">
        <v>8</v>
      </c>
      <c r="R577" s="143">
        <v>15</v>
      </c>
      <c r="S577" s="143">
        <v>15</v>
      </c>
      <c r="T577" s="141">
        <v>1</v>
      </c>
      <c r="U577" s="141" t="s">
        <v>1521</v>
      </c>
      <c r="V577" s="141" t="s">
        <v>535</v>
      </c>
      <c r="W577" s="141">
        <v>2000</v>
      </c>
      <c r="X577" s="141" t="s">
        <v>1666</v>
      </c>
      <c r="Y577" s="141" t="s">
        <v>1672</v>
      </c>
      <c r="Z577" s="141" t="s">
        <v>703</v>
      </c>
      <c r="AA577" s="141">
        <v>1</v>
      </c>
      <c r="AB577" s="141" t="s">
        <v>837</v>
      </c>
      <c r="AC577" s="141" t="s">
        <v>1666</v>
      </c>
      <c r="AD577" s="141" t="s">
        <v>837</v>
      </c>
      <c r="AE577" s="141" t="s">
        <v>1666</v>
      </c>
      <c r="AF577" s="141">
        <v>0</v>
      </c>
      <c r="AG577" s="141">
        <v>0</v>
      </c>
      <c r="AH577" s="141">
        <v>1</v>
      </c>
      <c r="AI577" s="141" t="s">
        <v>712</v>
      </c>
      <c r="AJ577" s="164" t="s">
        <v>1673</v>
      </c>
      <c r="AK577" s="141" t="s">
        <v>837</v>
      </c>
      <c r="AL577" s="169" t="s">
        <v>1933</v>
      </c>
      <c r="AM577" s="143"/>
      <c r="AN577" s="143"/>
      <c r="AO577" s="143"/>
      <c r="AP577" s="143"/>
      <c r="AQ577" s="143"/>
      <c r="AR577" s="143"/>
      <c r="AS577" s="143"/>
      <c r="AT577" s="143"/>
      <c r="AU577" s="143"/>
      <c r="AV577" s="143"/>
      <c r="AW577" s="144"/>
      <c r="AX577" s="145" t="s">
        <v>685</v>
      </c>
      <c r="AY577" s="138"/>
      <c r="AZ577" s="138"/>
      <c r="BA577" s="138"/>
      <c r="BB577" s="138"/>
      <c r="BC577" s="138"/>
      <c r="BD577" s="138"/>
      <c r="BE577" s="138"/>
    </row>
    <row r="578" spans="1:57" s="139" customFormat="1" ht="100">
      <c r="A578" s="140" t="s">
        <v>6</v>
      </c>
      <c r="B578" s="129">
        <v>576</v>
      </c>
      <c r="C578" s="141" t="s">
        <v>1659</v>
      </c>
      <c r="D578" s="253" t="s">
        <v>3105</v>
      </c>
      <c r="E578" s="141" t="s">
        <v>1674</v>
      </c>
      <c r="F578" s="141" t="s">
        <v>1675</v>
      </c>
      <c r="G578" s="141" t="s">
        <v>703</v>
      </c>
      <c r="H578" s="143" t="s">
        <v>1662</v>
      </c>
      <c r="I578" s="160" t="s">
        <v>1829</v>
      </c>
      <c r="J578" s="141" t="s">
        <v>1663</v>
      </c>
      <c r="K578" s="141" t="s">
        <v>1664</v>
      </c>
      <c r="L578" s="141" t="s">
        <v>1665</v>
      </c>
      <c r="M578" s="141" t="s">
        <v>1666</v>
      </c>
      <c r="N578" s="141" t="s">
        <v>534</v>
      </c>
      <c r="O578" s="141">
        <v>2</v>
      </c>
      <c r="P578" s="141" t="s">
        <v>1666</v>
      </c>
      <c r="Q578" s="141">
        <v>8</v>
      </c>
      <c r="R578" s="143">
        <v>14</v>
      </c>
      <c r="S578" s="143">
        <v>14</v>
      </c>
      <c r="T578" s="141">
        <v>1</v>
      </c>
      <c r="U578" s="141" t="s">
        <v>1521</v>
      </c>
      <c r="V578" s="141" t="s">
        <v>535</v>
      </c>
      <c r="W578" s="141">
        <v>2000</v>
      </c>
      <c r="X578" s="141" t="s">
        <v>1666</v>
      </c>
      <c r="Y578" s="141" t="s">
        <v>1672</v>
      </c>
      <c r="Z578" s="141" t="s">
        <v>703</v>
      </c>
      <c r="AA578" s="141">
        <v>1</v>
      </c>
      <c r="AB578" s="141" t="s">
        <v>837</v>
      </c>
      <c r="AC578" s="141" t="s">
        <v>1666</v>
      </c>
      <c r="AD578" s="141" t="s">
        <v>837</v>
      </c>
      <c r="AE578" s="141" t="s">
        <v>1666</v>
      </c>
      <c r="AF578" s="141">
        <v>0</v>
      </c>
      <c r="AG578" s="141">
        <v>0</v>
      </c>
      <c r="AH578" s="141">
        <v>1</v>
      </c>
      <c r="AI578" s="141" t="s">
        <v>712</v>
      </c>
      <c r="AJ578" s="164" t="s">
        <v>1676</v>
      </c>
      <c r="AK578" s="141" t="s">
        <v>837</v>
      </c>
      <c r="AL578" s="169" t="s">
        <v>1934</v>
      </c>
      <c r="AM578" s="143"/>
      <c r="AN578" s="143"/>
      <c r="AO578" s="143"/>
      <c r="AP578" s="143"/>
      <c r="AQ578" s="143"/>
      <c r="AR578" s="143"/>
      <c r="AS578" s="143"/>
      <c r="AT578" s="143"/>
      <c r="AU578" s="143"/>
      <c r="AV578" s="143"/>
      <c r="AW578" s="144"/>
      <c r="AX578" s="145" t="s">
        <v>685</v>
      </c>
      <c r="AY578" s="138"/>
      <c r="AZ578" s="138"/>
      <c r="BA578" s="138"/>
      <c r="BB578" s="138"/>
      <c r="BC578" s="138"/>
      <c r="BD578" s="138"/>
      <c r="BE578" s="138"/>
    </row>
    <row r="579" spans="1:57" s="139" customFormat="1" ht="100">
      <c r="A579" s="140" t="s">
        <v>6</v>
      </c>
      <c r="B579" s="129">
        <v>577</v>
      </c>
      <c r="C579" s="141" t="s">
        <v>1659</v>
      </c>
      <c r="D579" s="253" t="s">
        <v>3095</v>
      </c>
      <c r="E579" s="141" t="s">
        <v>1677</v>
      </c>
      <c r="F579" s="141" t="s">
        <v>1678</v>
      </c>
      <c r="G579" s="141" t="s">
        <v>703</v>
      </c>
      <c r="H579" s="143" t="s">
        <v>1662</v>
      </c>
      <c r="I579" s="160" t="s">
        <v>1829</v>
      </c>
      <c r="J579" s="141" t="s">
        <v>1663</v>
      </c>
      <c r="K579" s="141" t="s">
        <v>1664</v>
      </c>
      <c r="L579" s="141" t="s">
        <v>1665</v>
      </c>
      <c r="M579" s="141" t="s">
        <v>1666</v>
      </c>
      <c r="N579" s="141" t="s">
        <v>534</v>
      </c>
      <c r="O579" s="141">
        <v>2</v>
      </c>
      <c r="P579" s="141" t="s">
        <v>1666</v>
      </c>
      <c r="Q579" s="141">
        <v>8</v>
      </c>
      <c r="R579" s="143">
        <v>13</v>
      </c>
      <c r="S579" s="143">
        <v>13</v>
      </c>
      <c r="T579" s="141">
        <v>1</v>
      </c>
      <c r="U579" s="141" t="s">
        <v>1521</v>
      </c>
      <c r="V579" s="141" t="s">
        <v>535</v>
      </c>
      <c r="W579" s="141">
        <v>7000</v>
      </c>
      <c r="X579" s="141" t="s">
        <v>1666</v>
      </c>
      <c r="Y579" s="141" t="s">
        <v>1672</v>
      </c>
      <c r="Z579" s="141" t="s">
        <v>703</v>
      </c>
      <c r="AA579" s="141">
        <v>1</v>
      </c>
      <c r="AB579" s="141" t="s">
        <v>837</v>
      </c>
      <c r="AC579" s="141" t="s">
        <v>1666</v>
      </c>
      <c r="AD579" s="141" t="s">
        <v>837</v>
      </c>
      <c r="AE579" s="141" t="s">
        <v>1666</v>
      </c>
      <c r="AF579" s="141">
        <v>0</v>
      </c>
      <c r="AG579" s="141">
        <v>0</v>
      </c>
      <c r="AH579" s="141">
        <v>1</v>
      </c>
      <c r="AI579" s="141" t="s">
        <v>712</v>
      </c>
      <c r="AJ579" s="164" t="s">
        <v>1673</v>
      </c>
      <c r="AK579" s="141" t="s">
        <v>837</v>
      </c>
      <c r="AL579" s="169" t="s">
        <v>1935</v>
      </c>
      <c r="AM579" s="143" t="s">
        <v>705</v>
      </c>
      <c r="AN579" s="143"/>
      <c r="AO579" s="143"/>
      <c r="AP579" s="143"/>
      <c r="AQ579" s="143"/>
      <c r="AR579" s="143"/>
      <c r="AS579" s="143"/>
      <c r="AT579" s="143"/>
      <c r="AU579" s="143"/>
      <c r="AV579" s="143"/>
      <c r="AW579" s="144"/>
      <c r="AX579" s="145"/>
      <c r="AY579" s="138"/>
      <c r="AZ579" s="138"/>
      <c r="BA579" s="138"/>
      <c r="BB579" s="138"/>
      <c r="BC579" s="138"/>
      <c r="BD579" s="138"/>
      <c r="BE579" s="138"/>
    </row>
    <row r="580" spans="1:57" s="139" customFormat="1" ht="100">
      <c r="A580" s="140" t="s">
        <v>6</v>
      </c>
      <c r="B580" s="129">
        <v>578</v>
      </c>
      <c r="C580" s="141" t="s">
        <v>1659</v>
      </c>
      <c r="D580" s="253" t="s">
        <v>3105</v>
      </c>
      <c r="E580" s="141" t="s">
        <v>1679</v>
      </c>
      <c r="F580" s="141" t="s">
        <v>1680</v>
      </c>
      <c r="G580" s="141" t="s">
        <v>703</v>
      </c>
      <c r="H580" s="143" t="s">
        <v>1662</v>
      </c>
      <c r="I580" s="160" t="s">
        <v>1829</v>
      </c>
      <c r="J580" s="141" t="s">
        <v>1663</v>
      </c>
      <c r="K580" s="141" t="s">
        <v>1664</v>
      </c>
      <c r="L580" s="141" t="s">
        <v>1665</v>
      </c>
      <c r="M580" s="141" t="s">
        <v>1666</v>
      </c>
      <c r="N580" s="141" t="s">
        <v>534</v>
      </c>
      <c r="O580" s="141">
        <v>2</v>
      </c>
      <c r="P580" s="141" t="s">
        <v>1666</v>
      </c>
      <c r="Q580" s="141">
        <v>8</v>
      </c>
      <c r="R580" s="143">
        <v>12</v>
      </c>
      <c r="S580" s="143">
        <v>12</v>
      </c>
      <c r="T580" s="141">
        <v>1</v>
      </c>
      <c r="U580" s="141" t="s">
        <v>1521</v>
      </c>
      <c r="V580" s="141" t="s">
        <v>535</v>
      </c>
      <c r="W580" s="141">
        <v>2000</v>
      </c>
      <c r="X580" s="141" t="s">
        <v>1666</v>
      </c>
      <c r="Y580" s="141" t="s">
        <v>1672</v>
      </c>
      <c r="Z580" s="141" t="s">
        <v>703</v>
      </c>
      <c r="AA580" s="141">
        <v>1</v>
      </c>
      <c r="AB580" s="141" t="s">
        <v>837</v>
      </c>
      <c r="AC580" s="141" t="s">
        <v>1666</v>
      </c>
      <c r="AD580" s="141" t="s">
        <v>837</v>
      </c>
      <c r="AE580" s="141" t="s">
        <v>1666</v>
      </c>
      <c r="AF580" s="141">
        <v>0</v>
      </c>
      <c r="AG580" s="141">
        <v>0</v>
      </c>
      <c r="AH580" s="141">
        <v>1</v>
      </c>
      <c r="AI580" s="141" t="s">
        <v>712</v>
      </c>
      <c r="AJ580" s="164" t="s">
        <v>1676</v>
      </c>
      <c r="AK580" s="141" t="s">
        <v>837</v>
      </c>
      <c r="AL580" s="169" t="s">
        <v>1936</v>
      </c>
      <c r="AM580" s="143"/>
      <c r="AN580" s="143"/>
      <c r="AO580" s="143"/>
      <c r="AP580" s="143"/>
      <c r="AQ580" s="143"/>
      <c r="AR580" s="143"/>
      <c r="AS580" s="143"/>
      <c r="AT580" s="143"/>
      <c r="AU580" s="143"/>
      <c r="AV580" s="143"/>
      <c r="AW580" s="144"/>
      <c r="AX580" s="145" t="s">
        <v>685</v>
      </c>
      <c r="AY580" s="138"/>
      <c r="AZ580" s="138"/>
      <c r="BA580" s="138"/>
      <c r="BB580" s="138"/>
      <c r="BC580" s="138"/>
      <c r="BD580" s="138"/>
      <c r="BE580" s="138"/>
    </row>
    <row r="581" spans="1:57" s="139" customFormat="1" ht="100">
      <c r="A581" s="140" t="s">
        <v>6</v>
      </c>
      <c r="B581" s="129">
        <v>579</v>
      </c>
      <c r="C581" s="141" t="s">
        <v>1659</v>
      </c>
      <c r="D581" s="253" t="s">
        <v>3096</v>
      </c>
      <c r="E581" s="141" t="s">
        <v>1681</v>
      </c>
      <c r="F581" s="141" t="s">
        <v>1682</v>
      </c>
      <c r="G581" s="141" t="s">
        <v>703</v>
      </c>
      <c r="H581" s="143" t="s">
        <v>1662</v>
      </c>
      <c r="I581" s="160" t="s">
        <v>1829</v>
      </c>
      <c r="J581" s="141" t="s">
        <v>1663</v>
      </c>
      <c r="K581" s="141" t="s">
        <v>1664</v>
      </c>
      <c r="L581" s="141" t="s">
        <v>1665</v>
      </c>
      <c r="M581" s="141" t="s">
        <v>1666</v>
      </c>
      <c r="N581" s="141" t="s">
        <v>534</v>
      </c>
      <c r="O581" s="141">
        <v>2</v>
      </c>
      <c r="P581" s="141" t="s">
        <v>1666</v>
      </c>
      <c r="Q581" s="141">
        <v>8</v>
      </c>
      <c r="R581" s="143">
        <v>11</v>
      </c>
      <c r="S581" s="143">
        <v>11</v>
      </c>
      <c r="T581" s="141">
        <v>1</v>
      </c>
      <c r="U581" s="141" t="s">
        <v>1521</v>
      </c>
      <c r="V581" s="141" t="s">
        <v>535</v>
      </c>
      <c r="W581" s="141">
        <v>2000</v>
      </c>
      <c r="X581" s="141" t="s">
        <v>1666</v>
      </c>
      <c r="Y581" s="141" t="s">
        <v>1672</v>
      </c>
      <c r="Z581" s="141" t="s">
        <v>703</v>
      </c>
      <c r="AA581" s="141">
        <v>1</v>
      </c>
      <c r="AB581" s="141" t="s">
        <v>837</v>
      </c>
      <c r="AC581" s="141" t="s">
        <v>1666</v>
      </c>
      <c r="AD581" s="141" t="s">
        <v>837</v>
      </c>
      <c r="AE581" s="141" t="s">
        <v>1666</v>
      </c>
      <c r="AF581" s="141">
        <v>0</v>
      </c>
      <c r="AG581" s="141">
        <v>0</v>
      </c>
      <c r="AH581" s="141">
        <v>1</v>
      </c>
      <c r="AI581" s="141" t="s">
        <v>712</v>
      </c>
      <c r="AJ581" s="164" t="s">
        <v>1676</v>
      </c>
      <c r="AK581" s="141" t="s">
        <v>837</v>
      </c>
      <c r="AL581" s="141" t="s">
        <v>1683</v>
      </c>
      <c r="AM581" s="143" t="s">
        <v>705</v>
      </c>
      <c r="AN581" s="143"/>
      <c r="AO581" s="143"/>
      <c r="AP581" s="143"/>
      <c r="AQ581" s="143"/>
      <c r="AR581" s="143" t="s">
        <v>705</v>
      </c>
      <c r="AS581" s="143"/>
      <c r="AT581" s="143"/>
      <c r="AU581" s="143"/>
      <c r="AV581" s="143"/>
      <c r="AW581" s="144"/>
      <c r="AX581" s="145"/>
      <c r="AY581" s="138"/>
      <c r="AZ581" s="138"/>
      <c r="BA581" s="138"/>
      <c r="BB581" s="138"/>
      <c r="BC581" s="138"/>
      <c r="BD581" s="138"/>
      <c r="BE581" s="138"/>
    </row>
    <row r="582" spans="1:57" s="139" customFormat="1" ht="100">
      <c r="A582" s="140" t="s">
        <v>6</v>
      </c>
      <c r="B582" s="129">
        <v>580</v>
      </c>
      <c r="C582" s="141" t="s">
        <v>1659</v>
      </c>
      <c r="D582" s="253" t="s">
        <v>3105</v>
      </c>
      <c r="E582" s="141" t="s">
        <v>1684</v>
      </c>
      <c r="F582" s="141" t="s">
        <v>1685</v>
      </c>
      <c r="G582" s="141" t="s">
        <v>703</v>
      </c>
      <c r="H582" s="143" t="s">
        <v>1662</v>
      </c>
      <c r="I582" s="160" t="s">
        <v>1829</v>
      </c>
      <c r="J582" s="141" t="s">
        <v>1663</v>
      </c>
      <c r="K582" s="141" t="s">
        <v>1664</v>
      </c>
      <c r="L582" s="141" t="s">
        <v>1665</v>
      </c>
      <c r="M582" s="141" t="s">
        <v>1666</v>
      </c>
      <c r="N582" s="141" t="s">
        <v>534</v>
      </c>
      <c r="O582" s="141">
        <v>2</v>
      </c>
      <c r="P582" s="141" t="s">
        <v>1666</v>
      </c>
      <c r="Q582" s="141">
        <v>8</v>
      </c>
      <c r="R582" s="143">
        <v>10</v>
      </c>
      <c r="S582" s="143">
        <v>10</v>
      </c>
      <c r="T582" s="141">
        <v>1</v>
      </c>
      <c r="U582" s="141" t="s">
        <v>1521</v>
      </c>
      <c r="V582" s="141" t="s">
        <v>535</v>
      </c>
      <c r="W582" s="141">
        <v>2000</v>
      </c>
      <c r="X582" s="141" t="s">
        <v>1666</v>
      </c>
      <c r="Y582" s="141" t="s">
        <v>1672</v>
      </c>
      <c r="Z582" s="141" t="s">
        <v>703</v>
      </c>
      <c r="AA582" s="141">
        <v>1</v>
      </c>
      <c r="AB582" s="141" t="s">
        <v>837</v>
      </c>
      <c r="AC582" s="141" t="s">
        <v>1666</v>
      </c>
      <c r="AD582" s="141" t="s">
        <v>837</v>
      </c>
      <c r="AE582" s="141" t="s">
        <v>1666</v>
      </c>
      <c r="AF582" s="141">
        <v>0</v>
      </c>
      <c r="AG582" s="141">
        <v>0</v>
      </c>
      <c r="AH582" s="141">
        <v>1</v>
      </c>
      <c r="AI582" s="141" t="s">
        <v>712</v>
      </c>
      <c r="AJ582" s="164" t="s">
        <v>1676</v>
      </c>
      <c r="AK582" s="141" t="s">
        <v>837</v>
      </c>
      <c r="AL582" s="169" t="s">
        <v>1936</v>
      </c>
      <c r="AM582" s="143"/>
      <c r="AN582" s="143"/>
      <c r="AO582" s="143"/>
      <c r="AP582" s="143"/>
      <c r="AQ582" s="143"/>
      <c r="AR582" s="143"/>
      <c r="AS582" s="143"/>
      <c r="AT582" s="143"/>
      <c r="AU582" s="143"/>
      <c r="AV582" s="143"/>
      <c r="AW582" s="144"/>
      <c r="AX582" s="145" t="s">
        <v>685</v>
      </c>
      <c r="AY582" s="138"/>
      <c r="AZ582" s="138"/>
      <c r="BA582" s="138"/>
      <c r="BB582" s="138"/>
      <c r="BC582" s="138"/>
      <c r="BD582" s="138"/>
      <c r="BE582" s="138"/>
    </row>
    <row r="583" spans="1:57" s="139" customFormat="1" ht="100">
      <c r="A583" s="140" t="s">
        <v>6</v>
      </c>
      <c r="B583" s="129">
        <v>581</v>
      </c>
      <c r="C583" s="141" t="s">
        <v>1659</v>
      </c>
      <c r="D583" s="253" t="s">
        <v>3095</v>
      </c>
      <c r="E583" s="141" t="s">
        <v>1686</v>
      </c>
      <c r="F583" s="141" t="s">
        <v>1687</v>
      </c>
      <c r="G583" s="141" t="s">
        <v>703</v>
      </c>
      <c r="H583" s="143" t="s">
        <v>1662</v>
      </c>
      <c r="I583" s="160" t="s">
        <v>1829</v>
      </c>
      <c r="J583" s="141" t="s">
        <v>1663</v>
      </c>
      <c r="K583" s="141" t="s">
        <v>1664</v>
      </c>
      <c r="L583" s="141" t="s">
        <v>1665</v>
      </c>
      <c r="M583" s="141" t="s">
        <v>1666</v>
      </c>
      <c r="N583" s="141" t="s">
        <v>534</v>
      </c>
      <c r="O583" s="141">
        <v>2</v>
      </c>
      <c r="P583" s="141" t="s">
        <v>1666</v>
      </c>
      <c r="Q583" s="141">
        <v>8</v>
      </c>
      <c r="R583" s="143">
        <v>9</v>
      </c>
      <c r="S583" s="143">
        <v>9</v>
      </c>
      <c r="T583" s="141">
        <v>1</v>
      </c>
      <c r="U583" s="141" t="s">
        <v>1521</v>
      </c>
      <c r="V583" s="141" t="s">
        <v>535</v>
      </c>
      <c r="W583" s="141">
        <v>2000</v>
      </c>
      <c r="X583" s="141" t="s">
        <v>1666</v>
      </c>
      <c r="Y583" s="141" t="s">
        <v>1672</v>
      </c>
      <c r="Z583" s="141" t="s">
        <v>703</v>
      </c>
      <c r="AA583" s="141">
        <v>1</v>
      </c>
      <c r="AB583" s="141" t="s">
        <v>837</v>
      </c>
      <c r="AC583" s="141" t="s">
        <v>1666</v>
      </c>
      <c r="AD583" s="141" t="s">
        <v>837</v>
      </c>
      <c r="AE583" s="141" t="s">
        <v>1666</v>
      </c>
      <c r="AF583" s="141">
        <v>0</v>
      </c>
      <c r="AG583" s="141">
        <v>0</v>
      </c>
      <c r="AH583" s="141">
        <v>1</v>
      </c>
      <c r="AI583" s="141" t="s">
        <v>712</v>
      </c>
      <c r="AJ583" s="164" t="s">
        <v>1676</v>
      </c>
      <c r="AK583" s="141" t="s">
        <v>837</v>
      </c>
      <c r="AL583" s="141" t="s">
        <v>594</v>
      </c>
      <c r="AM583" s="143" t="s">
        <v>705</v>
      </c>
      <c r="AN583" s="143"/>
      <c r="AO583" s="143"/>
      <c r="AP583" s="143"/>
      <c r="AQ583" s="143"/>
      <c r="AR583" s="143"/>
      <c r="AS583" s="143"/>
      <c r="AT583" s="143"/>
      <c r="AU583" s="143"/>
      <c r="AV583" s="143"/>
      <c r="AW583" s="144"/>
      <c r="AX583" s="145"/>
      <c r="AY583" s="138"/>
      <c r="AZ583" s="138"/>
      <c r="BA583" s="138"/>
      <c r="BB583" s="138"/>
      <c r="BC583" s="138"/>
      <c r="BD583" s="138"/>
      <c r="BE583" s="138"/>
    </row>
    <row r="584" spans="1:57" s="139" customFormat="1" ht="100">
      <c r="A584" s="140" t="s">
        <v>6</v>
      </c>
      <c r="B584" s="129">
        <v>582</v>
      </c>
      <c r="C584" s="141" t="s">
        <v>1659</v>
      </c>
      <c r="D584" s="253" t="s">
        <v>3095</v>
      </c>
      <c r="E584" s="141" t="s">
        <v>1688</v>
      </c>
      <c r="F584" s="203" t="s">
        <v>532</v>
      </c>
      <c r="G584" s="141" t="s">
        <v>703</v>
      </c>
      <c r="H584" s="143" t="s">
        <v>1689</v>
      </c>
      <c r="I584" s="160" t="s">
        <v>1829</v>
      </c>
      <c r="J584" s="141" t="s">
        <v>1663</v>
      </c>
      <c r="K584" s="141" t="s">
        <v>1663</v>
      </c>
      <c r="L584" s="141" t="s">
        <v>1665</v>
      </c>
      <c r="M584" s="141" t="s">
        <v>837</v>
      </c>
      <c r="N584" s="141" t="s">
        <v>1690</v>
      </c>
      <c r="O584" s="141">
        <v>2</v>
      </c>
      <c r="P584" s="141" t="s">
        <v>837</v>
      </c>
      <c r="Q584" s="141">
        <v>8</v>
      </c>
      <c r="R584" s="143">
        <v>27</v>
      </c>
      <c r="S584" s="143">
        <v>26</v>
      </c>
      <c r="T584" s="141">
        <v>2</v>
      </c>
      <c r="U584" s="141" t="s">
        <v>1521</v>
      </c>
      <c r="V584" s="141" t="s">
        <v>535</v>
      </c>
      <c r="W584" s="141">
        <v>2000</v>
      </c>
      <c r="X584" s="141" t="s">
        <v>837</v>
      </c>
      <c r="Y584" s="141" t="s">
        <v>1691</v>
      </c>
      <c r="Z584" s="141" t="s">
        <v>837</v>
      </c>
      <c r="AA584" s="141">
        <v>1</v>
      </c>
      <c r="AB584" s="141" t="s">
        <v>837</v>
      </c>
      <c r="AC584" s="141" t="s">
        <v>837</v>
      </c>
      <c r="AD584" s="141" t="s">
        <v>837</v>
      </c>
      <c r="AE584" s="141" t="s">
        <v>837</v>
      </c>
      <c r="AF584" s="141">
        <v>0</v>
      </c>
      <c r="AG584" s="141">
        <v>0</v>
      </c>
      <c r="AH584" s="141">
        <v>3</v>
      </c>
      <c r="AI584" s="141" t="s">
        <v>712</v>
      </c>
      <c r="AJ584" s="164" t="s">
        <v>2189</v>
      </c>
      <c r="AK584" s="141" t="s">
        <v>837</v>
      </c>
      <c r="AL584" s="141" t="s">
        <v>1692</v>
      </c>
      <c r="AM584" s="143" t="s">
        <v>705</v>
      </c>
      <c r="AN584" s="143"/>
      <c r="AO584" s="143"/>
      <c r="AP584" s="143"/>
      <c r="AQ584" s="143"/>
      <c r="AR584" s="143"/>
      <c r="AS584" s="143"/>
      <c r="AT584" s="143"/>
      <c r="AU584" s="143"/>
      <c r="AV584" s="143"/>
      <c r="AW584" s="144"/>
      <c r="AX584" s="145"/>
      <c r="AY584" s="138"/>
      <c r="AZ584" s="138"/>
      <c r="BA584" s="138"/>
      <c r="BB584" s="138"/>
      <c r="BC584" s="138"/>
      <c r="BD584" s="138"/>
      <c r="BE584" s="138"/>
    </row>
    <row r="585" spans="1:57" s="139" customFormat="1" ht="100">
      <c r="A585" s="140" t="s">
        <v>6</v>
      </c>
      <c r="B585" s="129">
        <v>583</v>
      </c>
      <c r="C585" s="141" t="s">
        <v>1659</v>
      </c>
      <c r="D585" s="253" t="s">
        <v>3095</v>
      </c>
      <c r="E585" s="141" t="s">
        <v>1693</v>
      </c>
      <c r="F585" s="203" t="s">
        <v>533</v>
      </c>
      <c r="G585" s="141" t="s">
        <v>703</v>
      </c>
      <c r="H585" s="143" t="s">
        <v>1689</v>
      </c>
      <c r="I585" s="160" t="s">
        <v>1829</v>
      </c>
      <c r="J585" s="141" t="s">
        <v>1663</v>
      </c>
      <c r="K585" s="141" t="s">
        <v>1663</v>
      </c>
      <c r="L585" s="141" t="s">
        <v>1665</v>
      </c>
      <c r="M585" s="141" t="s">
        <v>837</v>
      </c>
      <c r="N585" s="141" t="s">
        <v>1690</v>
      </c>
      <c r="O585" s="141">
        <v>2</v>
      </c>
      <c r="P585" s="141" t="s">
        <v>837</v>
      </c>
      <c r="Q585" s="141">
        <v>8</v>
      </c>
      <c r="R585" s="143">
        <v>25</v>
      </c>
      <c r="S585" s="143">
        <v>24</v>
      </c>
      <c r="T585" s="141">
        <v>2</v>
      </c>
      <c r="U585" s="141" t="s">
        <v>1521</v>
      </c>
      <c r="V585" s="141" t="s">
        <v>1694</v>
      </c>
      <c r="W585" s="141">
        <v>2000</v>
      </c>
      <c r="X585" s="141" t="s">
        <v>837</v>
      </c>
      <c r="Y585" s="141" t="s">
        <v>1691</v>
      </c>
      <c r="Z585" s="141" t="s">
        <v>837</v>
      </c>
      <c r="AA585" s="141">
        <v>1</v>
      </c>
      <c r="AB585" s="141" t="s">
        <v>837</v>
      </c>
      <c r="AC585" s="141" t="s">
        <v>837</v>
      </c>
      <c r="AD585" s="141" t="s">
        <v>837</v>
      </c>
      <c r="AE585" s="141" t="s">
        <v>837</v>
      </c>
      <c r="AF585" s="141">
        <v>0</v>
      </c>
      <c r="AG585" s="141">
        <v>0</v>
      </c>
      <c r="AH585" s="141">
        <v>3</v>
      </c>
      <c r="AI585" s="141" t="s">
        <v>712</v>
      </c>
      <c r="AJ585" s="164" t="s">
        <v>2189</v>
      </c>
      <c r="AK585" s="141" t="s">
        <v>837</v>
      </c>
      <c r="AL585" s="141" t="s">
        <v>1692</v>
      </c>
      <c r="AM585" s="143" t="s">
        <v>705</v>
      </c>
      <c r="AN585" s="143"/>
      <c r="AO585" s="143"/>
      <c r="AP585" s="143"/>
      <c r="AQ585" s="143"/>
      <c r="AR585" s="143"/>
      <c r="AS585" s="143"/>
      <c r="AT585" s="143"/>
      <c r="AU585" s="143"/>
      <c r="AV585" s="143"/>
      <c r="AW585" s="144"/>
      <c r="AX585" s="145"/>
      <c r="AY585" s="138"/>
      <c r="AZ585" s="138"/>
      <c r="BA585" s="138"/>
      <c r="BB585" s="138"/>
      <c r="BC585" s="138"/>
      <c r="BD585" s="138"/>
      <c r="BE585" s="138"/>
    </row>
    <row r="586" spans="1:57" ht="228">
      <c r="A586" s="414" t="s">
        <v>6</v>
      </c>
      <c r="B586" s="415">
        <v>584</v>
      </c>
      <c r="C586" s="415" t="s">
        <v>1659</v>
      </c>
      <c r="D586" s="416" t="s">
        <v>3152</v>
      </c>
      <c r="E586" s="417" t="s">
        <v>2682</v>
      </c>
      <c r="F586" s="415" t="s">
        <v>2681</v>
      </c>
      <c r="G586" s="415" t="s">
        <v>703</v>
      </c>
      <c r="H586" s="418" t="s">
        <v>1662</v>
      </c>
      <c r="I586" s="419" t="s">
        <v>2680</v>
      </c>
      <c r="J586" s="415" t="s">
        <v>1663</v>
      </c>
      <c r="K586" s="415" t="s">
        <v>1664</v>
      </c>
      <c r="L586" s="415" t="s">
        <v>1665</v>
      </c>
      <c r="M586" s="415" t="s">
        <v>1666</v>
      </c>
      <c r="N586" s="415" t="s">
        <v>534</v>
      </c>
      <c r="O586" s="415">
        <v>2</v>
      </c>
      <c r="P586" s="415" t="s">
        <v>1666</v>
      </c>
      <c r="Q586" s="415">
        <v>8</v>
      </c>
      <c r="R586" s="418">
        <v>23</v>
      </c>
      <c r="S586" s="418">
        <v>16</v>
      </c>
      <c r="T586" s="415">
        <v>8</v>
      </c>
      <c r="U586" s="415" t="s">
        <v>1521</v>
      </c>
      <c r="V586" s="415" t="s">
        <v>535</v>
      </c>
      <c r="W586" s="415">
        <v>7000</v>
      </c>
      <c r="X586" s="415" t="s">
        <v>1666</v>
      </c>
      <c r="Y586" s="415" t="s">
        <v>1667</v>
      </c>
      <c r="Z586" s="415" t="s">
        <v>703</v>
      </c>
      <c r="AA586" s="415">
        <v>1</v>
      </c>
      <c r="AB586" s="415" t="s">
        <v>837</v>
      </c>
      <c r="AC586" s="415" t="s">
        <v>1666</v>
      </c>
      <c r="AD586" s="415" t="s">
        <v>837</v>
      </c>
      <c r="AE586" s="415" t="s">
        <v>1666</v>
      </c>
      <c r="AF586" s="415">
        <v>0</v>
      </c>
      <c r="AG586" s="415">
        <v>0</v>
      </c>
      <c r="AH586" s="415">
        <v>255</v>
      </c>
      <c r="AI586" s="415" t="s">
        <v>712</v>
      </c>
      <c r="AJ586" s="420" t="s">
        <v>2677</v>
      </c>
      <c r="AK586" s="415" t="s">
        <v>837</v>
      </c>
      <c r="AL586" s="421" t="s">
        <v>2678</v>
      </c>
      <c r="AM586" s="418" t="s">
        <v>705</v>
      </c>
      <c r="AN586" s="419" t="s">
        <v>1889</v>
      </c>
      <c r="AO586" s="418" t="s">
        <v>3060</v>
      </c>
      <c r="AP586" s="418"/>
      <c r="AQ586" s="418"/>
      <c r="AR586" s="418"/>
      <c r="AS586" s="419" t="s">
        <v>2192</v>
      </c>
      <c r="AT586" s="418"/>
      <c r="AU586" s="418"/>
      <c r="AV586" s="418"/>
      <c r="AW586" s="422"/>
      <c r="AX586" s="423"/>
      <c r="AY586" s="424"/>
    </row>
    <row r="587" spans="1:57" s="139" customFormat="1" ht="100">
      <c r="A587" s="140" t="s">
        <v>6</v>
      </c>
      <c r="B587" s="129">
        <v>585</v>
      </c>
      <c r="C587" s="141" t="s">
        <v>1659</v>
      </c>
      <c r="D587" s="253" t="s">
        <v>3151</v>
      </c>
      <c r="E587" s="141" t="s">
        <v>1695</v>
      </c>
      <c r="F587" s="141" t="s">
        <v>1696</v>
      </c>
      <c r="G587" s="141" t="s">
        <v>703</v>
      </c>
      <c r="H587" s="143" t="s">
        <v>1662</v>
      </c>
      <c r="I587" s="160" t="s">
        <v>1829</v>
      </c>
      <c r="J587" s="141" t="s">
        <v>1663</v>
      </c>
      <c r="K587" s="141" t="s">
        <v>1664</v>
      </c>
      <c r="L587" s="141" t="s">
        <v>1665</v>
      </c>
      <c r="M587" s="141" t="s">
        <v>1666</v>
      </c>
      <c r="N587" s="141" t="s">
        <v>534</v>
      </c>
      <c r="O587" s="141">
        <v>2</v>
      </c>
      <c r="P587" s="141" t="s">
        <v>1666</v>
      </c>
      <c r="Q587" s="141">
        <v>8</v>
      </c>
      <c r="R587" s="143">
        <v>59</v>
      </c>
      <c r="S587" s="143">
        <v>56</v>
      </c>
      <c r="T587" s="141">
        <v>4</v>
      </c>
      <c r="U587" s="141" t="s">
        <v>1521</v>
      </c>
      <c r="V587" s="141" t="s">
        <v>535</v>
      </c>
      <c r="W587" s="141">
        <v>150</v>
      </c>
      <c r="X587" s="141" t="s">
        <v>1666</v>
      </c>
      <c r="Y587" s="260" t="s">
        <v>1697</v>
      </c>
      <c r="Z587" s="141" t="s">
        <v>703</v>
      </c>
      <c r="AA587" s="141">
        <v>1</v>
      </c>
      <c r="AB587" s="141" t="s">
        <v>837</v>
      </c>
      <c r="AC587" s="141" t="s">
        <v>1666</v>
      </c>
      <c r="AD587" s="141" t="s">
        <v>837</v>
      </c>
      <c r="AE587" s="141" t="s">
        <v>1666</v>
      </c>
      <c r="AF587" s="141">
        <v>0</v>
      </c>
      <c r="AG587" s="141">
        <v>0</v>
      </c>
      <c r="AH587" s="141">
        <v>15</v>
      </c>
      <c r="AI587" s="141" t="s">
        <v>712</v>
      </c>
      <c r="AJ587" s="164" t="s">
        <v>1698</v>
      </c>
      <c r="AK587" s="141" t="s">
        <v>837</v>
      </c>
      <c r="AL587" s="141" t="s">
        <v>1669</v>
      </c>
      <c r="AM587" s="143" t="s">
        <v>705</v>
      </c>
      <c r="AN587" s="160" t="s">
        <v>1889</v>
      </c>
      <c r="AO587" s="143"/>
      <c r="AP587" s="143"/>
      <c r="AQ587" s="143"/>
      <c r="AR587" s="143" t="s">
        <v>705</v>
      </c>
      <c r="AS587" s="143"/>
      <c r="AT587" s="143"/>
      <c r="AU587" s="143"/>
      <c r="AV587" s="143"/>
      <c r="AW587" s="144"/>
      <c r="AX587" s="145"/>
      <c r="AY587" s="138"/>
      <c r="AZ587" s="138"/>
      <c r="BA587" s="138"/>
      <c r="BB587" s="138"/>
      <c r="BC587" s="138"/>
      <c r="BD587" s="138"/>
      <c r="BE587" s="138"/>
    </row>
    <row r="588" spans="1:57" s="139" customFormat="1" ht="44">
      <c r="A588" s="140" t="s">
        <v>6</v>
      </c>
      <c r="B588" s="129">
        <v>586</v>
      </c>
      <c r="C588" s="141" t="s">
        <v>1659</v>
      </c>
      <c r="D588" s="253" t="s">
        <v>3109</v>
      </c>
      <c r="E588" s="141" t="s">
        <v>1699</v>
      </c>
      <c r="F588" s="141" t="s">
        <v>1490</v>
      </c>
      <c r="G588" s="141" t="s">
        <v>703</v>
      </c>
      <c r="H588" s="143" t="s">
        <v>1700</v>
      </c>
      <c r="I588" s="143" t="s">
        <v>1701</v>
      </c>
      <c r="J588" s="141" t="s">
        <v>192</v>
      </c>
      <c r="K588" s="141" t="s">
        <v>192</v>
      </c>
      <c r="L588" s="141" t="s">
        <v>837</v>
      </c>
      <c r="M588" s="141" t="s">
        <v>1666</v>
      </c>
      <c r="N588" s="141">
        <v>20</v>
      </c>
      <c r="O588" s="141">
        <v>2</v>
      </c>
      <c r="P588" s="141" t="s">
        <v>1666</v>
      </c>
      <c r="Q588" s="141">
        <v>8</v>
      </c>
      <c r="R588" s="143">
        <v>7</v>
      </c>
      <c r="S588" s="143">
        <v>0</v>
      </c>
      <c r="T588" s="141">
        <v>8</v>
      </c>
      <c r="U588" s="141" t="s">
        <v>1521</v>
      </c>
      <c r="V588" s="141" t="s">
        <v>535</v>
      </c>
      <c r="W588" s="141">
        <v>150</v>
      </c>
      <c r="X588" s="141" t="s">
        <v>1666</v>
      </c>
      <c r="Y588" s="141" t="s">
        <v>1667</v>
      </c>
      <c r="Z588" s="141" t="s">
        <v>736</v>
      </c>
      <c r="AA588" s="141">
        <v>1</v>
      </c>
      <c r="AB588" s="141" t="s">
        <v>837</v>
      </c>
      <c r="AC588" s="141" t="s">
        <v>1666</v>
      </c>
      <c r="AD588" s="141" t="s">
        <v>837</v>
      </c>
      <c r="AE588" s="141" t="s">
        <v>1666</v>
      </c>
      <c r="AF588" s="141">
        <v>0</v>
      </c>
      <c r="AG588" s="141">
        <v>0</v>
      </c>
      <c r="AH588" s="141">
        <v>255</v>
      </c>
      <c r="AI588" s="141" t="s">
        <v>712</v>
      </c>
      <c r="AJ588" s="164" t="s">
        <v>1668</v>
      </c>
      <c r="AK588" s="141" t="s">
        <v>837</v>
      </c>
      <c r="AL588" s="141" t="s">
        <v>703</v>
      </c>
      <c r="AM588" s="143"/>
      <c r="AN588" s="143"/>
      <c r="AO588" s="143"/>
      <c r="AP588" s="143"/>
      <c r="AQ588" s="143"/>
      <c r="AR588" s="143" t="s">
        <v>705</v>
      </c>
      <c r="AS588" s="143"/>
      <c r="AT588" s="143"/>
      <c r="AU588" s="143"/>
      <c r="AV588" s="143"/>
      <c r="AW588" s="144"/>
      <c r="AX588" s="145"/>
      <c r="AY588" s="138"/>
      <c r="AZ588" s="138"/>
      <c r="BA588" s="138"/>
      <c r="BB588" s="138"/>
      <c r="BC588" s="138"/>
      <c r="BD588" s="138"/>
      <c r="BE588" s="138"/>
    </row>
    <row r="589" spans="1:57" s="139" customFormat="1" ht="30">
      <c r="A589" s="140" t="s">
        <v>6</v>
      </c>
      <c r="B589" s="129">
        <v>587</v>
      </c>
      <c r="C589" s="141" t="s">
        <v>1659</v>
      </c>
      <c r="D589" s="253" t="s">
        <v>3151</v>
      </c>
      <c r="E589" s="169" t="s">
        <v>1912</v>
      </c>
      <c r="F589" s="141" t="s">
        <v>1702</v>
      </c>
      <c r="G589" s="141" t="s">
        <v>703</v>
      </c>
      <c r="H589" s="143" t="s">
        <v>1700</v>
      </c>
      <c r="I589" s="143" t="s">
        <v>1701</v>
      </c>
      <c r="J589" s="141" t="s">
        <v>192</v>
      </c>
      <c r="K589" s="141" t="s">
        <v>192</v>
      </c>
      <c r="L589" s="141" t="s">
        <v>837</v>
      </c>
      <c r="M589" s="141" t="s">
        <v>1666</v>
      </c>
      <c r="N589" s="141">
        <v>20</v>
      </c>
      <c r="O589" s="141">
        <v>2</v>
      </c>
      <c r="P589" s="141" t="s">
        <v>1666</v>
      </c>
      <c r="Q589" s="141">
        <v>8</v>
      </c>
      <c r="R589" s="143">
        <v>15</v>
      </c>
      <c r="S589" s="143">
        <v>16</v>
      </c>
      <c r="T589" s="141">
        <v>16</v>
      </c>
      <c r="U589" s="141" t="s">
        <v>1521</v>
      </c>
      <c r="V589" s="141" t="s">
        <v>535</v>
      </c>
      <c r="W589" s="141">
        <v>300</v>
      </c>
      <c r="X589" s="141" t="s">
        <v>1666</v>
      </c>
      <c r="Y589" s="141" t="s">
        <v>1703</v>
      </c>
      <c r="Z589" s="141" t="s">
        <v>736</v>
      </c>
      <c r="AA589" s="141">
        <v>9.7999999999999997E-4</v>
      </c>
      <c r="AB589" s="141">
        <v>9.7999999999999997E-4</v>
      </c>
      <c r="AC589" s="141" t="s">
        <v>1666</v>
      </c>
      <c r="AD589" s="141">
        <v>0</v>
      </c>
      <c r="AE589" s="141" t="s">
        <v>1666</v>
      </c>
      <c r="AF589" s="141">
        <v>-21.591999999999999</v>
      </c>
      <c r="AG589" s="141">
        <v>-21.591999999999999</v>
      </c>
      <c r="AH589" s="141">
        <v>21.591999999999999</v>
      </c>
      <c r="AI589" s="141" t="s">
        <v>1704</v>
      </c>
      <c r="AJ589" s="164" t="s">
        <v>2173</v>
      </c>
      <c r="AK589" s="141" t="s">
        <v>837</v>
      </c>
      <c r="AL589" s="141" t="s">
        <v>590</v>
      </c>
      <c r="AM589" s="143" t="s">
        <v>705</v>
      </c>
      <c r="AN589" s="143" t="s">
        <v>705</v>
      </c>
      <c r="AO589" s="143"/>
      <c r="AP589" s="143"/>
      <c r="AQ589" s="143"/>
      <c r="AR589" s="143" t="s">
        <v>705</v>
      </c>
      <c r="AS589" s="143"/>
      <c r="AT589" s="143"/>
      <c r="AU589" s="143"/>
      <c r="AV589" s="143"/>
      <c r="AW589" s="144"/>
      <c r="AX589" s="145"/>
      <c r="AY589" s="138"/>
      <c r="AZ589" s="138"/>
      <c r="BA589" s="138"/>
      <c r="BB589" s="138"/>
      <c r="BC589" s="138"/>
      <c r="BD589" s="138"/>
      <c r="BE589" s="138"/>
    </row>
    <row r="590" spans="1:57" s="139" customFormat="1" ht="30">
      <c r="A590" s="140" t="s">
        <v>6</v>
      </c>
      <c r="B590" s="129">
        <v>588</v>
      </c>
      <c r="C590" s="141" t="s">
        <v>1659</v>
      </c>
      <c r="D590" s="253" t="s">
        <v>3096</v>
      </c>
      <c r="E590" s="141" t="s">
        <v>1705</v>
      </c>
      <c r="F590" s="141" t="s">
        <v>1706</v>
      </c>
      <c r="G590" s="141" t="s">
        <v>703</v>
      </c>
      <c r="H590" s="143" t="s">
        <v>1700</v>
      </c>
      <c r="I590" s="143" t="s">
        <v>1701</v>
      </c>
      <c r="J590" s="141" t="s">
        <v>192</v>
      </c>
      <c r="K590" s="141" t="s">
        <v>192</v>
      </c>
      <c r="L590" s="141" t="s">
        <v>837</v>
      </c>
      <c r="M590" s="141" t="s">
        <v>1666</v>
      </c>
      <c r="N590" s="141">
        <v>20</v>
      </c>
      <c r="O590" s="141">
        <v>2</v>
      </c>
      <c r="P590" s="141" t="s">
        <v>1666</v>
      </c>
      <c r="Q590" s="141">
        <v>8</v>
      </c>
      <c r="R590" s="143">
        <v>31</v>
      </c>
      <c r="S590" s="143">
        <v>32</v>
      </c>
      <c r="T590" s="141">
        <v>16</v>
      </c>
      <c r="U590" s="141" t="s">
        <v>1521</v>
      </c>
      <c r="V590" s="141" t="s">
        <v>535</v>
      </c>
      <c r="W590" s="141">
        <v>300</v>
      </c>
      <c r="X590" s="141" t="s">
        <v>1666</v>
      </c>
      <c r="Y590" s="141" t="s">
        <v>1703</v>
      </c>
      <c r="Z590" s="141" t="s">
        <v>736</v>
      </c>
      <c r="AA590" s="141">
        <v>9.7999999999999997E-4</v>
      </c>
      <c r="AB590" s="141">
        <v>9.7999999999999997E-4</v>
      </c>
      <c r="AC590" s="141" t="s">
        <v>1666</v>
      </c>
      <c r="AD590" s="141">
        <v>0</v>
      </c>
      <c r="AE590" s="141" t="s">
        <v>1666</v>
      </c>
      <c r="AF590" s="141">
        <v>-21.591999999999999</v>
      </c>
      <c r="AG590" s="141">
        <v>-21.591999999999999</v>
      </c>
      <c r="AH590" s="141">
        <v>21.591999999999999</v>
      </c>
      <c r="AI590" s="141" t="s">
        <v>1704</v>
      </c>
      <c r="AJ590" s="164" t="s">
        <v>2173</v>
      </c>
      <c r="AK590" s="141" t="s">
        <v>837</v>
      </c>
      <c r="AL590" s="141" t="s">
        <v>1438</v>
      </c>
      <c r="AM590" s="143" t="s">
        <v>705</v>
      </c>
      <c r="AN590" s="143"/>
      <c r="AO590" s="143"/>
      <c r="AP590" s="143"/>
      <c r="AQ590" s="143"/>
      <c r="AR590" s="143" t="s">
        <v>705</v>
      </c>
      <c r="AS590" s="143"/>
      <c r="AT590" s="143"/>
      <c r="AU590" s="143"/>
      <c r="AV590" s="143"/>
      <c r="AW590" s="144"/>
      <c r="AX590" s="145"/>
      <c r="AY590" s="138"/>
      <c r="AZ590" s="138"/>
      <c r="BA590" s="138"/>
      <c r="BB590" s="138"/>
      <c r="BC590" s="138"/>
      <c r="BD590" s="138"/>
      <c r="BE590" s="138"/>
    </row>
    <row r="591" spans="1:57" s="139" customFormat="1" ht="30">
      <c r="A591" s="140" t="s">
        <v>6</v>
      </c>
      <c r="B591" s="129">
        <v>589</v>
      </c>
      <c r="C591" s="141" t="s">
        <v>1659</v>
      </c>
      <c r="D591" s="253" t="s">
        <v>3096</v>
      </c>
      <c r="E591" s="141" t="s">
        <v>1707</v>
      </c>
      <c r="F591" s="141" t="s">
        <v>1708</v>
      </c>
      <c r="G591" s="141" t="s">
        <v>703</v>
      </c>
      <c r="H591" s="143" t="s">
        <v>1700</v>
      </c>
      <c r="I591" s="143" t="s">
        <v>1701</v>
      </c>
      <c r="J591" s="141" t="s">
        <v>192</v>
      </c>
      <c r="K591" s="141" t="s">
        <v>192</v>
      </c>
      <c r="L591" s="141" t="s">
        <v>837</v>
      </c>
      <c r="M591" s="141" t="s">
        <v>1666</v>
      </c>
      <c r="N591" s="141">
        <v>20</v>
      </c>
      <c r="O591" s="141">
        <v>2</v>
      </c>
      <c r="P591" s="141" t="s">
        <v>1666</v>
      </c>
      <c r="Q591" s="141">
        <v>8</v>
      </c>
      <c r="R591" s="143">
        <v>47</v>
      </c>
      <c r="S591" s="143">
        <v>48</v>
      </c>
      <c r="T591" s="141">
        <v>16</v>
      </c>
      <c r="U591" s="141" t="s">
        <v>1521</v>
      </c>
      <c r="V591" s="141" t="s">
        <v>535</v>
      </c>
      <c r="W591" s="141">
        <v>300</v>
      </c>
      <c r="X591" s="141" t="s">
        <v>1666</v>
      </c>
      <c r="Y591" s="141" t="s">
        <v>1703</v>
      </c>
      <c r="Z591" s="141" t="s">
        <v>736</v>
      </c>
      <c r="AA591" s="141" t="s">
        <v>1709</v>
      </c>
      <c r="AB591" s="141">
        <v>2.4000000000000001E-4</v>
      </c>
      <c r="AC591" s="141" t="s">
        <v>1666</v>
      </c>
      <c r="AD591" s="141">
        <v>0</v>
      </c>
      <c r="AE591" s="141" t="s">
        <v>1666</v>
      </c>
      <c r="AF591" s="141">
        <v>-2.093</v>
      </c>
      <c r="AG591" s="141">
        <v>-2.093</v>
      </c>
      <c r="AH591" s="141">
        <v>2.093</v>
      </c>
      <c r="AI591" s="141" t="s">
        <v>1710</v>
      </c>
      <c r="AJ591" s="164" t="s">
        <v>2174</v>
      </c>
      <c r="AK591" s="141" t="s">
        <v>837</v>
      </c>
      <c r="AL591" s="141" t="s">
        <v>1438</v>
      </c>
      <c r="AM591" s="143" t="s">
        <v>705</v>
      </c>
      <c r="AN591" s="143"/>
      <c r="AO591" s="143"/>
      <c r="AP591" s="143"/>
      <c r="AQ591" s="143"/>
      <c r="AR591" s="143" t="s">
        <v>705</v>
      </c>
      <c r="AS591" s="143"/>
      <c r="AT591" s="143"/>
      <c r="AU591" s="143"/>
      <c r="AV591" s="143"/>
      <c r="AW591" s="144"/>
      <c r="AX591" s="145"/>
      <c r="AY591" s="138"/>
      <c r="AZ591" s="138"/>
      <c r="BA591" s="138"/>
      <c r="BB591" s="138"/>
      <c r="BC591" s="138"/>
      <c r="BD591" s="138"/>
      <c r="BE591" s="138"/>
    </row>
    <row r="592" spans="1:57" s="139" customFormat="1" ht="30">
      <c r="A592" s="140" t="s">
        <v>6</v>
      </c>
      <c r="B592" s="129">
        <v>590</v>
      </c>
      <c r="C592" s="141" t="s">
        <v>1659</v>
      </c>
      <c r="D592" s="253" t="s">
        <v>3141</v>
      </c>
      <c r="E592" s="141" t="s">
        <v>1711</v>
      </c>
      <c r="F592" s="141" t="s">
        <v>1712</v>
      </c>
      <c r="G592" s="141" t="s">
        <v>703</v>
      </c>
      <c r="H592" s="143" t="s">
        <v>1700</v>
      </c>
      <c r="I592" s="143" t="s">
        <v>1701</v>
      </c>
      <c r="J592" s="141" t="s">
        <v>192</v>
      </c>
      <c r="K592" s="141" t="s">
        <v>192</v>
      </c>
      <c r="L592" s="141" t="s">
        <v>837</v>
      </c>
      <c r="M592" s="141" t="s">
        <v>1666</v>
      </c>
      <c r="N592" s="141">
        <v>20</v>
      </c>
      <c r="O592" s="141">
        <v>2</v>
      </c>
      <c r="P592" s="141" t="s">
        <v>1666</v>
      </c>
      <c r="Q592" s="141">
        <v>8</v>
      </c>
      <c r="R592" s="143">
        <v>63</v>
      </c>
      <c r="S592" s="143">
        <v>63</v>
      </c>
      <c r="T592" s="141">
        <v>1</v>
      </c>
      <c r="U592" s="141" t="s">
        <v>1521</v>
      </c>
      <c r="V592" s="141" t="s">
        <v>535</v>
      </c>
      <c r="W592" s="141">
        <v>1000</v>
      </c>
      <c r="X592" s="141" t="s">
        <v>1666</v>
      </c>
      <c r="Y592" s="260" t="s">
        <v>1697</v>
      </c>
      <c r="Z592" s="141" t="s">
        <v>736</v>
      </c>
      <c r="AA592" s="141">
        <v>1</v>
      </c>
      <c r="AB592" s="141" t="s">
        <v>837</v>
      </c>
      <c r="AC592" s="141" t="s">
        <v>1666</v>
      </c>
      <c r="AD592" s="141" t="s">
        <v>837</v>
      </c>
      <c r="AE592" s="141" t="s">
        <v>1666</v>
      </c>
      <c r="AF592" s="141">
        <v>0</v>
      </c>
      <c r="AG592" s="141">
        <v>0</v>
      </c>
      <c r="AH592" s="141">
        <v>1</v>
      </c>
      <c r="AI592" s="141" t="s">
        <v>712</v>
      </c>
      <c r="AJ592" s="164" t="s">
        <v>1713</v>
      </c>
      <c r="AK592" s="141" t="s">
        <v>837</v>
      </c>
      <c r="AL592" s="141" t="s">
        <v>837</v>
      </c>
      <c r="AM592" s="143"/>
      <c r="AN592" s="143" t="s">
        <v>705</v>
      </c>
      <c r="AO592" s="143"/>
      <c r="AP592" s="143"/>
      <c r="AQ592" s="143"/>
      <c r="AR592" s="143" t="s">
        <v>705</v>
      </c>
      <c r="AS592" s="143"/>
      <c r="AT592" s="143"/>
      <c r="AU592" s="143"/>
      <c r="AV592" s="143"/>
      <c r="AW592" s="144"/>
      <c r="AX592" s="145"/>
      <c r="AY592" s="138"/>
      <c r="AZ592" s="138"/>
      <c r="BA592" s="138"/>
      <c r="BB592" s="138"/>
      <c r="BC592" s="138"/>
      <c r="BD592" s="138"/>
      <c r="BE592" s="138"/>
    </row>
    <row r="593" spans="1:60" s="139" customFormat="1" ht="30">
      <c r="A593" s="140" t="s">
        <v>6</v>
      </c>
      <c r="B593" s="129">
        <v>591</v>
      </c>
      <c r="C593" s="141" t="s">
        <v>1659</v>
      </c>
      <c r="D593" s="253" t="s">
        <v>3109</v>
      </c>
      <c r="E593" s="141" t="s">
        <v>1714</v>
      </c>
      <c r="F593" s="141" t="s">
        <v>1715</v>
      </c>
      <c r="G593" s="141" t="s">
        <v>684</v>
      </c>
      <c r="H593" s="143" t="s">
        <v>1716</v>
      </c>
      <c r="I593" s="143" t="s">
        <v>1717</v>
      </c>
      <c r="J593" s="141" t="s">
        <v>192</v>
      </c>
      <c r="K593" s="141" t="s">
        <v>192</v>
      </c>
      <c r="L593" s="141" t="s">
        <v>875</v>
      </c>
      <c r="M593" s="141" t="s">
        <v>1191</v>
      </c>
      <c r="N593" s="141">
        <v>20</v>
      </c>
      <c r="O593" s="141">
        <v>2</v>
      </c>
      <c r="P593" s="141" t="s">
        <v>1191</v>
      </c>
      <c r="Q593" s="141">
        <v>8</v>
      </c>
      <c r="R593" s="143">
        <v>62</v>
      </c>
      <c r="S593" s="143">
        <v>62</v>
      </c>
      <c r="T593" s="141">
        <v>1</v>
      </c>
      <c r="U593" s="141" t="s">
        <v>877</v>
      </c>
      <c r="V593" s="141" t="s">
        <v>535</v>
      </c>
      <c r="W593" s="141">
        <v>1000</v>
      </c>
      <c r="X593" s="141" t="s">
        <v>1191</v>
      </c>
      <c r="Y593" s="260" t="s">
        <v>1718</v>
      </c>
      <c r="Z593" s="141" t="s">
        <v>1719</v>
      </c>
      <c r="AA593" s="141">
        <v>1</v>
      </c>
      <c r="AB593" s="141" t="s">
        <v>875</v>
      </c>
      <c r="AC593" s="141" t="s">
        <v>1191</v>
      </c>
      <c r="AD593" s="141" t="s">
        <v>875</v>
      </c>
      <c r="AE593" s="141" t="s">
        <v>1191</v>
      </c>
      <c r="AF593" s="141">
        <v>0</v>
      </c>
      <c r="AG593" s="141">
        <v>0</v>
      </c>
      <c r="AH593" s="141">
        <v>1</v>
      </c>
      <c r="AI593" s="141" t="s">
        <v>725</v>
      </c>
      <c r="AJ593" s="164" t="s">
        <v>1720</v>
      </c>
      <c r="AK593" s="141" t="s">
        <v>875</v>
      </c>
      <c r="AL593" s="141" t="s">
        <v>875</v>
      </c>
      <c r="AM593" s="143"/>
      <c r="AN593" s="143"/>
      <c r="AO593" s="143"/>
      <c r="AP593" s="143"/>
      <c r="AQ593" s="143"/>
      <c r="AR593" s="143" t="s">
        <v>685</v>
      </c>
      <c r="AS593" s="143"/>
      <c r="AT593" s="143"/>
      <c r="AU593" s="143"/>
      <c r="AV593" s="143"/>
      <c r="AW593" s="144"/>
      <c r="AX593" s="145"/>
      <c r="AY593" s="138"/>
      <c r="AZ593" s="138"/>
      <c r="BA593" s="138"/>
      <c r="BB593" s="138"/>
      <c r="BC593" s="138"/>
      <c r="BD593" s="138"/>
      <c r="BE593" s="138"/>
    </row>
    <row r="594" spans="1:60" s="139" customFormat="1" ht="30">
      <c r="A594" s="140" t="s">
        <v>6</v>
      </c>
      <c r="B594" s="129">
        <v>592</v>
      </c>
      <c r="C594" s="141" t="s">
        <v>1721</v>
      </c>
      <c r="D594" s="253" t="s">
        <v>3109</v>
      </c>
      <c r="E594" s="141" t="s">
        <v>1722</v>
      </c>
      <c r="F594" s="141" t="s">
        <v>1723</v>
      </c>
      <c r="G594" s="141" t="s">
        <v>684</v>
      </c>
      <c r="H594" s="143" t="s">
        <v>1716</v>
      </c>
      <c r="I594" s="143" t="s">
        <v>1717</v>
      </c>
      <c r="J594" s="141" t="s">
        <v>192</v>
      </c>
      <c r="K594" s="141" t="s">
        <v>192</v>
      </c>
      <c r="L594" s="141" t="s">
        <v>875</v>
      </c>
      <c r="M594" s="141" t="s">
        <v>1191</v>
      </c>
      <c r="N594" s="141">
        <v>20</v>
      </c>
      <c r="O594" s="141">
        <v>2</v>
      </c>
      <c r="P594" s="141" t="s">
        <v>1191</v>
      </c>
      <c r="Q594" s="141">
        <v>8</v>
      </c>
      <c r="R594" s="143">
        <v>61</v>
      </c>
      <c r="S594" s="143">
        <v>61</v>
      </c>
      <c r="T594" s="141">
        <v>1</v>
      </c>
      <c r="U594" s="141" t="s">
        <v>877</v>
      </c>
      <c r="V594" s="141" t="s">
        <v>535</v>
      </c>
      <c r="W594" s="141">
        <v>1000</v>
      </c>
      <c r="X594" s="141" t="s">
        <v>1191</v>
      </c>
      <c r="Y594" s="260" t="s">
        <v>1718</v>
      </c>
      <c r="Z594" s="141" t="s">
        <v>1719</v>
      </c>
      <c r="AA594" s="141">
        <v>1</v>
      </c>
      <c r="AB594" s="141" t="s">
        <v>875</v>
      </c>
      <c r="AC594" s="141" t="s">
        <v>1191</v>
      </c>
      <c r="AD594" s="141" t="s">
        <v>875</v>
      </c>
      <c r="AE594" s="141" t="s">
        <v>1191</v>
      </c>
      <c r="AF594" s="141">
        <v>0</v>
      </c>
      <c r="AG594" s="141">
        <v>0</v>
      </c>
      <c r="AH594" s="141">
        <v>1</v>
      </c>
      <c r="AI594" s="141" t="s">
        <v>725</v>
      </c>
      <c r="AJ594" s="164" t="s">
        <v>1720</v>
      </c>
      <c r="AK594" s="141" t="s">
        <v>875</v>
      </c>
      <c r="AL594" s="141" t="s">
        <v>875</v>
      </c>
      <c r="AM594" s="143"/>
      <c r="AN594" s="143"/>
      <c r="AO594" s="143"/>
      <c r="AP594" s="143"/>
      <c r="AQ594" s="143"/>
      <c r="AR594" s="143" t="s">
        <v>685</v>
      </c>
      <c r="AS594" s="143"/>
      <c r="AT594" s="143"/>
      <c r="AU594" s="143"/>
      <c r="AV594" s="143"/>
      <c r="AW594" s="144"/>
      <c r="AX594" s="145"/>
      <c r="AY594" s="138"/>
      <c r="AZ594" s="138"/>
      <c r="BA594" s="138"/>
      <c r="BB594" s="138"/>
      <c r="BC594" s="138"/>
      <c r="BD594" s="138"/>
      <c r="BE594" s="138"/>
    </row>
    <row r="595" spans="1:60" s="139" customFormat="1" ht="30">
      <c r="A595" s="140" t="s">
        <v>6</v>
      </c>
      <c r="B595" s="129">
        <v>593</v>
      </c>
      <c r="C595" s="141" t="s">
        <v>1721</v>
      </c>
      <c r="D595" s="253" t="s">
        <v>3109</v>
      </c>
      <c r="E595" s="141" t="s">
        <v>1724</v>
      </c>
      <c r="F595" s="141" t="s">
        <v>1725</v>
      </c>
      <c r="G595" s="141" t="s">
        <v>684</v>
      </c>
      <c r="H595" s="143" t="s">
        <v>1716</v>
      </c>
      <c r="I595" s="143" t="s">
        <v>1717</v>
      </c>
      <c r="J595" s="141" t="s">
        <v>192</v>
      </c>
      <c r="K595" s="141" t="s">
        <v>192</v>
      </c>
      <c r="L595" s="141" t="s">
        <v>875</v>
      </c>
      <c r="M595" s="141" t="s">
        <v>1191</v>
      </c>
      <c r="N595" s="141">
        <v>20</v>
      </c>
      <c r="O595" s="141">
        <v>2</v>
      </c>
      <c r="P595" s="141" t="s">
        <v>1191</v>
      </c>
      <c r="Q595" s="141">
        <v>8</v>
      </c>
      <c r="R595" s="143">
        <v>59</v>
      </c>
      <c r="S595" s="143">
        <v>56</v>
      </c>
      <c r="T595" s="141">
        <v>4</v>
      </c>
      <c r="U595" s="141" t="s">
        <v>877</v>
      </c>
      <c r="V595" s="141" t="s">
        <v>535</v>
      </c>
      <c r="W595" s="141">
        <v>150</v>
      </c>
      <c r="X595" s="141" t="s">
        <v>1191</v>
      </c>
      <c r="Y595" s="260" t="s">
        <v>1718</v>
      </c>
      <c r="Z595" s="141" t="s">
        <v>1719</v>
      </c>
      <c r="AA595" s="141">
        <v>1</v>
      </c>
      <c r="AB595" s="141" t="s">
        <v>875</v>
      </c>
      <c r="AC595" s="141" t="s">
        <v>1191</v>
      </c>
      <c r="AD595" s="141" t="s">
        <v>875</v>
      </c>
      <c r="AE595" s="141" t="s">
        <v>1191</v>
      </c>
      <c r="AF595" s="141">
        <v>0</v>
      </c>
      <c r="AG595" s="141">
        <v>0</v>
      </c>
      <c r="AH595" s="141">
        <v>15</v>
      </c>
      <c r="AI595" s="141" t="s">
        <v>725</v>
      </c>
      <c r="AJ595" s="164" t="s">
        <v>1726</v>
      </c>
      <c r="AK595" s="141" t="s">
        <v>875</v>
      </c>
      <c r="AL595" s="141" t="s">
        <v>875</v>
      </c>
      <c r="AM595" s="143"/>
      <c r="AN595" s="143"/>
      <c r="AO595" s="143"/>
      <c r="AP595" s="143"/>
      <c r="AQ595" s="143"/>
      <c r="AR595" s="143" t="s">
        <v>685</v>
      </c>
      <c r="AS595" s="143"/>
      <c r="AT595" s="143"/>
      <c r="AU595" s="143"/>
      <c r="AV595" s="143"/>
      <c r="AW595" s="144"/>
      <c r="AX595" s="145"/>
      <c r="AY595" s="138"/>
      <c r="AZ595" s="138"/>
      <c r="BA595" s="138"/>
      <c r="BB595" s="138"/>
      <c r="BC595" s="138"/>
      <c r="BD595" s="138"/>
      <c r="BE595" s="138"/>
    </row>
    <row r="596" spans="1:60" s="139" customFormat="1" ht="44">
      <c r="A596" s="140" t="s">
        <v>6</v>
      </c>
      <c r="B596" s="129">
        <v>594</v>
      </c>
      <c r="C596" s="141" t="s">
        <v>1727</v>
      </c>
      <c r="D596" s="143" t="s">
        <v>3115</v>
      </c>
      <c r="E596" s="141" t="s">
        <v>1728</v>
      </c>
      <c r="F596" s="141" t="s">
        <v>968</v>
      </c>
      <c r="G596" s="141" t="s">
        <v>684</v>
      </c>
      <c r="H596" s="141" t="s">
        <v>1729</v>
      </c>
      <c r="I596" s="141" t="s">
        <v>1730</v>
      </c>
      <c r="J596" s="141" t="s">
        <v>935</v>
      </c>
      <c r="K596" s="141" t="s">
        <v>1731</v>
      </c>
      <c r="L596" s="141" t="s">
        <v>684</v>
      </c>
      <c r="M596" s="141" t="s">
        <v>684</v>
      </c>
      <c r="N596" s="141">
        <v>50</v>
      </c>
      <c r="O596" s="143" t="s">
        <v>1732</v>
      </c>
      <c r="P596" s="129" t="s">
        <v>684</v>
      </c>
      <c r="Q596" s="141">
        <v>8</v>
      </c>
      <c r="R596" s="141">
        <v>7</v>
      </c>
      <c r="S596" s="143">
        <v>0</v>
      </c>
      <c r="T596" s="141">
        <v>8</v>
      </c>
      <c r="U596" s="141" t="s">
        <v>726</v>
      </c>
      <c r="V596" s="141" t="s">
        <v>1733</v>
      </c>
      <c r="W596" s="143" t="s">
        <v>1734</v>
      </c>
      <c r="X596" s="143" t="s">
        <v>684</v>
      </c>
      <c r="Y596" s="141" t="s">
        <v>728</v>
      </c>
      <c r="Z596" s="141" t="s">
        <v>1735</v>
      </c>
      <c r="AA596" s="141">
        <v>1</v>
      </c>
      <c r="AB596" s="141" t="s">
        <v>684</v>
      </c>
      <c r="AC596" s="141" t="s">
        <v>684</v>
      </c>
      <c r="AD596" s="141" t="s">
        <v>684</v>
      </c>
      <c r="AE596" s="141" t="s">
        <v>684</v>
      </c>
      <c r="AF596" s="141">
        <v>0</v>
      </c>
      <c r="AG596" s="141">
        <v>0</v>
      </c>
      <c r="AH596" s="141">
        <v>255</v>
      </c>
      <c r="AI596" s="141" t="s">
        <v>684</v>
      </c>
      <c r="AJ596" s="164" t="s">
        <v>2175</v>
      </c>
      <c r="AK596" s="143" t="s">
        <v>684</v>
      </c>
      <c r="AL596" s="143" t="s">
        <v>684</v>
      </c>
      <c r="AM596" s="143"/>
      <c r="AN596" s="143" t="s">
        <v>685</v>
      </c>
      <c r="AO596" s="143"/>
      <c r="AP596" s="143"/>
      <c r="AQ596" s="143"/>
      <c r="AR596" s="143"/>
      <c r="AS596" s="143"/>
      <c r="AT596" s="143"/>
      <c r="AU596" s="143"/>
      <c r="AV596" s="143"/>
      <c r="AW596" s="144"/>
      <c r="AX596" s="145"/>
      <c r="AY596" s="138"/>
      <c r="AZ596" s="138"/>
      <c r="BA596" s="138"/>
      <c r="BB596" s="138"/>
      <c r="BC596" s="138"/>
      <c r="BD596" s="138"/>
      <c r="BE596" s="138"/>
    </row>
    <row r="597" spans="1:60" s="139" customFormat="1" ht="224">
      <c r="A597" s="140" t="s">
        <v>6</v>
      </c>
      <c r="B597" s="129">
        <v>595</v>
      </c>
      <c r="C597" s="141" t="s">
        <v>1727</v>
      </c>
      <c r="D597" s="143" t="s">
        <v>3141</v>
      </c>
      <c r="E597" s="141" t="s">
        <v>1736</v>
      </c>
      <c r="F597" s="141" t="s">
        <v>582</v>
      </c>
      <c r="G597" s="141" t="s">
        <v>684</v>
      </c>
      <c r="H597" s="141" t="s">
        <v>1729</v>
      </c>
      <c r="I597" s="141" t="s">
        <v>1730</v>
      </c>
      <c r="J597" s="141" t="s">
        <v>935</v>
      </c>
      <c r="K597" s="141" t="s">
        <v>1731</v>
      </c>
      <c r="L597" s="141" t="s">
        <v>684</v>
      </c>
      <c r="M597" s="141" t="s">
        <v>684</v>
      </c>
      <c r="N597" s="141">
        <v>50</v>
      </c>
      <c r="O597" s="143" t="s">
        <v>1732</v>
      </c>
      <c r="P597" s="129" t="s">
        <v>684</v>
      </c>
      <c r="Q597" s="141">
        <v>8</v>
      </c>
      <c r="R597" s="141">
        <v>15</v>
      </c>
      <c r="S597" s="143">
        <v>12</v>
      </c>
      <c r="T597" s="141">
        <v>4</v>
      </c>
      <c r="U597" s="141" t="s">
        <v>726</v>
      </c>
      <c r="V597" s="141" t="s">
        <v>1733</v>
      </c>
      <c r="W597" s="143" t="s">
        <v>1734</v>
      </c>
      <c r="X597" s="143" t="s">
        <v>684</v>
      </c>
      <c r="Y597" s="141" t="s">
        <v>1737</v>
      </c>
      <c r="Z597" s="141" t="s">
        <v>1735</v>
      </c>
      <c r="AA597" s="141">
        <v>1</v>
      </c>
      <c r="AB597" s="141" t="s">
        <v>684</v>
      </c>
      <c r="AC597" s="141" t="s">
        <v>684</v>
      </c>
      <c r="AD597" s="141" t="s">
        <v>684</v>
      </c>
      <c r="AE597" s="141" t="s">
        <v>684</v>
      </c>
      <c r="AF597" s="141">
        <v>0</v>
      </c>
      <c r="AG597" s="141">
        <v>0</v>
      </c>
      <c r="AH597" s="141">
        <v>15</v>
      </c>
      <c r="AI597" s="141" t="s">
        <v>684</v>
      </c>
      <c r="AJ597" s="283" t="s">
        <v>2176</v>
      </c>
      <c r="AK597" s="143" t="s">
        <v>684</v>
      </c>
      <c r="AL597" s="143" t="s">
        <v>684</v>
      </c>
      <c r="AM597" s="143"/>
      <c r="AN597" s="143" t="s">
        <v>685</v>
      </c>
      <c r="AO597" s="143"/>
      <c r="AP597" s="143"/>
      <c r="AQ597" s="143"/>
      <c r="AR597" s="143" t="s">
        <v>685</v>
      </c>
      <c r="AS597" s="143"/>
      <c r="AT597" s="143"/>
      <c r="AU597" s="143"/>
      <c r="AV597" s="143"/>
      <c r="AW597" s="144"/>
      <c r="AX597" s="145"/>
      <c r="AY597" s="138"/>
      <c r="AZ597" s="138"/>
      <c r="BA597" s="138"/>
      <c r="BB597" s="138"/>
      <c r="BC597" s="138"/>
      <c r="BD597" s="138"/>
      <c r="BE597" s="138"/>
    </row>
    <row r="598" spans="1:60" s="139" customFormat="1" ht="224">
      <c r="A598" s="140" t="s">
        <v>6</v>
      </c>
      <c r="B598" s="129">
        <v>596</v>
      </c>
      <c r="C598" s="141" t="s">
        <v>1727</v>
      </c>
      <c r="D598" s="143" t="s">
        <v>3115</v>
      </c>
      <c r="E598" s="141" t="s">
        <v>1738</v>
      </c>
      <c r="F598" s="141" t="s">
        <v>1739</v>
      </c>
      <c r="G598" s="141" t="s">
        <v>684</v>
      </c>
      <c r="H598" s="141" t="s">
        <v>1729</v>
      </c>
      <c r="I598" s="141" t="s">
        <v>1730</v>
      </c>
      <c r="J598" s="141" t="s">
        <v>935</v>
      </c>
      <c r="K598" s="141" t="s">
        <v>1731</v>
      </c>
      <c r="L598" s="141" t="s">
        <v>684</v>
      </c>
      <c r="M598" s="141" t="s">
        <v>684</v>
      </c>
      <c r="N598" s="141">
        <v>50</v>
      </c>
      <c r="O598" s="143" t="s">
        <v>1732</v>
      </c>
      <c r="P598" s="129" t="s">
        <v>684</v>
      </c>
      <c r="Q598" s="141">
        <v>8</v>
      </c>
      <c r="R598" s="141">
        <v>11</v>
      </c>
      <c r="S598" s="143">
        <v>8</v>
      </c>
      <c r="T598" s="141">
        <v>4</v>
      </c>
      <c r="U598" s="141" t="s">
        <v>726</v>
      </c>
      <c r="V598" s="141" t="s">
        <v>1733</v>
      </c>
      <c r="W598" s="143" t="s">
        <v>1734</v>
      </c>
      <c r="X598" s="143" t="s">
        <v>198</v>
      </c>
      <c r="Y598" s="141" t="s">
        <v>1740</v>
      </c>
      <c r="Z598" s="141" t="s">
        <v>1735</v>
      </c>
      <c r="AA598" s="141">
        <v>1</v>
      </c>
      <c r="AB598" s="141" t="s">
        <v>684</v>
      </c>
      <c r="AC598" s="141" t="s">
        <v>684</v>
      </c>
      <c r="AD598" s="141" t="s">
        <v>684</v>
      </c>
      <c r="AE598" s="141" t="s">
        <v>684</v>
      </c>
      <c r="AF598" s="141">
        <v>0</v>
      </c>
      <c r="AG598" s="141">
        <v>0</v>
      </c>
      <c r="AH598" s="141">
        <v>15</v>
      </c>
      <c r="AI598" s="141" t="s">
        <v>684</v>
      </c>
      <c r="AJ598" s="283" t="s">
        <v>2177</v>
      </c>
      <c r="AK598" s="143" t="s">
        <v>684</v>
      </c>
      <c r="AL598" s="143" t="s">
        <v>684</v>
      </c>
      <c r="AM598" s="143"/>
      <c r="AN598" s="143" t="s">
        <v>685</v>
      </c>
      <c r="AO598" s="143"/>
      <c r="AP598" s="143"/>
      <c r="AQ598" s="143"/>
      <c r="AR598" s="143"/>
      <c r="AS598" s="143"/>
      <c r="AT598" s="143"/>
      <c r="AU598" s="143"/>
      <c r="AV598" s="143"/>
      <c r="AW598" s="144"/>
      <c r="AX598" s="145"/>
      <c r="AY598" s="138"/>
      <c r="AZ598" s="138"/>
      <c r="BA598" s="138"/>
      <c r="BB598" s="138"/>
      <c r="BC598" s="138"/>
      <c r="BD598" s="138"/>
      <c r="BE598" s="138"/>
    </row>
    <row r="599" spans="1:60" s="139" customFormat="1" ht="58">
      <c r="A599" s="140" t="s">
        <v>6</v>
      </c>
      <c r="B599" s="129">
        <v>597</v>
      </c>
      <c r="C599" s="141" t="s">
        <v>1727</v>
      </c>
      <c r="D599" s="143" t="s">
        <v>3115</v>
      </c>
      <c r="E599" s="160" t="s">
        <v>2120</v>
      </c>
      <c r="F599" s="141" t="s">
        <v>1741</v>
      </c>
      <c r="G599" s="141" t="s">
        <v>684</v>
      </c>
      <c r="H599" s="141" t="s">
        <v>1729</v>
      </c>
      <c r="I599" s="141" t="s">
        <v>583</v>
      </c>
      <c r="J599" s="141" t="s">
        <v>935</v>
      </c>
      <c r="K599" s="141" t="s">
        <v>1731</v>
      </c>
      <c r="L599" s="141" t="s">
        <v>684</v>
      </c>
      <c r="M599" s="141" t="s">
        <v>684</v>
      </c>
      <c r="N599" s="141">
        <v>50</v>
      </c>
      <c r="O599" s="143" t="s">
        <v>1732</v>
      </c>
      <c r="P599" s="129" t="s">
        <v>684</v>
      </c>
      <c r="Q599" s="141">
        <v>8</v>
      </c>
      <c r="R599" s="143">
        <v>18</v>
      </c>
      <c r="S599" s="143">
        <v>17</v>
      </c>
      <c r="T599" s="143">
        <v>2</v>
      </c>
      <c r="U599" s="141" t="s">
        <v>726</v>
      </c>
      <c r="V599" s="141" t="s">
        <v>1733</v>
      </c>
      <c r="W599" s="143" t="s">
        <v>1734</v>
      </c>
      <c r="X599" s="143" t="s">
        <v>198</v>
      </c>
      <c r="Y599" s="141" t="s">
        <v>728</v>
      </c>
      <c r="Z599" s="141" t="s">
        <v>1735</v>
      </c>
      <c r="AA599" s="141">
        <v>1</v>
      </c>
      <c r="AB599" s="141" t="s">
        <v>684</v>
      </c>
      <c r="AC599" s="141" t="s">
        <v>684</v>
      </c>
      <c r="AD599" s="141" t="s">
        <v>684</v>
      </c>
      <c r="AE599" s="141" t="s">
        <v>684</v>
      </c>
      <c r="AF599" s="141">
        <v>0</v>
      </c>
      <c r="AG599" s="141">
        <v>0</v>
      </c>
      <c r="AH599" s="141">
        <v>3</v>
      </c>
      <c r="AI599" s="141" t="s">
        <v>684</v>
      </c>
      <c r="AJ599" s="164" t="s">
        <v>2333</v>
      </c>
      <c r="AK599" s="143" t="s">
        <v>684</v>
      </c>
      <c r="AL599" s="143" t="s">
        <v>684</v>
      </c>
      <c r="AM599" s="143"/>
      <c r="AN599" s="143" t="s">
        <v>685</v>
      </c>
      <c r="AO599" s="143"/>
      <c r="AP599" s="143"/>
      <c r="AQ599" s="143"/>
      <c r="AR599" s="143"/>
      <c r="AS599" s="143"/>
      <c r="AT599" s="143"/>
      <c r="AU599" s="143"/>
      <c r="AV599" s="143"/>
      <c r="AW599" s="144"/>
      <c r="AX599" s="145"/>
      <c r="AY599" s="138"/>
      <c r="AZ599" s="138"/>
      <c r="BA599" s="138"/>
      <c r="BB599" s="138"/>
      <c r="BC599" s="138"/>
      <c r="BD599" s="138"/>
      <c r="BE599" s="138"/>
    </row>
    <row r="600" spans="1:60" s="139" customFormat="1" ht="25">
      <c r="A600" s="140" t="s">
        <v>6</v>
      </c>
      <c r="B600" s="129">
        <v>598</v>
      </c>
      <c r="C600" s="141" t="s">
        <v>1727</v>
      </c>
      <c r="D600" s="143" t="s">
        <v>3115</v>
      </c>
      <c r="E600" s="141" t="s">
        <v>1742</v>
      </c>
      <c r="F600" s="141" t="s">
        <v>1743</v>
      </c>
      <c r="G600" s="141" t="s">
        <v>684</v>
      </c>
      <c r="H600" s="141" t="s">
        <v>1729</v>
      </c>
      <c r="I600" s="141" t="s">
        <v>583</v>
      </c>
      <c r="J600" s="141" t="s">
        <v>935</v>
      </c>
      <c r="K600" s="141" t="s">
        <v>1731</v>
      </c>
      <c r="L600" s="141" t="s">
        <v>684</v>
      </c>
      <c r="M600" s="141" t="s">
        <v>684</v>
      </c>
      <c r="N600" s="141">
        <v>50</v>
      </c>
      <c r="O600" s="143" t="s">
        <v>1732</v>
      </c>
      <c r="P600" s="129" t="s">
        <v>684</v>
      </c>
      <c r="Q600" s="141">
        <v>8</v>
      </c>
      <c r="R600" s="143">
        <v>59</v>
      </c>
      <c r="S600" s="143">
        <v>56</v>
      </c>
      <c r="T600" s="141">
        <v>4</v>
      </c>
      <c r="U600" s="141" t="s">
        <v>726</v>
      </c>
      <c r="V600" s="141" t="s">
        <v>1733</v>
      </c>
      <c r="W600" s="143" t="s">
        <v>1734</v>
      </c>
      <c r="X600" s="143" t="s">
        <v>198</v>
      </c>
      <c r="Y600" s="141" t="s">
        <v>728</v>
      </c>
      <c r="Z600" s="141" t="s">
        <v>1735</v>
      </c>
      <c r="AA600" s="141">
        <v>1</v>
      </c>
      <c r="AB600" s="141" t="s">
        <v>684</v>
      </c>
      <c r="AC600" s="141" t="s">
        <v>684</v>
      </c>
      <c r="AD600" s="141" t="s">
        <v>684</v>
      </c>
      <c r="AE600" s="141" t="s">
        <v>684</v>
      </c>
      <c r="AF600" s="141">
        <v>0</v>
      </c>
      <c r="AG600" s="141">
        <v>0</v>
      </c>
      <c r="AH600" s="141">
        <v>15</v>
      </c>
      <c r="AI600" s="141" t="s">
        <v>684</v>
      </c>
      <c r="AJ600" s="164" t="s">
        <v>2178</v>
      </c>
      <c r="AK600" s="143" t="s">
        <v>684</v>
      </c>
      <c r="AL600" s="143" t="s">
        <v>684</v>
      </c>
      <c r="AM600" s="143"/>
      <c r="AN600" s="143" t="s">
        <v>685</v>
      </c>
      <c r="AO600" s="143"/>
      <c r="AP600" s="143"/>
      <c r="AQ600" s="143"/>
      <c r="AR600" s="143"/>
      <c r="AS600" s="143"/>
      <c r="AT600" s="143"/>
      <c r="AU600" s="143"/>
      <c r="AV600" s="143"/>
      <c r="AW600" s="144"/>
      <c r="AX600" s="145"/>
      <c r="AY600" s="138"/>
      <c r="AZ600" s="138"/>
      <c r="BA600" s="138"/>
      <c r="BB600" s="138"/>
      <c r="BC600" s="138"/>
      <c r="BD600" s="138"/>
      <c r="BE600" s="138"/>
    </row>
    <row r="601" spans="1:60" s="139" customFormat="1" ht="58">
      <c r="A601" s="140" t="s">
        <v>6</v>
      </c>
      <c r="B601" s="129">
        <v>599</v>
      </c>
      <c r="C601" s="143" t="s">
        <v>866</v>
      </c>
      <c r="D601" s="141" t="s">
        <v>3115</v>
      </c>
      <c r="E601" s="143" t="s">
        <v>1744</v>
      </c>
      <c r="F601" s="141" t="s">
        <v>1141</v>
      </c>
      <c r="G601" s="141" t="s">
        <v>684</v>
      </c>
      <c r="H601" s="141" t="s">
        <v>1745</v>
      </c>
      <c r="I601" s="141" t="s">
        <v>1746</v>
      </c>
      <c r="J601" s="141" t="s">
        <v>935</v>
      </c>
      <c r="K601" s="141" t="s">
        <v>935</v>
      </c>
      <c r="L601" s="129" t="s">
        <v>725</v>
      </c>
      <c r="M601" s="129" t="s">
        <v>725</v>
      </c>
      <c r="N601" s="141">
        <v>100</v>
      </c>
      <c r="O601" s="129" t="s">
        <v>725</v>
      </c>
      <c r="P601" s="129" t="s">
        <v>725</v>
      </c>
      <c r="Q601" s="173">
        <v>8</v>
      </c>
      <c r="R601" s="141">
        <v>7</v>
      </c>
      <c r="S601" s="141">
        <v>0</v>
      </c>
      <c r="T601" s="143">
        <v>8</v>
      </c>
      <c r="U601" s="141" t="s">
        <v>726</v>
      </c>
      <c r="V601" s="141" t="s">
        <v>727</v>
      </c>
      <c r="W601" s="141" t="s">
        <v>684</v>
      </c>
      <c r="X601" s="141" t="s">
        <v>684</v>
      </c>
      <c r="Y601" s="141" t="s">
        <v>874</v>
      </c>
      <c r="Z601" s="143" t="s">
        <v>684</v>
      </c>
      <c r="AA601" s="143">
        <v>1</v>
      </c>
      <c r="AB601" s="141" t="s">
        <v>684</v>
      </c>
      <c r="AC601" s="141" t="s">
        <v>684</v>
      </c>
      <c r="AD601" s="141" t="s">
        <v>684</v>
      </c>
      <c r="AE601" s="141" t="s">
        <v>684</v>
      </c>
      <c r="AF601" s="143">
        <v>0</v>
      </c>
      <c r="AG601" s="143">
        <v>0</v>
      </c>
      <c r="AH601" s="284">
        <v>255</v>
      </c>
      <c r="AI601" s="141" t="s">
        <v>684</v>
      </c>
      <c r="AJ601" s="164" t="s">
        <v>684</v>
      </c>
      <c r="AK601" s="141" t="s">
        <v>684</v>
      </c>
      <c r="AL601" s="141" t="s">
        <v>684</v>
      </c>
      <c r="AM601" s="143"/>
      <c r="AN601" s="163" t="s">
        <v>685</v>
      </c>
      <c r="AO601" s="143"/>
      <c r="AP601" s="143"/>
      <c r="AQ601" s="143"/>
      <c r="AR601" s="143"/>
      <c r="AS601" s="143"/>
      <c r="AT601" s="143"/>
      <c r="AU601" s="143"/>
      <c r="AV601" s="143"/>
      <c r="AW601" s="144"/>
      <c r="AX601" s="145"/>
      <c r="AY601" s="138"/>
      <c r="AZ601" s="138"/>
      <c r="BA601" s="138"/>
      <c r="BB601" s="138"/>
      <c r="BC601" s="138"/>
      <c r="BD601" s="138"/>
      <c r="BE601" s="138"/>
      <c r="BF601" s="138"/>
      <c r="BG601" s="138"/>
      <c r="BH601" s="138"/>
    </row>
    <row r="602" spans="1:60" s="139" customFormat="1" ht="30">
      <c r="A602" s="140" t="s">
        <v>6</v>
      </c>
      <c r="B602" s="129">
        <v>600</v>
      </c>
      <c r="C602" s="141" t="s">
        <v>1747</v>
      </c>
      <c r="D602" s="141" t="s">
        <v>3128</v>
      </c>
      <c r="E602" s="143" t="s">
        <v>1748</v>
      </c>
      <c r="F602" s="141" t="s">
        <v>1749</v>
      </c>
      <c r="G602" s="141" t="s">
        <v>684</v>
      </c>
      <c r="H602" s="141" t="s">
        <v>1745</v>
      </c>
      <c r="I602" s="141" t="s">
        <v>1746</v>
      </c>
      <c r="J602" s="141" t="s">
        <v>935</v>
      </c>
      <c r="K602" s="141" t="s">
        <v>935</v>
      </c>
      <c r="L602" s="129" t="s">
        <v>725</v>
      </c>
      <c r="M602" s="129" t="s">
        <v>725</v>
      </c>
      <c r="N602" s="141">
        <v>100</v>
      </c>
      <c r="O602" s="129" t="s">
        <v>725</v>
      </c>
      <c r="P602" s="129" t="s">
        <v>725</v>
      </c>
      <c r="Q602" s="173">
        <v>8</v>
      </c>
      <c r="R602" s="141">
        <v>15</v>
      </c>
      <c r="S602" s="141">
        <v>8</v>
      </c>
      <c r="T602" s="143">
        <v>8</v>
      </c>
      <c r="U602" s="141" t="s">
        <v>726</v>
      </c>
      <c r="V602" s="141" t="s">
        <v>727</v>
      </c>
      <c r="W602" s="141" t="s">
        <v>684</v>
      </c>
      <c r="X602" s="141" t="s">
        <v>684</v>
      </c>
      <c r="Y602" s="141" t="s">
        <v>874</v>
      </c>
      <c r="Z602" s="143" t="s">
        <v>1750</v>
      </c>
      <c r="AA602" s="285">
        <v>50</v>
      </c>
      <c r="AB602" s="141" t="s">
        <v>684</v>
      </c>
      <c r="AC602" s="141" t="s">
        <v>684</v>
      </c>
      <c r="AD602" s="141" t="s">
        <v>684</v>
      </c>
      <c r="AE602" s="141" t="s">
        <v>684</v>
      </c>
      <c r="AF602" s="143">
        <v>0</v>
      </c>
      <c r="AG602" s="143">
        <v>0</v>
      </c>
      <c r="AH602" s="286">
        <v>12700</v>
      </c>
      <c r="AI602" s="141" t="s">
        <v>1751</v>
      </c>
      <c r="AJ602" s="164" t="s">
        <v>2124</v>
      </c>
      <c r="AK602" s="141" t="s">
        <v>684</v>
      </c>
      <c r="AL602" s="141" t="s">
        <v>684</v>
      </c>
      <c r="AM602" s="143"/>
      <c r="AN602" s="143" t="s">
        <v>685</v>
      </c>
      <c r="AO602" s="143" t="s">
        <v>1354</v>
      </c>
      <c r="AP602" s="143"/>
      <c r="AQ602" s="143"/>
      <c r="AR602" s="143"/>
      <c r="AS602" s="143"/>
      <c r="AT602" s="143"/>
      <c r="AU602" s="143"/>
      <c r="AV602" s="143"/>
      <c r="AW602" s="144"/>
      <c r="AX602" s="145"/>
      <c r="AY602" s="138"/>
      <c r="AZ602" s="138"/>
      <c r="BA602" s="138"/>
      <c r="BB602" s="138"/>
      <c r="BC602" s="138"/>
      <c r="BD602" s="138"/>
      <c r="BE602" s="138"/>
    </row>
    <row r="603" spans="1:60" s="139" customFormat="1" ht="30">
      <c r="A603" s="140" t="s">
        <v>6</v>
      </c>
      <c r="B603" s="129">
        <v>601</v>
      </c>
      <c r="C603" s="141" t="s">
        <v>1747</v>
      </c>
      <c r="D603" s="141" t="s">
        <v>3128</v>
      </c>
      <c r="E603" s="143" t="s">
        <v>1752</v>
      </c>
      <c r="F603" s="141" t="s">
        <v>1753</v>
      </c>
      <c r="G603" s="141" t="s">
        <v>684</v>
      </c>
      <c r="H603" s="141" t="s">
        <v>1745</v>
      </c>
      <c r="I603" s="141" t="s">
        <v>1746</v>
      </c>
      <c r="J603" s="141" t="s">
        <v>935</v>
      </c>
      <c r="K603" s="141" t="s">
        <v>935</v>
      </c>
      <c r="L603" s="129" t="s">
        <v>725</v>
      </c>
      <c r="M603" s="129" t="s">
        <v>725</v>
      </c>
      <c r="N603" s="141">
        <v>100</v>
      </c>
      <c r="O603" s="129" t="s">
        <v>725</v>
      </c>
      <c r="P603" s="129" t="s">
        <v>725</v>
      </c>
      <c r="Q603" s="173">
        <v>8</v>
      </c>
      <c r="R603" s="141">
        <v>23</v>
      </c>
      <c r="S603" s="141">
        <v>16</v>
      </c>
      <c r="T603" s="143">
        <v>8</v>
      </c>
      <c r="U603" s="141" t="s">
        <v>726</v>
      </c>
      <c r="V603" s="141" t="s">
        <v>727</v>
      </c>
      <c r="W603" s="141" t="s">
        <v>684</v>
      </c>
      <c r="X603" s="141" t="s">
        <v>684</v>
      </c>
      <c r="Y603" s="141" t="s">
        <v>874</v>
      </c>
      <c r="Z603" s="143" t="s">
        <v>1750</v>
      </c>
      <c r="AA603" s="143">
        <v>25</v>
      </c>
      <c r="AB603" s="141" t="s">
        <v>684</v>
      </c>
      <c r="AC603" s="141" t="s">
        <v>684</v>
      </c>
      <c r="AD603" s="141" t="s">
        <v>684</v>
      </c>
      <c r="AE603" s="141" t="s">
        <v>684</v>
      </c>
      <c r="AF603" s="143">
        <v>0</v>
      </c>
      <c r="AG603" s="143">
        <v>0</v>
      </c>
      <c r="AH603" s="284">
        <v>6350</v>
      </c>
      <c r="AI603" s="141" t="s">
        <v>1751</v>
      </c>
      <c r="AJ603" s="164" t="s">
        <v>2124</v>
      </c>
      <c r="AK603" s="141" t="s">
        <v>684</v>
      </c>
      <c r="AL603" s="141" t="s">
        <v>684</v>
      </c>
      <c r="AM603" s="143"/>
      <c r="AN603" s="143" t="s">
        <v>685</v>
      </c>
      <c r="AO603" s="143" t="s">
        <v>2952</v>
      </c>
      <c r="AP603" s="143"/>
      <c r="AQ603" s="143"/>
      <c r="AR603" s="143"/>
      <c r="AS603" s="143"/>
      <c r="AT603" s="143"/>
      <c r="AU603" s="143"/>
      <c r="AV603" s="143"/>
      <c r="AW603" s="144"/>
      <c r="AX603" s="145"/>
      <c r="AY603" s="138"/>
      <c r="AZ603" s="138"/>
      <c r="BA603" s="138"/>
      <c r="BB603" s="138"/>
      <c r="BC603" s="138"/>
      <c r="BD603" s="138"/>
      <c r="BE603" s="138"/>
    </row>
    <row r="604" spans="1:60" s="139" customFormat="1" ht="58">
      <c r="A604" s="140" t="s">
        <v>6</v>
      </c>
      <c r="B604" s="129">
        <v>602</v>
      </c>
      <c r="C604" s="141" t="s">
        <v>1747</v>
      </c>
      <c r="D604" s="141" t="s">
        <v>3115</v>
      </c>
      <c r="E604" s="143" t="s">
        <v>1754</v>
      </c>
      <c r="F604" s="141" t="s">
        <v>1755</v>
      </c>
      <c r="G604" s="141" t="s">
        <v>684</v>
      </c>
      <c r="H604" s="141" t="s">
        <v>1745</v>
      </c>
      <c r="I604" s="141" t="s">
        <v>1746</v>
      </c>
      <c r="J604" s="141" t="s">
        <v>935</v>
      </c>
      <c r="K604" s="141" t="s">
        <v>935</v>
      </c>
      <c r="L604" s="129" t="s">
        <v>725</v>
      </c>
      <c r="M604" s="129" t="s">
        <v>725</v>
      </c>
      <c r="N604" s="141">
        <v>100</v>
      </c>
      <c r="O604" s="129" t="s">
        <v>725</v>
      </c>
      <c r="P604" s="129" t="s">
        <v>725</v>
      </c>
      <c r="Q604" s="173">
        <v>8</v>
      </c>
      <c r="R604" s="141">
        <v>31</v>
      </c>
      <c r="S604" s="141">
        <v>30</v>
      </c>
      <c r="T604" s="143">
        <v>2</v>
      </c>
      <c r="U604" s="141" t="s">
        <v>726</v>
      </c>
      <c r="V604" s="141" t="s">
        <v>727</v>
      </c>
      <c r="W604" s="141" t="s">
        <v>684</v>
      </c>
      <c r="X604" s="141" t="s">
        <v>684</v>
      </c>
      <c r="Y604" s="129" t="s">
        <v>728</v>
      </c>
      <c r="Z604" s="143" t="s">
        <v>728</v>
      </c>
      <c r="AA604" s="143">
        <v>1</v>
      </c>
      <c r="AB604" s="141" t="s">
        <v>684</v>
      </c>
      <c r="AC604" s="141" t="s">
        <v>684</v>
      </c>
      <c r="AD604" s="141" t="s">
        <v>684</v>
      </c>
      <c r="AE604" s="141" t="s">
        <v>684</v>
      </c>
      <c r="AF604" s="143">
        <v>0</v>
      </c>
      <c r="AG604" s="143">
        <v>0</v>
      </c>
      <c r="AH604" s="284">
        <v>2</v>
      </c>
      <c r="AI604" s="141" t="s">
        <v>875</v>
      </c>
      <c r="AJ604" s="164" t="s">
        <v>238</v>
      </c>
      <c r="AK604" s="141" t="s">
        <v>684</v>
      </c>
      <c r="AL604" s="141" t="s">
        <v>684</v>
      </c>
      <c r="AM604" s="143"/>
      <c r="AN604" s="143" t="s">
        <v>685</v>
      </c>
      <c r="AO604" s="143"/>
      <c r="AP604" s="143"/>
      <c r="AQ604" s="143"/>
      <c r="AR604" s="143"/>
      <c r="AS604" s="143"/>
      <c r="AT604" s="143"/>
      <c r="AU604" s="143"/>
      <c r="AV604" s="143"/>
      <c r="AW604" s="144"/>
      <c r="AX604" s="145"/>
      <c r="AY604" s="138"/>
      <c r="AZ604" s="138"/>
      <c r="BA604" s="138"/>
      <c r="BB604" s="138"/>
      <c r="BC604" s="138"/>
      <c r="BD604" s="138"/>
      <c r="BE604" s="138"/>
    </row>
    <row r="605" spans="1:60" s="139" customFormat="1" ht="30">
      <c r="A605" s="140" t="s">
        <v>6</v>
      </c>
      <c r="B605" s="129">
        <v>603</v>
      </c>
      <c r="C605" s="141" t="s">
        <v>1747</v>
      </c>
      <c r="D605" s="141" t="s">
        <v>3115</v>
      </c>
      <c r="E605" s="143" t="s">
        <v>1756</v>
      </c>
      <c r="F605" s="141" t="s">
        <v>1757</v>
      </c>
      <c r="G605" s="141" t="s">
        <v>684</v>
      </c>
      <c r="H605" s="141" t="s">
        <v>1745</v>
      </c>
      <c r="I605" s="141" t="s">
        <v>1746</v>
      </c>
      <c r="J605" s="141" t="s">
        <v>935</v>
      </c>
      <c r="K605" s="141" t="s">
        <v>935</v>
      </c>
      <c r="L605" s="129" t="s">
        <v>725</v>
      </c>
      <c r="M605" s="129" t="s">
        <v>725</v>
      </c>
      <c r="N605" s="141">
        <v>100</v>
      </c>
      <c r="O605" s="129" t="s">
        <v>725</v>
      </c>
      <c r="P605" s="129" t="s">
        <v>725</v>
      </c>
      <c r="Q605" s="173">
        <v>8</v>
      </c>
      <c r="R605" s="141">
        <v>29</v>
      </c>
      <c r="S605" s="141">
        <v>29</v>
      </c>
      <c r="T605" s="143">
        <v>1</v>
      </c>
      <c r="U605" s="141" t="s">
        <v>726</v>
      </c>
      <c r="V605" s="141" t="s">
        <v>727</v>
      </c>
      <c r="W605" s="141" t="s">
        <v>684</v>
      </c>
      <c r="X605" s="141" t="s">
        <v>684</v>
      </c>
      <c r="Y605" s="129" t="s">
        <v>728</v>
      </c>
      <c r="Z605" s="143" t="s">
        <v>728</v>
      </c>
      <c r="AA605" s="143">
        <v>1</v>
      </c>
      <c r="AB605" s="141" t="s">
        <v>684</v>
      </c>
      <c r="AC605" s="141" t="s">
        <v>684</v>
      </c>
      <c r="AD605" s="141" t="s">
        <v>684</v>
      </c>
      <c r="AE605" s="141" t="s">
        <v>684</v>
      </c>
      <c r="AF605" s="143">
        <v>0</v>
      </c>
      <c r="AG605" s="143">
        <v>0</v>
      </c>
      <c r="AH605" s="284">
        <v>1</v>
      </c>
      <c r="AI605" s="141" t="s">
        <v>875</v>
      </c>
      <c r="AJ605" s="164" t="s">
        <v>199</v>
      </c>
      <c r="AK605" s="141" t="s">
        <v>684</v>
      </c>
      <c r="AL605" s="141" t="s">
        <v>684</v>
      </c>
      <c r="AM605" s="143"/>
      <c r="AN605" s="143" t="s">
        <v>685</v>
      </c>
      <c r="AO605" s="143"/>
      <c r="AP605" s="143"/>
      <c r="AQ605" s="143"/>
      <c r="AR605" s="143"/>
      <c r="AS605" s="143"/>
      <c r="AT605" s="143"/>
      <c r="AU605" s="143"/>
      <c r="AV605" s="143"/>
      <c r="AW605" s="144"/>
      <c r="AX605" s="145"/>
      <c r="AY605" s="138"/>
      <c r="AZ605" s="138"/>
      <c r="BA605" s="138"/>
      <c r="BB605" s="138"/>
      <c r="BC605" s="138"/>
      <c r="BD605" s="138"/>
      <c r="BE605" s="138"/>
    </row>
    <row r="606" spans="1:60" s="139" customFormat="1" ht="30">
      <c r="A606" s="140" t="s">
        <v>6</v>
      </c>
      <c r="B606" s="129">
        <v>604</v>
      </c>
      <c r="C606" s="141" t="s">
        <v>1747</v>
      </c>
      <c r="D606" s="141" t="s">
        <v>3115</v>
      </c>
      <c r="E606" s="143" t="s">
        <v>1758</v>
      </c>
      <c r="F606" s="141" t="s">
        <v>1759</v>
      </c>
      <c r="G606" s="141" t="s">
        <v>684</v>
      </c>
      <c r="H606" s="141" t="s">
        <v>1745</v>
      </c>
      <c r="I606" s="141" t="s">
        <v>1746</v>
      </c>
      <c r="J606" s="141" t="s">
        <v>935</v>
      </c>
      <c r="K606" s="141" t="s">
        <v>935</v>
      </c>
      <c r="L606" s="129" t="s">
        <v>725</v>
      </c>
      <c r="M606" s="129" t="s">
        <v>725</v>
      </c>
      <c r="N606" s="141">
        <v>100</v>
      </c>
      <c r="O606" s="129" t="s">
        <v>725</v>
      </c>
      <c r="P606" s="129" t="s">
        <v>725</v>
      </c>
      <c r="Q606" s="173">
        <v>8</v>
      </c>
      <c r="R606" s="141">
        <v>28</v>
      </c>
      <c r="S606" s="141">
        <v>28</v>
      </c>
      <c r="T606" s="143">
        <v>1</v>
      </c>
      <c r="U606" s="141" t="s">
        <v>726</v>
      </c>
      <c r="V606" s="141" t="s">
        <v>727</v>
      </c>
      <c r="W606" s="141" t="s">
        <v>684</v>
      </c>
      <c r="X606" s="141" t="s">
        <v>684</v>
      </c>
      <c r="Y606" s="129" t="s">
        <v>728</v>
      </c>
      <c r="Z606" s="143" t="s">
        <v>728</v>
      </c>
      <c r="AA606" s="143">
        <v>1</v>
      </c>
      <c r="AB606" s="141" t="s">
        <v>684</v>
      </c>
      <c r="AC606" s="141" t="s">
        <v>684</v>
      </c>
      <c r="AD606" s="141" t="s">
        <v>684</v>
      </c>
      <c r="AE606" s="141" t="s">
        <v>684</v>
      </c>
      <c r="AF606" s="143">
        <v>0</v>
      </c>
      <c r="AG606" s="143">
        <v>0</v>
      </c>
      <c r="AH606" s="284">
        <v>1</v>
      </c>
      <c r="AI606" s="141" t="s">
        <v>875</v>
      </c>
      <c r="AJ606" s="164" t="s">
        <v>239</v>
      </c>
      <c r="AK606" s="141" t="s">
        <v>684</v>
      </c>
      <c r="AL606" s="141" t="s">
        <v>684</v>
      </c>
      <c r="AM606" s="143"/>
      <c r="AN606" s="143" t="s">
        <v>685</v>
      </c>
      <c r="AO606" s="143"/>
      <c r="AP606" s="143"/>
      <c r="AQ606" s="143"/>
      <c r="AR606" s="143"/>
      <c r="AS606" s="143"/>
      <c r="AT606" s="143"/>
      <c r="AU606" s="143"/>
      <c r="AV606" s="143"/>
      <c r="AW606" s="144"/>
      <c r="AX606" s="145"/>
      <c r="AY606" s="138"/>
      <c r="AZ606" s="138"/>
      <c r="BA606" s="138"/>
      <c r="BB606" s="138"/>
      <c r="BC606" s="138"/>
      <c r="BD606" s="138"/>
      <c r="BE606" s="138"/>
    </row>
    <row r="607" spans="1:60" s="139" customFormat="1" ht="30">
      <c r="A607" s="140" t="s">
        <v>6</v>
      </c>
      <c r="B607" s="129">
        <v>605</v>
      </c>
      <c r="C607" s="141" t="s">
        <v>1747</v>
      </c>
      <c r="D607" s="141" t="s">
        <v>3115</v>
      </c>
      <c r="E607" s="143" t="s">
        <v>1760</v>
      </c>
      <c r="F607" s="141" t="s">
        <v>1761</v>
      </c>
      <c r="G607" s="141" t="s">
        <v>684</v>
      </c>
      <c r="H607" s="141" t="s">
        <v>1745</v>
      </c>
      <c r="I607" s="141" t="s">
        <v>1746</v>
      </c>
      <c r="J607" s="141" t="s">
        <v>935</v>
      </c>
      <c r="K607" s="141" t="s">
        <v>935</v>
      </c>
      <c r="L607" s="129" t="s">
        <v>725</v>
      </c>
      <c r="M607" s="129" t="s">
        <v>725</v>
      </c>
      <c r="N607" s="141">
        <v>100</v>
      </c>
      <c r="O607" s="129" t="s">
        <v>725</v>
      </c>
      <c r="P607" s="129" t="s">
        <v>725</v>
      </c>
      <c r="Q607" s="173">
        <v>8</v>
      </c>
      <c r="R607" s="141">
        <v>27</v>
      </c>
      <c r="S607" s="141">
        <v>27</v>
      </c>
      <c r="T607" s="143">
        <v>1</v>
      </c>
      <c r="U607" s="141" t="s">
        <v>726</v>
      </c>
      <c r="V607" s="141" t="s">
        <v>727</v>
      </c>
      <c r="W607" s="141" t="s">
        <v>684</v>
      </c>
      <c r="X607" s="141" t="s">
        <v>684</v>
      </c>
      <c r="Y607" s="129" t="s">
        <v>728</v>
      </c>
      <c r="Z607" s="143" t="s">
        <v>728</v>
      </c>
      <c r="AA607" s="143">
        <v>1</v>
      </c>
      <c r="AB607" s="141" t="s">
        <v>684</v>
      </c>
      <c r="AC607" s="141" t="s">
        <v>684</v>
      </c>
      <c r="AD607" s="141" t="s">
        <v>684</v>
      </c>
      <c r="AE607" s="141" t="s">
        <v>684</v>
      </c>
      <c r="AF607" s="143">
        <v>0</v>
      </c>
      <c r="AG607" s="143">
        <v>0</v>
      </c>
      <c r="AH607" s="284">
        <v>1</v>
      </c>
      <c r="AI607" s="141" t="s">
        <v>875</v>
      </c>
      <c r="AJ607" s="164" t="s">
        <v>239</v>
      </c>
      <c r="AK607" s="141" t="s">
        <v>684</v>
      </c>
      <c r="AL607" s="141" t="s">
        <v>684</v>
      </c>
      <c r="AM607" s="143"/>
      <c r="AN607" s="143" t="s">
        <v>685</v>
      </c>
      <c r="AO607" s="143"/>
      <c r="AP607" s="143"/>
      <c r="AQ607" s="143"/>
      <c r="AR607" s="143"/>
      <c r="AS607" s="143"/>
      <c r="AT607" s="143"/>
      <c r="AU607" s="143"/>
      <c r="AV607" s="143"/>
      <c r="AW607" s="144"/>
      <c r="AX607" s="145"/>
      <c r="AY607" s="138"/>
      <c r="AZ607" s="138"/>
      <c r="BA607" s="138"/>
      <c r="BB607" s="138"/>
      <c r="BC607" s="138"/>
      <c r="BD607" s="138"/>
      <c r="BE607" s="138"/>
    </row>
    <row r="608" spans="1:60" s="139" customFormat="1" ht="112">
      <c r="A608" s="140" t="s">
        <v>6</v>
      </c>
      <c r="B608" s="129">
        <v>606</v>
      </c>
      <c r="C608" s="141" t="s">
        <v>1747</v>
      </c>
      <c r="D608" s="143" t="s">
        <v>3115</v>
      </c>
      <c r="E608" s="141" t="s">
        <v>1762</v>
      </c>
      <c r="F608" s="141" t="s">
        <v>1763</v>
      </c>
      <c r="G608" s="141" t="s">
        <v>684</v>
      </c>
      <c r="H608" s="141" t="s">
        <v>1745</v>
      </c>
      <c r="I608" s="141" t="s">
        <v>1746</v>
      </c>
      <c r="J608" s="141" t="s">
        <v>935</v>
      </c>
      <c r="K608" s="141" t="s">
        <v>192</v>
      </c>
      <c r="L608" s="141" t="s">
        <v>198</v>
      </c>
      <c r="M608" s="141" t="s">
        <v>684</v>
      </c>
      <c r="N608" s="141">
        <v>100</v>
      </c>
      <c r="O608" s="129" t="s">
        <v>725</v>
      </c>
      <c r="P608" s="129" t="s">
        <v>725</v>
      </c>
      <c r="Q608" s="173">
        <v>8</v>
      </c>
      <c r="R608" s="143">
        <v>26</v>
      </c>
      <c r="S608" s="143">
        <v>24</v>
      </c>
      <c r="T608" s="143">
        <v>3</v>
      </c>
      <c r="U608" s="141" t="s">
        <v>1764</v>
      </c>
      <c r="V608" s="141" t="s">
        <v>727</v>
      </c>
      <c r="W608" s="141" t="s">
        <v>684</v>
      </c>
      <c r="X608" s="141" t="s">
        <v>684</v>
      </c>
      <c r="Y608" s="143" t="s">
        <v>728</v>
      </c>
      <c r="Z608" s="143" t="s">
        <v>728</v>
      </c>
      <c r="AA608" s="141">
        <v>1</v>
      </c>
      <c r="AB608" s="141">
        <v>1</v>
      </c>
      <c r="AC608" s="141" t="s">
        <v>684</v>
      </c>
      <c r="AD608" s="141">
        <v>1</v>
      </c>
      <c r="AE608" s="141" t="s">
        <v>684</v>
      </c>
      <c r="AF608" s="141">
        <v>0</v>
      </c>
      <c r="AG608" s="141">
        <v>0</v>
      </c>
      <c r="AH608" s="143">
        <v>1</v>
      </c>
      <c r="AI608" s="141" t="s">
        <v>198</v>
      </c>
      <c r="AJ608" s="287" t="s">
        <v>1848</v>
      </c>
      <c r="AK608" s="141" t="s">
        <v>684</v>
      </c>
      <c r="AL608" s="141" t="s">
        <v>684</v>
      </c>
      <c r="AM608" s="143"/>
      <c r="AN608" s="143" t="s">
        <v>685</v>
      </c>
      <c r="AO608" s="143"/>
      <c r="AP608" s="143"/>
      <c r="AQ608" s="143"/>
      <c r="AR608" s="143"/>
      <c r="AS608" s="143"/>
      <c r="AT608" s="143"/>
      <c r="AU608" s="143"/>
      <c r="AV608" s="143"/>
      <c r="AW608" s="144"/>
      <c r="AX608" s="145"/>
      <c r="AY608" s="138"/>
      <c r="AZ608" s="138"/>
      <c r="BA608" s="138"/>
      <c r="BB608" s="138"/>
      <c r="BC608" s="138"/>
      <c r="BD608" s="138"/>
      <c r="BE608" s="138"/>
    </row>
    <row r="609" spans="1:16384" s="139" customFormat="1" ht="228">
      <c r="A609" s="140" t="s">
        <v>6</v>
      </c>
      <c r="B609" s="129">
        <v>607</v>
      </c>
      <c r="C609" s="141" t="s">
        <v>1747</v>
      </c>
      <c r="D609" s="288" t="s">
        <v>3115</v>
      </c>
      <c r="E609" s="170" t="s">
        <v>2608</v>
      </c>
      <c r="F609" s="163" t="s">
        <v>2609</v>
      </c>
      <c r="G609" s="242" t="s">
        <v>665</v>
      </c>
      <c r="H609" s="242" t="s">
        <v>1745</v>
      </c>
      <c r="I609" s="169" t="s">
        <v>1746</v>
      </c>
      <c r="J609" s="242" t="s">
        <v>815</v>
      </c>
      <c r="K609" s="242" t="s">
        <v>192</v>
      </c>
      <c r="L609" s="242" t="s">
        <v>3024</v>
      </c>
      <c r="M609" s="242" t="s">
        <v>665</v>
      </c>
      <c r="N609" s="141">
        <v>100</v>
      </c>
      <c r="O609" s="129" t="s">
        <v>193</v>
      </c>
      <c r="P609" s="129" t="s">
        <v>193</v>
      </c>
      <c r="Q609" s="173">
        <v>8</v>
      </c>
      <c r="R609" s="143">
        <v>55</v>
      </c>
      <c r="S609" s="143">
        <v>53</v>
      </c>
      <c r="T609" s="143">
        <v>3</v>
      </c>
      <c r="U609" s="141" t="s">
        <v>1764</v>
      </c>
      <c r="V609" s="141" t="s">
        <v>671</v>
      </c>
      <c r="W609" s="242" t="s">
        <v>665</v>
      </c>
      <c r="X609" s="242" t="s">
        <v>665</v>
      </c>
      <c r="Y609" s="163" t="s">
        <v>1667</v>
      </c>
      <c r="Z609" s="289" t="s">
        <v>1506</v>
      </c>
      <c r="AA609" s="242">
        <v>1</v>
      </c>
      <c r="AB609" s="242">
        <v>1</v>
      </c>
      <c r="AC609" s="242" t="s">
        <v>665</v>
      </c>
      <c r="AD609" s="242">
        <v>1</v>
      </c>
      <c r="AE609" s="242" t="s">
        <v>665</v>
      </c>
      <c r="AF609" s="242">
        <v>0</v>
      </c>
      <c r="AG609" s="242">
        <v>0</v>
      </c>
      <c r="AH609" s="143">
        <v>7</v>
      </c>
      <c r="AI609" s="242" t="s">
        <v>198</v>
      </c>
      <c r="AJ609" s="317" t="s">
        <v>3018</v>
      </c>
      <c r="AK609" s="242" t="s">
        <v>665</v>
      </c>
      <c r="AL609" s="141" t="s">
        <v>665</v>
      </c>
      <c r="AM609" s="143"/>
      <c r="AN609" s="143" t="s">
        <v>677</v>
      </c>
      <c r="AO609" s="143"/>
      <c r="AP609" s="143"/>
      <c r="AQ609" s="143"/>
      <c r="AR609" s="143"/>
      <c r="AS609" s="144"/>
      <c r="AT609" s="143"/>
      <c r="AU609" s="143"/>
      <c r="AV609" s="143"/>
      <c r="AW609" s="144"/>
      <c r="AX609" s="145"/>
      <c r="AY609" s="138"/>
      <c r="AZ609" s="138"/>
      <c r="BA609" s="138"/>
    </row>
    <row r="610" spans="1:16384" s="138" customFormat="1" ht="30">
      <c r="A610" s="140" t="s">
        <v>6</v>
      </c>
      <c r="B610" s="129">
        <v>608</v>
      </c>
      <c r="C610" s="141" t="s">
        <v>1747</v>
      </c>
      <c r="D610" s="141" t="s">
        <v>3115</v>
      </c>
      <c r="E610" s="143" t="s">
        <v>1765</v>
      </c>
      <c r="F610" s="141" t="s">
        <v>1766</v>
      </c>
      <c r="G610" s="141" t="s">
        <v>684</v>
      </c>
      <c r="H610" s="141" t="s">
        <v>1745</v>
      </c>
      <c r="I610" s="141" t="s">
        <v>1746</v>
      </c>
      <c r="J610" s="141" t="s">
        <v>935</v>
      </c>
      <c r="K610" s="141" t="s">
        <v>935</v>
      </c>
      <c r="L610" s="129" t="s">
        <v>725</v>
      </c>
      <c r="M610" s="129" t="s">
        <v>725</v>
      </c>
      <c r="N610" s="141">
        <v>100</v>
      </c>
      <c r="O610" s="129" t="s">
        <v>725</v>
      </c>
      <c r="P610" s="129" t="s">
        <v>725</v>
      </c>
      <c r="Q610" s="173">
        <v>8</v>
      </c>
      <c r="R610" s="141">
        <v>52</v>
      </c>
      <c r="S610" s="141">
        <v>52</v>
      </c>
      <c r="T610" s="143">
        <v>1</v>
      </c>
      <c r="U610" s="141" t="s">
        <v>726</v>
      </c>
      <c r="V610" s="141" t="s">
        <v>727</v>
      </c>
      <c r="W610" s="141" t="s">
        <v>684</v>
      </c>
      <c r="X610" s="141" t="s">
        <v>684</v>
      </c>
      <c r="Y610" s="129" t="s">
        <v>728</v>
      </c>
      <c r="Z610" s="143" t="s">
        <v>684</v>
      </c>
      <c r="AA610" s="143">
        <v>1</v>
      </c>
      <c r="AB610" s="141" t="s">
        <v>198</v>
      </c>
      <c r="AC610" s="141" t="s">
        <v>198</v>
      </c>
      <c r="AD610" s="141" t="s">
        <v>198</v>
      </c>
      <c r="AE610" s="141" t="s">
        <v>198</v>
      </c>
      <c r="AF610" s="143">
        <v>0</v>
      </c>
      <c r="AG610" s="143">
        <v>0</v>
      </c>
      <c r="AH610" s="284">
        <v>1</v>
      </c>
      <c r="AI610" s="141" t="s">
        <v>684</v>
      </c>
      <c r="AJ610" s="164" t="s">
        <v>1767</v>
      </c>
      <c r="AK610" s="141" t="s">
        <v>198</v>
      </c>
      <c r="AL610" s="141" t="s">
        <v>684</v>
      </c>
      <c r="AM610" s="143"/>
      <c r="AN610" s="143" t="s">
        <v>685</v>
      </c>
      <c r="AO610" s="143"/>
      <c r="AP610" s="143"/>
      <c r="AQ610" s="143"/>
      <c r="AR610" s="143"/>
      <c r="AS610" s="143"/>
      <c r="AT610" s="143"/>
      <c r="AU610" s="143"/>
      <c r="AV610" s="143"/>
      <c r="AW610" s="144"/>
      <c r="AX610" s="145"/>
    </row>
    <row r="611" spans="1:16384" s="138" customFormat="1" ht="170">
      <c r="A611" s="140" t="s">
        <v>6</v>
      </c>
      <c r="B611" s="129">
        <v>609</v>
      </c>
      <c r="C611" s="141" t="s">
        <v>1747</v>
      </c>
      <c r="D611" s="141" t="s">
        <v>3115</v>
      </c>
      <c r="E611" s="143" t="s">
        <v>1768</v>
      </c>
      <c r="F611" s="141" t="s">
        <v>1769</v>
      </c>
      <c r="G611" s="141" t="s">
        <v>684</v>
      </c>
      <c r="H611" s="141" t="s">
        <v>1745</v>
      </c>
      <c r="I611" s="141" t="s">
        <v>1746</v>
      </c>
      <c r="J611" s="141" t="s">
        <v>935</v>
      </c>
      <c r="K611" s="141" t="s">
        <v>935</v>
      </c>
      <c r="L611" s="129" t="s">
        <v>725</v>
      </c>
      <c r="M611" s="129" t="s">
        <v>725</v>
      </c>
      <c r="N611" s="141">
        <v>100</v>
      </c>
      <c r="O611" s="129" t="s">
        <v>725</v>
      </c>
      <c r="P611" s="129" t="s">
        <v>725</v>
      </c>
      <c r="Q611" s="173">
        <v>8</v>
      </c>
      <c r="R611" s="141">
        <v>51</v>
      </c>
      <c r="S611" s="141">
        <v>48</v>
      </c>
      <c r="T611" s="143">
        <v>4</v>
      </c>
      <c r="U611" s="141" t="s">
        <v>726</v>
      </c>
      <c r="V611" s="141" t="s">
        <v>727</v>
      </c>
      <c r="W611" s="141" t="s">
        <v>684</v>
      </c>
      <c r="X611" s="141" t="s">
        <v>684</v>
      </c>
      <c r="Y611" s="129" t="s">
        <v>1770</v>
      </c>
      <c r="Z611" s="143" t="s">
        <v>684</v>
      </c>
      <c r="AA611" s="143">
        <v>1</v>
      </c>
      <c r="AB611" s="141" t="s">
        <v>198</v>
      </c>
      <c r="AC611" s="141" t="s">
        <v>198</v>
      </c>
      <c r="AD611" s="141" t="s">
        <v>198</v>
      </c>
      <c r="AE611" s="141" t="s">
        <v>198</v>
      </c>
      <c r="AF611" s="143">
        <v>0</v>
      </c>
      <c r="AG611" s="143">
        <v>0</v>
      </c>
      <c r="AH611" s="284">
        <v>16</v>
      </c>
      <c r="AI611" s="141" t="s">
        <v>684</v>
      </c>
      <c r="AJ611" s="164" t="s">
        <v>2179</v>
      </c>
      <c r="AK611" s="141" t="s">
        <v>198</v>
      </c>
      <c r="AL611" s="141" t="s">
        <v>684</v>
      </c>
      <c r="AM611" s="143"/>
      <c r="AN611" s="143" t="s">
        <v>685</v>
      </c>
      <c r="AO611" s="143"/>
      <c r="AP611" s="143"/>
      <c r="AQ611" s="143"/>
      <c r="AR611" s="143"/>
      <c r="AS611" s="143"/>
      <c r="AT611" s="143"/>
      <c r="AU611" s="143"/>
      <c r="AV611" s="143"/>
      <c r="AW611" s="144"/>
      <c r="AX611" s="145"/>
    </row>
    <row r="612" spans="1:16384" s="138" customFormat="1" ht="25">
      <c r="A612" s="140" t="s">
        <v>6</v>
      </c>
      <c r="B612" s="129">
        <v>610</v>
      </c>
      <c r="C612" s="141" t="s">
        <v>1747</v>
      </c>
      <c r="D612" s="141" t="s">
        <v>3115</v>
      </c>
      <c r="E612" s="143" t="s">
        <v>1771</v>
      </c>
      <c r="F612" s="141" t="s">
        <v>1140</v>
      </c>
      <c r="G612" s="141" t="s">
        <v>684</v>
      </c>
      <c r="H612" s="141" t="s">
        <v>1745</v>
      </c>
      <c r="I612" s="141" t="s">
        <v>1746</v>
      </c>
      <c r="J612" s="141" t="s">
        <v>935</v>
      </c>
      <c r="K612" s="141" t="s">
        <v>935</v>
      </c>
      <c r="L612" s="129" t="s">
        <v>725</v>
      </c>
      <c r="M612" s="129" t="s">
        <v>725</v>
      </c>
      <c r="N612" s="141">
        <v>100</v>
      </c>
      <c r="O612" s="129" t="s">
        <v>725</v>
      </c>
      <c r="P612" s="129" t="s">
        <v>725</v>
      </c>
      <c r="Q612" s="173">
        <v>8</v>
      </c>
      <c r="R612" s="141">
        <v>59</v>
      </c>
      <c r="S612" s="141">
        <v>56</v>
      </c>
      <c r="T612" s="143">
        <v>4</v>
      </c>
      <c r="U612" s="141" t="s">
        <v>726</v>
      </c>
      <c r="V612" s="141" t="s">
        <v>727</v>
      </c>
      <c r="W612" s="141" t="s">
        <v>684</v>
      </c>
      <c r="X612" s="141" t="s">
        <v>684</v>
      </c>
      <c r="Y612" s="129" t="s">
        <v>728</v>
      </c>
      <c r="Z612" s="143" t="s">
        <v>684</v>
      </c>
      <c r="AA612" s="143">
        <v>1</v>
      </c>
      <c r="AB612" s="141" t="s">
        <v>198</v>
      </c>
      <c r="AC612" s="141" t="s">
        <v>198</v>
      </c>
      <c r="AD612" s="141" t="s">
        <v>198</v>
      </c>
      <c r="AE612" s="141" t="s">
        <v>198</v>
      </c>
      <c r="AF612" s="143">
        <v>0</v>
      </c>
      <c r="AG612" s="143">
        <v>0</v>
      </c>
      <c r="AH612" s="284">
        <v>7</v>
      </c>
      <c r="AI612" s="141" t="s">
        <v>684</v>
      </c>
      <c r="AJ612" s="164" t="s">
        <v>684</v>
      </c>
      <c r="AK612" s="141" t="s">
        <v>684</v>
      </c>
      <c r="AL612" s="141" t="s">
        <v>684</v>
      </c>
      <c r="AM612" s="143"/>
      <c r="AN612" s="143" t="s">
        <v>685</v>
      </c>
      <c r="AO612" s="143"/>
      <c r="AP612" s="143"/>
      <c r="AQ612" s="143"/>
      <c r="AR612" s="143"/>
      <c r="AS612" s="143"/>
      <c r="AT612" s="143"/>
      <c r="AU612" s="143"/>
      <c r="AV612" s="143"/>
      <c r="AW612" s="144"/>
      <c r="AX612" s="145"/>
    </row>
    <row r="613" spans="1:16384" s="295" customFormat="1" ht="30">
      <c r="A613" s="140" t="s">
        <v>6</v>
      </c>
      <c r="B613" s="129">
        <v>611</v>
      </c>
      <c r="C613" s="141" t="s">
        <v>1747</v>
      </c>
      <c r="D613" s="242" t="s">
        <v>3118</v>
      </c>
      <c r="E613" s="141" t="s">
        <v>1937</v>
      </c>
      <c r="F613" s="141" t="s">
        <v>1938</v>
      </c>
      <c r="G613" s="242" t="s">
        <v>665</v>
      </c>
      <c r="H613" s="242" t="s">
        <v>1939</v>
      </c>
      <c r="I613" s="242" t="s">
        <v>1773</v>
      </c>
      <c r="J613" s="242" t="s">
        <v>815</v>
      </c>
      <c r="K613" s="242" t="s">
        <v>192</v>
      </c>
      <c r="L613" s="242" t="s">
        <v>198</v>
      </c>
      <c r="M613" s="242" t="s">
        <v>665</v>
      </c>
      <c r="N613" s="242">
        <v>100</v>
      </c>
      <c r="O613" s="242">
        <v>30</v>
      </c>
      <c r="P613" s="242" t="s">
        <v>665</v>
      </c>
      <c r="Q613" s="242">
        <v>8</v>
      </c>
      <c r="R613" s="242">
        <v>7</v>
      </c>
      <c r="S613" s="242">
        <v>7</v>
      </c>
      <c r="T613" s="242">
        <v>1</v>
      </c>
      <c r="U613" s="141" t="s">
        <v>1764</v>
      </c>
      <c r="V613" s="141" t="s">
        <v>671</v>
      </c>
      <c r="W613" s="242">
        <v>200</v>
      </c>
      <c r="X613" s="242" t="s">
        <v>665</v>
      </c>
      <c r="Y613" s="242" t="s">
        <v>339</v>
      </c>
      <c r="Z613" s="242" t="s">
        <v>339</v>
      </c>
      <c r="AA613" s="242">
        <v>1</v>
      </c>
      <c r="AB613" s="242">
        <v>1</v>
      </c>
      <c r="AC613" s="242" t="s">
        <v>665</v>
      </c>
      <c r="AD613" s="242">
        <v>1</v>
      </c>
      <c r="AE613" s="242" t="s">
        <v>665</v>
      </c>
      <c r="AF613" s="242">
        <v>0</v>
      </c>
      <c r="AG613" s="242">
        <v>0</v>
      </c>
      <c r="AH613" s="242">
        <v>1</v>
      </c>
      <c r="AI613" s="242" t="s">
        <v>198</v>
      </c>
      <c r="AJ613" s="290" t="s">
        <v>2696</v>
      </c>
      <c r="AK613" s="242" t="s">
        <v>1940</v>
      </c>
      <c r="AL613" s="290" t="s">
        <v>1941</v>
      </c>
      <c r="AM613" s="242"/>
      <c r="AN613" s="291" t="s">
        <v>1942</v>
      </c>
      <c r="AO613" s="291"/>
      <c r="AP613" s="291"/>
      <c r="AQ613" s="291"/>
      <c r="AR613" s="291"/>
      <c r="AS613" s="291"/>
      <c r="AT613" s="291"/>
      <c r="AU613" s="291"/>
      <c r="AV613" s="291"/>
      <c r="AW613" s="292"/>
      <c r="AX613" s="293"/>
      <c r="AY613" s="294"/>
      <c r="AZ613" s="294"/>
      <c r="BA613" s="294"/>
      <c r="BB613" s="294"/>
      <c r="BC613" s="294"/>
      <c r="BD613" s="294"/>
      <c r="BE613" s="294"/>
      <c r="BF613" s="294"/>
      <c r="BG613" s="294"/>
      <c r="BH613" s="294"/>
      <c r="BI613" s="294"/>
      <c r="BJ613" s="294"/>
      <c r="BK613" s="294"/>
      <c r="BL613" s="294"/>
      <c r="BM613" s="294"/>
      <c r="BN613" s="294"/>
      <c r="BO613" s="294"/>
      <c r="BP613" s="294"/>
      <c r="BQ613" s="294"/>
      <c r="BR613" s="294"/>
      <c r="BS613" s="294"/>
      <c r="BT613" s="294"/>
      <c r="BU613" s="294"/>
      <c r="BV613" s="294"/>
      <c r="BW613" s="294"/>
      <c r="BX613" s="294"/>
      <c r="BY613" s="294"/>
      <c r="BZ613" s="294"/>
      <c r="CA613" s="294"/>
      <c r="CB613" s="294"/>
      <c r="CC613" s="294"/>
      <c r="CD613" s="294"/>
      <c r="CE613" s="294"/>
      <c r="CF613" s="294"/>
      <c r="CG613" s="294"/>
      <c r="CH613" s="294"/>
      <c r="CI613" s="294"/>
      <c r="CJ613" s="294"/>
      <c r="CK613" s="294"/>
      <c r="CL613" s="294"/>
      <c r="CM613" s="294"/>
      <c r="CN613" s="294"/>
      <c r="CO613" s="294"/>
      <c r="CP613" s="294"/>
      <c r="CQ613" s="294"/>
      <c r="CR613" s="294"/>
      <c r="CS613" s="294"/>
      <c r="CT613" s="294"/>
      <c r="CU613" s="294"/>
      <c r="CV613" s="294"/>
      <c r="CW613" s="294"/>
      <c r="CX613" s="294"/>
      <c r="CY613" s="294"/>
      <c r="CZ613" s="294"/>
      <c r="DA613" s="294"/>
      <c r="DB613" s="294"/>
      <c r="DC613" s="294"/>
      <c r="DD613" s="294"/>
      <c r="DE613" s="294"/>
      <c r="DF613" s="294"/>
      <c r="DG613" s="294"/>
      <c r="DH613" s="294"/>
      <c r="DI613" s="294"/>
      <c r="DJ613" s="294"/>
      <c r="DK613" s="294"/>
      <c r="DL613" s="294"/>
      <c r="DM613" s="294"/>
      <c r="DN613" s="294"/>
      <c r="DO613" s="294"/>
      <c r="DP613" s="294"/>
      <c r="DQ613" s="294"/>
      <c r="DR613" s="294"/>
      <c r="DS613" s="294"/>
      <c r="DT613" s="294"/>
      <c r="DU613" s="294"/>
      <c r="DV613" s="294"/>
      <c r="DW613" s="294"/>
      <c r="DX613" s="294"/>
      <c r="DY613" s="294"/>
      <c r="DZ613" s="294"/>
      <c r="EA613" s="294"/>
      <c r="EB613" s="294"/>
      <c r="EC613" s="294"/>
      <c r="ED613" s="294"/>
      <c r="EE613" s="294"/>
      <c r="EF613" s="294"/>
      <c r="EG613" s="294"/>
      <c r="EH613" s="294"/>
      <c r="EI613" s="294"/>
      <c r="EJ613" s="294"/>
      <c r="EK613" s="294"/>
      <c r="EL613" s="294"/>
      <c r="EM613" s="294"/>
      <c r="EN613" s="294"/>
      <c r="EO613" s="294"/>
      <c r="EP613" s="294"/>
      <c r="EQ613" s="294"/>
      <c r="ER613" s="294"/>
      <c r="ES613" s="294"/>
      <c r="ET613" s="294"/>
      <c r="EU613" s="294"/>
      <c r="EV613" s="294"/>
      <c r="EW613" s="294"/>
      <c r="EX613" s="294"/>
      <c r="EY613" s="294"/>
      <c r="EZ613" s="294"/>
      <c r="FA613" s="294"/>
      <c r="FB613" s="294"/>
      <c r="FC613" s="294"/>
      <c r="FD613" s="294"/>
      <c r="FE613" s="294"/>
      <c r="FF613" s="294"/>
      <c r="FG613" s="294"/>
      <c r="FH613" s="294"/>
      <c r="FI613" s="294"/>
      <c r="FJ613" s="294"/>
      <c r="FK613" s="294"/>
      <c r="FL613" s="294"/>
      <c r="FM613" s="294"/>
      <c r="FN613" s="294"/>
      <c r="FO613" s="294"/>
      <c r="FP613" s="294"/>
      <c r="FQ613" s="294"/>
      <c r="FR613" s="294"/>
      <c r="FS613" s="294"/>
      <c r="FT613" s="294"/>
      <c r="FU613" s="294"/>
      <c r="FV613" s="294"/>
      <c r="FW613" s="294"/>
      <c r="FX613" s="294"/>
      <c r="FY613" s="294"/>
      <c r="FZ613" s="294"/>
      <c r="GA613" s="294"/>
      <c r="GB613" s="294"/>
      <c r="GC613" s="294"/>
      <c r="GD613" s="294"/>
      <c r="GE613" s="294"/>
      <c r="GF613" s="294"/>
      <c r="GG613" s="294"/>
      <c r="GH613" s="294"/>
      <c r="GI613" s="294"/>
      <c r="GJ613" s="294"/>
      <c r="GK613" s="294"/>
      <c r="GL613" s="294"/>
      <c r="GM613" s="294"/>
      <c r="GN613" s="294"/>
      <c r="GO613" s="294"/>
      <c r="GP613" s="294"/>
      <c r="GQ613" s="294"/>
      <c r="GR613" s="294"/>
      <c r="GS613" s="294"/>
      <c r="GT613" s="294"/>
      <c r="GU613" s="294"/>
      <c r="GV613" s="294"/>
      <c r="GW613" s="294"/>
      <c r="GX613" s="294"/>
      <c r="GY613" s="294"/>
      <c r="GZ613" s="294"/>
      <c r="HA613" s="294"/>
      <c r="HB613" s="294"/>
      <c r="HC613" s="294"/>
      <c r="HD613" s="294"/>
      <c r="HE613" s="294"/>
      <c r="HF613" s="294"/>
      <c r="HG613" s="294"/>
      <c r="HH613" s="294"/>
      <c r="HI613" s="294"/>
      <c r="HJ613" s="294"/>
      <c r="HK613" s="294"/>
      <c r="HL613" s="294"/>
      <c r="HM613" s="294"/>
      <c r="HN613" s="294"/>
      <c r="HO613" s="294"/>
      <c r="HP613" s="294"/>
      <c r="HQ613" s="294"/>
      <c r="HR613" s="294"/>
      <c r="HS613" s="294"/>
      <c r="HT613" s="294"/>
      <c r="HU613" s="294"/>
      <c r="HV613" s="294"/>
      <c r="HW613" s="294"/>
      <c r="HX613" s="294"/>
      <c r="HY613" s="294"/>
      <c r="HZ613" s="294"/>
      <c r="IA613" s="294"/>
      <c r="IB613" s="294"/>
      <c r="IC613" s="294"/>
      <c r="ID613" s="294"/>
      <c r="IE613" s="294"/>
      <c r="IF613" s="294"/>
      <c r="IG613" s="294"/>
      <c r="IH613" s="294"/>
      <c r="II613" s="294"/>
      <c r="IJ613" s="294"/>
      <c r="IK613" s="294"/>
      <c r="IL613" s="294"/>
      <c r="IM613" s="294"/>
      <c r="IN613" s="294"/>
      <c r="IO613" s="294"/>
      <c r="IP613" s="294"/>
      <c r="IQ613" s="294"/>
      <c r="IR613" s="294"/>
      <c r="IS613" s="294"/>
      <c r="IT613" s="294"/>
      <c r="IU613" s="294"/>
      <c r="IV613" s="294"/>
      <c r="IW613" s="294"/>
      <c r="IX613" s="294"/>
      <c r="IY613" s="294"/>
      <c r="IZ613" s="294"/>
      <c r="JA613" s="294"/>
      <c r="JB613" s="294"/>
      <c r="JC613" s="294"/>
      <c r="JD613" s="294"/>
      <c r="JE613" s="294"/>
      <c r="JF613" s="294"/>
      <c r="JG613" s="294"/>
      <c r="JH613" s="294"/>
      <c r="JI613" s="294"/>
      <c r="JJ613" s="294"/>
      <c r="JK613" s="294"/>
      <c r="JL613" s="294"/>
      <c r="JM613" s="294"/>
      <c r="JN613" s="294"/>
      <c r="JO613" s="294"/>
      <c r="JP613" s="294"/>
      <c r="JQ613" s="294"/>
      <c r="JR613" s="294"/>
      <c r="JS613" s="294"/>
      <c r="JT613" s="294"/>
      <c r="JU613" s="294"/>
      <c r="JV613" s="294"/>
      <c r="JW613" s="294"/>
      <c r="JX613" s="294"/>
      <c r="JY613" s="294"/>
      <c r="JZ613" s="294"/>
      <c r="KA613" s="294"/>
      <c r="KB613" s="294"/>
      <c r="KC613" s="294"/>
      <c r="KD613" s="294"/>
      <c r="KE613" s="294"/>
      <c r="KF613" s="294"/>
      <c r="KG613" s="294"/>
      <c r="KH613" s="294"/>
      <c r="KI613" s="294"/>
      <c r="KJ613" s="294"/>
      <c r="KK613" s="294"/>
      <c r="KL613" s="294"/>
      <c r="KM613" s="294"/>
      <c r="KN613" s="294"/>
      <c r="KO613" s="294"/>
      <c r="KP613" s="294"/>
      <c r="KQ613" s="294"/>
      <c r="KR613" s="294"/>
      <c r="KS613" s="294"/>
      <c r="KT613" s="294"/>
      <c r="KU613" s="294"/>
      <c r="KV613" s="294"/>
      <c r="KW613" s="294"/>
      <c r="KX613" s="294"/>
      <c r="KY613" s="294"/>
      <c r="KZ613" s="294"/>
      <c r="LA613" s="294"/>
      <c r="LB613" s="294"/>
      <c r="LC613" s="294"/>
      <c r="LD613" s="294"/>
      <c r="LE613" s="294"/>
      <c r="LF613" s="294"/>
      <c r="LG613" s="294"/>
      <c r="LH613" s="294"/>
      <c r="LI613" s="294"/>
      <c r="LJ613" s="294"/>
      <c r="LK613" s="294"/>
      <c r="LL613" s="294"/>
      <c r="LM613" s="294"/>
      <c r="LN613" s="294"/>
      <c r="LO613" s="294"/>
      <c r="LP613" s="294"/>
      <c r="LQ613" s="294"/>
      <c r="LR613" s="294"/>
      <c r="LS613" s="294"/>
      <c r="LT613" s="294"/>
      <c r="LU613" s="294"/>
      <c r="LV613" s="294"/>
      <c r="LW613" s="294"/>
      <c r="LX613" s="294"/>
      <c r="LY613" s="294"/>
      <c r="LZ613" s="294"/>
      <c r="MA613" s="294"/>
      <c r="MB613" s="294"/>
      <c r="MC613" s="294"/>
      <c r="MD613" s="294"/>
      <c r="ME613" s="294"/>
      <c r="MF613" s="294"/>
      <c r="MG613" s="294"/>
      <c r="MH613" s="294"/>
      <c r="MI613" s="294"/>
      <c r="MJ613" s="294"/>
      <c r="MK613" s="294"/>
      <c r="ML613" s="294"/>
      <c r="MM613" s="294"/>
      <c r="MN613" s="294"/>
      <c r="MO613" s="294"/>
      <c r="MP613" s="294"/>
      <c r="MQ613" s="294"/>
      <c r="MR613" s="294"/>
      <c r="MS613" s="294"/>
      <c r="MT613" s="294"/>
      <c r="MU613" s="294"/>
      <c r="MV613" s="294"/>
      <c r="MW613" s="294"/>
      <c r="MX613" s="294"/>
      <c r="MY613" s="294"/>
      <c r="MZ613" s="294"/>
      <c r="NA613" s="294"/>
      <c r="NB613" s="294"/>
      <c r="NC613" s="294"/>
      <c r="ND613" s="294"/>
      <c r="NE613" s="294"/>
      <c r="NF613" s="294"/>
      <c r="NG613" s="294"/>
      <c r="NH613" s="294"/>
      <c r="NI613" s="294"/>
      <c r="NJ613" s="294"/>
      <c r="NK613" s="294"/>
      <c r="NL613" s="294"/>
      <c r="NM613" s="294"/>
      <c r="NN613" s="294"/>
      <c r="NO613" s="294"/>
      <c r="NP613" s="294"/>
      <c r="NQ613" s="294"/>
      <c r="NR613" s="294"/>
      <c r="NS613" s="294"/>
      <c r="NT613" s="294"/>
      <c r="NU613" s="294"/>
      <c r="NV613" s="294"/>
      <c r="NW613" s="294"/>
      <c r="NX613" s="294"/>
      <c r="NY613" s="294"/>
      <c r="NZ613" s="294"/>
      <c r="OA613" s="294"/>
      <c r="OB613" s="294"/>
      <c r="OC613" s="294"/>
      <c r="OD613" s="294"/>
      <c r="OE613" s="294"/>
      <c r="OF613" s="294"/>
      <c r="OG613" s="294"/>
      <c r="OH613" s="294"/>
      <c r="OI613" s="294"/>
      <c r="OJ613" s="294"/>
      <c r="OK613" s="294"/>
      <c r="OL613" s="294"/>
      <c r="OM613" s="294"/>
      <c r="ON613" s="294"/>
      <c r="OO613" s="294"/>
      <c r="OP613" s="294"/>
      <c r="OQ613" s="294"/>
      <c r="OR613" s="294"/>
      <c r="OS613" s="294"/>
      <c r="OT613" s="294"/>
      <c r="OU613" s="294"/>
      <c r="OV613" s="294"/>
      <c r="OW613" s="294"/>
      <c r="OX613" s="294"/>
      <c r="OY613" s="294"/>
      <c r="OZ613" s="294"/>
      <c r="PA613" s="294"/>
      <c r="PB613" s="294"/>
      <c r="PC613" s="294"/>
      <c r="PD613" s="294"/>
      <c r="PE613" s="294"/>
      <c r="PF613" s="294"/>
      <c r="PG613" s="294"/>
      <c r="PH613" s="294"/>
      <c r="PI613" s="294"/>
      <c r="PJ613" s="294"/>
      <c r="PK613" s="294"/>
      <c r="PL613" s="294"/>
      <c r="PM613" s="294"/>
      <c r="PN613" s="294"/>
      <c r="PO613" s="294"/>
      <c r="PP613" s="294"/>
      <c r="PQ613" s="294"/>
      <c r="PR613" s="294"/>
      <c r="PS613" s="294"/>
      <c r="PT613" s="294"/>
      <c r="PU613" s="294"/>
      <c r="PV613" s="294"/>
      <c r="PW613" s="294"/>
      <c r="PX613" s="294"/>
      <c r="PY613" s="294"/>
      <c r="PZ613" s="294"/>
      <c r="QA613" s="294"/>
      <c r="QB613" s="294"/>
      <c r="QC613" s="294"/>
      <c r="QD613" s="294"/>
      <c r="QE613" s="294"/>
      <c r="QF613" s="294"/>
      <c r="QG613" s="294"/>
      <c r="QH613" s="294"/>
      <c r="QI613" s="294"/>
      <c r="QJ613" s="294"/>
      <c r="QK613" s="294"/>
      <c r="QL613" s="294"/>
      <c r="QM613" s="294"/>
      <c r="QN613" s="294"/>
      <c r="QO613" s="294"/>
      <c r="QP613" s="294"/>
      <c r="QQ613" s="294"/>
      <c r="QR613" s="294"/>
      <c r="QS613" s="294"/>
      <c r="QT613" s="294"/>
      <c r="QU613" s="294"/>
      <c r="QV613" s="294"/>
      <c r="QW613" s="294"/>
      <c r="QX613" s="294"/>
      <c r="QY613" s="294"/>
      <c r="QZ613" s="294"/>
      <c r="RA613" s="294"/>
      <c r="RB613" s="294"/>
      <c r="RC613" s="294"/>
      <c r="RD613" s="294"/>
      <c r="RE613" s="294"/>
      <c r="RF613" s="294"/>
      <c r="RG613" s="294"/>
      <c r="RH613" s="294"/>
      <c r="RI613" s="294"/>
      <c r="RJ613" s="294"/>
      <c r="RK613" s="294"/>
      <c r="RL613" s="294"/>
      <c r="RM613" s="294"/>
      <c r="RN613" s="294"/>
      <c r="RO613" s="294"/>
      <c r="RP613" s="294"/>
      <c r="RQ613" s="294"/>
      <c r="RR613" s="294"/>
      <c r="RS613" s="294"/>
      <c r="RT613" s="294"/>
      <c r="RU613" s="294"/>
      <c r="RV613" s="294"/>
      <c r="RW613" s="294"/>
      <c r="RX613" s="294"/>
      <c r="RY613" s="294"/>
      <c r="RZ613" s="294"/>
      <c r="SA613" s="294"/>
      <c r="SB613" s="294"/>
      <c r="SC613" s="294"/>
      <c r="SD613" s="294"/>
      <c r="SE613" s="294"/>
      <c r="SF613" s="294"/>
      <c r="SG613" s="294"/>
      <c r="SH613" s="294"/>
      <c r="SI613" s="294"/>
      <c r="SJ613" s="294"/>
      <c r="SK613" s="294"/>
      <c r="SL613" s="294"/>
      <c r="SM613" s="294"/>
      <c r="SN613" s="294"/>
      <c r="SO613" s="294"/>
      <c r="SP613" s="294"/>
      <c r="SQ613" s="294"/>
      <c r="SR613" s="294"/>
      <c r="SS613" s="294"/>
      <c r="ST613" s="294"/>
      <c r="SU613" s="294"/>
      <c r="SV613" s="294"/>
      <c r="SW613" s="294"/>
      <c r="SX613" s="294"/>
      <c r="SY613" s="294"/>
      <c r="SZ613" s="294"/>
      <c r="TA613" s="294"/>
      <c r="TB613" s="294"/>
      <c r="TC613" s="294"/>
      <c r="TD613" s="294"/>
      <c r="TE613" s="294"/>
      <c r="TF613" s="294"/>
      <c r="TG613" s="294"/>
      <c r="TH613" s="294"/>
      <c r="TI613" s="294"/>
      <c r="TJ613" s="294"/>
      <c r="TK613" s="294"/>
      <c r="TL613" s="294"/>
      <c r="TM613" s="294"/>
      <c r="TN613" s="294"/>
      <c r="TO613" s="294"/>
      <c r="TP613" s="294"/>
      <c r="TQ613" s="294"/>
      <c r="TR613" s="294"/>
      <c r="TS613" s="294"/>
      <c r="TT613" s="294"/>
      <c r="TU613" s="294"/>
      <c r="TV613" s="294"/>
      <c r="TW613" s="294"/>
      <c r="TX613" s="294"/>
      <c r="TY613" s="294"/>
      <c r="TZ613" s="294"/>
      <c r="UA613" s="294"/>
      <c r="UB613" s="294"/>
      <c r="UC613" s="294"/>
      <c r="UD613" s="294"/>
      <c r="UE613" s="294"/>
      <c r="UF613" s="294"/>
      <c r="UG613" s="294"/>
      <c r="UH613" s="294"/>
      <c r="UI613" s="294"/>
      <c r="UJ613" s="294"/>
      <c r="UK613" s="294"/>
      <c r="UL613" s="294"/>
      <c r="UM613" s="294"/>
      <c r="UN613" s="294"/>
      <c r="UO613" s="294"/>
      <c r="UP613" s="294"/>
      <c r="UQ613" s="294"/>
      <c r="UR613" s="294"/>
      <c r="US613" s="294"/>
      <c r="UT613" s="294"/>
      <c r="UU613" s="294"/>
      <c r="UV613" s="294"/>
      <c r="UW613" s="294"/>
      <c r="UX613" s="294"/>
      <c r="UY613" s="294"/>
      <c r="UZ613" s="294"/>
      <c r="VA613" s="294"/>
      <c r="VB613" s="294"/>
      <c r="VC613" s="294"/>
      <c r="VD613" s="294"/>
      <c r="VE613" s="294"/>
      <c r="VF613" s="294"/>
      <c r="VG613" s="294"/>
      <c r="VH613" s="294"/>
      <c r="VI613" s="294"/>
      <c r="VJ613" s="294"/>
      <c r="VK613" s="294"/>
      <c r="VL613" s="294"/>
      <c r="VM613" s="294"/>
      <c r="VN613" s="294"/>
      <c r="VO613" s="294"/>
      <c r="VP613" s="294"/>
      <c r="VQ613" s="294"/>
      <c r="VR613" s="294"/>
      <c r="VS613" s="294"/>
      <c r="VT613" s="294"/>
      <c r="VU613" s="294"/>
      <c r="VV613" s="294"/>
      <c r="VW613" s="294"/>
      <c r="VX613" s="294"/>
      <c r="VY613" s="294"/>
      <c r="VZ613" s="294"/>
      <c r="WA613" s="294"/>
      <c r="WB613" s="294"/>
      <c r="WC613" s="294"/>
      <c r="WD613" s="294"/>
      <c r="WE613" s="294"/>
      <c r="WF613" s="294"/>
      <c r="WG613" s="294"/>
      <c r="WH613" s="294"/>
      <c r="WI613" s="294"/>
      <c r="WJ613" s="294"/>
      <c r="WK613" s="294"/>
      <c r="WL613" s="294"/>
      <c r="WM613" s="294"/>
      <c r="WN613" s="294"/>
      <c r="WO613" s="294"/>
      <c r="WP613" s="294"/>
      <c r="WQ613" s="294"/>
      <c r="WR613" s="294"/>
      <c r="WS613" s="294"/>
      <c r="WT613" s="294"/>
      <c r="WU613" s="294"/>
      <c r="WV613" s="294"/>
      <c r="WW613" s="294"/>
      <c r="WX613" s="294"/>
      <c r="WY613" s="294"/>
      <c r="WZ613" s="294"/>
      <c r="XA613" s="294"/>
      <c r="XB613" s="294"/>
      <c r="XC613" s="294"/>
      <c r="XD613" s="294"/>
      <c r="XE613" s="294"/>
      <c r="XF613" s="294"/>
      <c r="XG613" s="294"/>
      <c r="XH613" s="294"/>
      <c r="XI613" s="294"/>
      <c r="XJ613" s="294"/>
      <c r="XK613" s="294"/>
      <c r="XL613" s="294"/>
      <c r="XM613" s="294"/>
      <c r="XN613" s="294"/>
      <c r="XO613" s="294"/>
      <c r="XP613" s="294"/>
      <c r="XQ613" s="294"/>
      <c r="XR613" s="294"/>
      <c r="XS613" s="294"/>
      <c r="XT613" s="294"/>
      <c r="XU613" s="294"/>
      <c r="XV613" s="294"/>
      <c r="XW613" s="294"/>
      <c r="XX613" s="294"/>
      <c r="XY613" s="294"/>
      <c r="XZ613" s="294"/>
      <c r="YA613" s="294"/>
      <c r="YB613" s="294"/>
      <c r="YC613" s="294"/>
      <c r="YD613" s="294"/>
      <c r="YE613" s="294"/>
      <c r="YF613" s="294"/>
      <c r="YG613" s="294"/>
      <c r="YH613" s="294"/>
      <c r="YI613" s="294"/>
      <c r="YJ613" s="294"/>
      <c r="YK613" s="294"/>
      <c r="YL613" s="294"/>
      <c r="YM613" s="294"/>
      <c r="YN613" s="294"/>
      <c r="YO613" s="294"/>
      <c r="YP613" s="294"/>
      <c r="YQ613" s="294"/>
      <c r="YR613" s="294"/>
      <c r="YS613" s="294"/>
      <c r="YT613" s="294"/>
      <c r="YU613" s="294"/>
      <c r="YV613" s="294"/>
      <c r="YW613" s="294"/>
      <c r="YX613" s="294"/>
      <c r="YY613" s="294"/>
      <c r="YZ613" s="294"/>
      <c r="ZA613" s="294"/>
      <c r="ZB613" s="294"/>
      <c r="ZC613" s="294"/>
      <c r="ZD613" s="294"/>
      <c r="ZE613" s="294"/>
      <c r="ZF613" s="294"/>
      <c r="ZG613" s="294"/>
      <c r="ZH613" s="294"/>
      <c r="ZI613" s="294"/>
      <c r="ZJ613" s="294"/>
      <c r="ZK613" s="294"/>
      <c r="ZL613" s="294"/>
      <c r="ZM613" s="294"/>
      <c r="ZN613" s="294"/>
      <c r="ZO613" s="294"/>
      <c r="ZP613" s="294"/>
      <c r="ZQ613" s="294"/>
      <c r="ZR613" s="294"/>
      <c r="ZS613" s="294"/>
      <c r="ZT613" s="294"/>
      <c r="ZU613" s="294"/>
      <c r="ZV613" s="294"/>
      <c r="ZW613" s="294"/>
      <c r="ZX613" s="294"/>
      <c r="ZY613" s="294"/>
      <c r="ZZ613" s="294"/>
      <c r="AAA613" s="294"/>
      <c r="AAB613" s="294"/>
      <c r="AAC613" s="294"/>
      <c r="AAD613" s="294"/>
      <c r="AAE613" s="294"/>
      <c r="AAF613" s="294"/>
      <c r="AAG613" s="294"/>
      <c r="AAH613" s="294"/>
      <c r="AAI613" s="294"/>
      <c r="AAJ613" s="294"/>
      <c r="AAK613" s="294"/>
      <c r="AAL613" s="294"/>
      <c r="AAM613" s="294"/>
      <c r="AAN613" s="294"/>
      <c r="AAO613" s="294"/>
      <c r="AAP613" s="294"/>
      <c r="AAQ613" s="294"/>
      <c r="AAR613" s="294"/>
      <c r="AAS613" s="294"/>
      <c r="AAT613" s="294"/>
      <c r="AAU613" s="294"/>
      <c r="AAV613" s="294"/>
      <c r="AAW613" s="294"/>
      <c r="AAX613" s="294"/>
      <c r="AAY613" s="294"/>
      <c r="AAZ613" s="294"/>
      <c r="ABA613" s="294"/>
      <c r="ABB613" s="294"/>
      <c r="ABC613" s="294"/>
      <c r="ABD613" s="294"/>
      <c r="ABE613" s="294"/>
      <c r="ABF613" s="294"/>
      <c r="ABG613" s="294"/>
      <c r="ABH613" s="294"/>
      <c r="ABI613" s="294"/>
      <c r="ABJ613" s="294"/>
      <c r="ABK613" s="294"/>
      <c r="ABL613" s="294"/>
      <c r="ABM613" s="294"/>
      <c r="ABN613" s="294"/>
      <c r="ABO613" s="294"/>
      <c r="ABP613" s="294"/>
      <c r="ABQ613" s="294"/>
      <c r="ABR613" s="294"/>
      <c r="ABS613" s="294"/>
      <c r="ABT613" s="294"/>
      <c r="ABU613" s="294"/>
      <c r="ABV613" s="294"/>
      <c r="ABW613" s="294"/>
      <c r="ABX613" s="294"/>
      <c r="ABY613" s="294"/>
      <c r="ABZ613" s="294"/>
      <c r="ACA613" s="294"/>
      <c r="ACB613" s="294"/>
      <c r="ACC613" s="294"/>
      <c r="ACD613" s="294"/>
      <c r="ACE613" s="294"/>
      <c r="ACF613" s="294"/>
      <c r="ACG613" s="294"/>
      <c r="ACH613" s="294"/>
      <c r="ACI613" s="294"/>
      <c r="ACJ613" s="294"/>
      <c r="ACK613" s="294"/>
      <c r="ACL613" s="294"/>
      <c r="ACM613" s="294"/>
      <c r="ACN613" s="294"/>
      <c r="ACO613" s="294"/>
      <c r="ACP613" s="294"/>
      <c r="ACQ613" s="294"/>
      <c r="ACR613" s="294"/>
      <c r="ACS613" s="294"/>
      <c r="ACT613" s="294"/>
      <c r="ACU613" s="294"/>
      <c r="ACV613" s="294"/>
      <c r="ACW613" s="294"/>
      <c r="ACX613" s="294"/>
      <c r="ACY613" s="294"/>
      <c r="ACZ613" s="294"/>
      <c r="ADA613" s="294"/>
      <c r="ADB613" s="294"/>
      <c r="ADC613" s="294"/>
      <c r="ADD613" s="294"/>
      <c r="ADE613" s="294"/>
      <c r="ADF613" s="294"/>
      <c r="ADG613" s="294"/>
      <c r="ADH613" s="294"/>
      <c r="ADI613" s="294"/>
      <c r="ADJ613" s="294"/>
      <c r="ADK613" s="294"/>
      <c r="ADL613" s="294"/>
      <c r="ADM613" s="294"/>
      <c r="ADN613" s="294"/>
      <c r="ADO613" s="294"/>
      <c r="ADP613" s="294"/>
      <c r="ADQ613" s="294"/>
      <c r="ADR613" s="294"/>
      <c r="ADS613" s="294"/>
      <c r="ADT613" s="294"/>
      <c r="ADU613" s="294"/>
      <c r="ADV613" s="294"/>
      <c r="ADW613" s="294"/>
      <c r="ADX613" s="294"/>
      <c r="ADY613" s="294"/>
      <c r="ADZ613" s="294"/>
      <c r="AEA613" s="294"/>
      <c r="AEB613" s="294"/>
      <c r="AEC613" s="294"/>
      <c r="AED613" s="294"/>
      <c r="AEE613" s="294"/>
      <c r="AEF613" s="294"/>
      <c r="AEG613" s="294"/>
      <c r="AEH613" s="294"/>
      <c r="AEI613" s="294"/>
      <c r="AEJ613" s="294"/>
      <c r="AEK613" s="294"/>
      <c r="AEL613" s="294"/>
      <c r="AEM613" s="294"/>
      <c r="AEN613" s="294"/>
      <c r="AEO613" s="294"/>
      <c r="AEP613" s="294"/>
      <c r="AEQ613" s="294"/>
      <c r="AER613" s="294"/>
      <c r="AES613" s="294"/>
      <c r="AET613" s="294"/>
      <c r="AEU613" s="294"/>
      <c r="AEV613" s="294"/>
      <c r="AEW613" s="294"/>
      <c r="AEX613" s="294"/>
      <c r="AEY613" s="294"/>
      <c r="AEZ613" s="294"/>
      <c r="AFA613" s="294"/>
      <c r="AFB613" s="294"/>
      <c r="AFC613" s="294"/>
      <c r="AFD613" s="294"/>
      <c r="AFE613" s="294"/>
      <c r="AFF613" s="294"/>
      <c r="AFG613" s="294"/>
      <c r="AFH613" s="294"/>
      <c r="AFI613" s="294"/>
      <c r="AFJ613" s="294"/>
      <c r="AFK613" s="294"/>
      <c r="AFL613" s="294"/>
      <c r="AFM613" s="294"/>
      <c r="AFN613" s="294"/>
      <c r="AFO613" s="294"/>
      <c r="AFP613" s="294"/>
      <c r="AFQ613" s="294"/>
      <c r="AFR613" s="294"/>
      <c r="AFS613" s="294"/>
      <c r="AFT613" s="294"/>
      <c r="AFU613" s="294"/>
      <c r="AFV613" s="294"/>
      <c r="AFW613" s="294"/>
      <c r="AFX613" s="294"/>
      <c r="AFY613" s="294"/>
      <c r="AFZ613" s="294"/>
      <c r="AGA613" s="294"/>
      <c r="AGB613" s="294"/>
      <c r="AGC613" s="294"/>
      <c r="AGD613" s="294"/>
      <c r="AGE613" s="294"/>
      <c r="AGF613" s="294"/>
      <c r="AGG613" s="294"/>
      <c r="AGH613" s="294"/>
      <c r="AGI613" s="294"/>
      <c r="AGJ613" s="294"/>
      <c r="AGK613" s="294"/>
      <c r="AGL613" s="294"/>
      <c r="AGM613" s="294"/>
      <c r="AGN613" s="294"/>
      <c r="AGO613" s="294"/>
      <c r="AGP613" s="294"/>
      <c r="AGQ613" s="294"/>
      <c r="AGR613" s="294"/>
      <c r="AGS613" s="294"/>
      <c r="AGT613" s="294"/>
      <c r="AGU613" s="294"/>
      <c r="AGV613" s="294"/>
      <c r="AGW613" s="294"/>
      <c r="AGX613" s="294"/>
      <c r="AGY613" s="294"/>
      <c r="AGZ613" s="294"/>
      <c r="AHA613" s="294"/>
      <c r="AHB613" s="294"/>
      <c r="AHC613" s="294"/>
      <c r="AHD613" s="294"/>
      <c r="AHE613" s="294"/>
      <c r="AHF613" s="294"/>
      <c r="AHG613" s="294"/>
      <c r="AHH613" s="294"/>
      <c r="AHI613" s="294"/>
      <c r="AHJ613" s="294"/>
      <c r="AHK613" s="294"/>
      <c r="AHL613" s="294"/>
      <c r="AHM613" s="294"/>
      <c r="AHN613" s="294"/>
      <c r="AHO613" s="294"/>
      <c r="AHP613" s="294"/>
      <c r="AHQ613" s="294"/>
      <c r="AHR613" s="294"/>
      <c r="AHS613" s="294"/>
      <c r="AHT613" s="294"/>
      <c r="AHU613" s="294"/>
      <c r="AHV613" s="294"/>
      <c r="AHW613" s="294"/>
      <c r="AHX613" s="294"/>
      <c r="AHY613" s="294"/>
      <c r="AHZ613" s="294"/>
      <c r="AIA613" s="294"/>
      <c r="AIB613" s="294"/>
      <c r="AIC613" s="294"/>
      <c r="AID613" s="294"/>
      <c r="AIE613" s="294"/>
      <c r="AIF613" s="294"/>
      <c r="AIG613" s="294"/>
      <c r="AIH613" s="294"/>
      <c r="AII613" s="294"/>
      <c r="AIJ613" s="294"/>
      <c r="AIK613" s="294"/>
      <c r="AIL613" s="294"/>
      <c r="AIM613" s="294"/>
      <c r="AIN613" s="294"/>
      <c r="AIO613" s="294"/>
      <c r="AIP613" s="294"/>
      <c r="AIQ613" s="294"/>
      <c r="AIR613" s="294"/>
      <c r="AIS613" s="294"/>
      <c r="AIT613" s="294"/>
      <c r="AIU613" s="294"/>
      <c r="AIV613" s="294"/>
      <c r="AIW613" s="294"/>
      <c r="AIX613" s="294"/>
      <c r="AIY613" s="294"/>
      <c r="AIZ613" s="294"/>
      <c r="AJA613" s="294"/>
      <c r="AJB613" s="294"/>
      <c r="AJC613" s="294"/>
      <c r="AJD613" s="294"/>
      <c r="AJE613" s="294"/>
      <c r="AJF613" s="294"/>
      <c r="AJG613" s="294"/>
      <c r="AJH613" s="294"/>
      <c r="AJI613" s="294"/>
      <c r="AJJ613" s="294"/>
      <c r="AJK613" s="294"/>
      <c r="AJL613" s="294"/>
      <c r="AJM613" s="294"/>
      <c r="AJN613" s="294"/>
      <c r="AJO613" s="294"/>
      <c r="AJP613" s="294"/>
      <c r="AJQ613" s="294"/>
      <c r="AJR613" s="294"/>
      <c r="AJS613" s="294"/>
      <c r="AJT613" s="294"/>
      <c r="AJU613" s="294"/>
      <c r="AJV613" s="294"/>
      <c r="AJW613" s="294"/>
      <c r="AJX613" s="294"/>
      <c r="AJY613" s="294"/>
      <c r="AJZ613" s="294"/>
      <c r="AKA613" s="294"/>
      <c r="AKB613" s="294"/>
      <c r="AKC613" s="294"/>
      <c r="AKD613" s="294"/>
      <c r="AKE613" s="294"/>
      <c r="AKF613" s="294"/>
      <c r="AKG613" s="294"/>
      <c r="AKH613" s="294"/>
      <c r="AKI613" s="294"/>
      <c r="AKJ613" s="294"/>
      <c r="AKK613" s="294"/>
      <c r="AKL613" s="294"/>
      <c r="AKM613" s="294"/>
      <c r="AKN613" s="294"/>
      <c r="AKO613" s="294"/>
      <c r="AKP613" s="294"/>
      <c r="AKQ613" s="294"/>
      <c r="AKR613" s="294"/>
      <c r="AKS613" s="294"/>
      <c r="AKT613" s="294"/>
      <c r="AKU613" s="294"/>
      <c r="AKV613" s="294"/>
      <c r="AKW613" s="294"/>
      <c r="AKX613" s="294"/>
      <c r="AKY613" s="294"/>
      <c r="AKZ613" s="294"/>
      <c r="ALA613" s="294"/>
      <c r="ALB613" s="294"/>
      <c r="ALC613" s="294"/>
      <c r="ALD613" s="294"/>
      <c r="ALE613" s="294"/>
      <c r="ALF613" s="294"/>
      <c r="ALG613" s="294"/>
      <c r="ALH613" s="294"/>
      <c r="ALI613" s="294"/>
      <c r="ALJ613" s="294"/>
      <c r="ALK613" s="294"/>
      <c r="ALL613" s="294"/>
      <c r="ALM613" s="294"/>
      <c r="ALN613" s="294"/>
      <c r="ALO613" s="294"/>
      <c r="ALP613" s="294"/>
      <c r="ALQ613" s="294"/>
      <c r="ALR613" s="294"/>
      <c r="ALS613" s="294"/>
      <c r="ALT613" s="294"/>
      <c r="ALU613" s="294"/>
      <c r="ALV613" s="294"/>
      <c r="ALW613" s="294"/>
      <c r="ALX613" s="294"/>
      <c r="ALY613" s="294"/>
      <c r="ALZ613" s="294"/>
      <c r="AMA613" s="294"/>
      <c r="AMB613" s="294"/>
      <c r="AMC613" s="294"/>
      <c r="AMD613" s="294"/>
      <c r="AME613" s="294"/>
      <c r="AMF613" s="294"/>
      <c r="AMG613" s="294"/>
      <c r="AMH613" s="294"/>
      <c r="AMI613" s="294"/>
      <c r="AMJ613" s="294"/>
      <c r="AMK613" s="294"/>
      <c r="AML613" s="294"/>
      <c r="AMM613" s="294"/>
      <c r="AMN613" s="294"/>
      <c r="AMO613" s="294"/>
      <c r="AMP613" s="294"/>
      <c r="AMQ613" s="294"/>
      <c r="AMR613" s="294"/>
      <c r="AMS613" s="294"/>
      <c r="AMT613" s="294"/>
      <c r="AMU613" s="294"/>
      <c r="AMV613" s="294"/>
      <c r="AMW613" s="294"/>
      <c r="AMX613" s="294"/>
      <c r="AMY613" s="294"/>
      <c r="AMZ613" s="294"/>
      <c r="ANA613" s="294"/>
      <c r="ANB613" s="294"/>
      <c r="ANC613" s="294"/>
      <c r="AND613" s="294"/>
      <c r="ANE613" s="294"/>
      <c r="ANF613" s="294"/>
      <c r="ANG613" s="294"/>
      <c r="ANH613" s="294"/>
      <c r="ANI613" s="294"/>
      <c r="ANJ613" s="294"/>
      <c r="ANK613" s="294"/>
      <c r="ANL613" s="294"/>
      <c r="ANM613" s="294"/>
      <c r="ANN613" s="294"/>
      <c r="ANO613" s="294"/>
      <c r="ANP613" s="294"/>
      <c r="ANQ613" s="294"/>
      <c r="ANR613" s="294"/>
      <c r="ANS613" s="294"/>
      <c r="ANT613" s="294"/>
      <c r="ANU613" s="294"/>
      <c r="ANV613" s="294"/>
      <c r="ANW613" s="294"/>
      <c r="ANX613" s="294"/>
      <c r="ANY613" s="294"/>
      <c r="ANZ613" s="294"/>
      <c r="AOA613" s="294"/>
      <c r="AOB613" s="294"/>
      <c r="AOC613" s="294"/>
      <c r="AOD613" s="294"/>
      <c r="AOE613" s="294"/>
      <c r="AOF613" s="294"/>
      <c r="AOG613" s="294"/>
      <c r="AOH613" s="294"/>
      <c r="AOI613" s="294"/>
      <c r="AOJ613" s="294"/>
      <c r="AOK613" s="294"/>
      <c r="AOL613" s="294"/>
      <c r="AOM613" s="294"/>
      <c r="AON613" s="294"/>
      <c r="AOO613" s="294"/>
      <c r="AOP613" s="294"/>
      <c r="AOQ613" s="294"/>
      <c r="AOR613" s="294"/>
      <c r="AOS613" s="294"/>
      <c r="AOT613" s="294"/>
      <c r="AOU613" s="294"/>
      <c r="AOV613" s="294"/>
      <c r="AOW613" s="294"/>
      <c r="AOX613" s="294"/>
      <c r="AOY613" s="294"/>
      <c r="AOZ613" s="294"/>
      <c r="APA613" s="294"/>
      <c r="APB613" s="294"/>
      <c r="APC613" s="294"/>
      <c r="APD613" s="294"/>
      <c r="APE613" s="294"/>
      <c r="APF613" s="294"/>
      <c r="APG613" s="294"/>
      <c r="APH613" s="294"/>
      <c r="API613" s="294"/>
      <c r="APJ613" s="294"/>
      <c r="APK613" s="294"/>
      <c r="APL613" s="294"/>
      <c r="APM613" s="294"/>
      <c r="APN613" s="294"/>
      <c r="APO613" s="294"/>
      <c r="APP613" s="294"/>
      <c r="APQ613" s="294"/>
      <c r="APR613" s="294"/>
      <c r="APS613" s="294"/>
      <c r="APT613" s="294"/>
      <c r="APU613" s="294"/>
      <c r="APV613" s="294"/>
      <c r="APW613" s="294"/>
      <c r="APX613" s="294"/>
      <c r="APY613" s="294"/>
      <c r="APZ613" s="294"/>
      <c r="AQA613" s="294"/>
      <c r="AQB613" s="294"/>
      <c r="AQC613" s="294"/>
      <c r="AQD613" s="294"/>
      <c r="AQE613" s="294"/>
      <c r="AQF613" s="294"/>
      <c r="AQG613" s="294"/>
      <c r="AQH613" s="294"/>
      <c r="AQI613" s="294"/>
      <c r="AQJ613" s="294"/>
      <c r="AQK613" s="294"/>
      <c r="AQL613" s="294"/>
      <c r="AQM613" s="294"/>
      <c r="AQN613" s="294"/>
      <c r="AQO613" s="294"/>
      <c r="AQP613" s="294"/>
      <c r="AQQ613" s="294"/>
      <c r="AQR613" s="294"/>
      <c r="AQS613" s="294"/>
      <c r="AQT613" s="294"/>
      <c r="AQU613" s="294"/>
      <c r="AQV613" s="294"/>
      <c r="AQW613" s="294"/>
      <c r="AQX613" s="294"/>
      <c r="AQY613" s="294"/>
      <c r="AQZ613" s="294"/>
      <c r="ARA613" s="294"/>
      <c r="ARB613" s="294"/>
      <c r="ARC613" s="294"/>
      <c r="ARD613" s="294"/>
      <c r="ARE613" s="294"/>
      <c r="ARF613" s="294"/>
      <c r="ARG613" s="294"/>
      <c r="ARH613" s="294"/>
      <c r="ARI613" s="294"/>
      <c r="ARJ613" s="294"/>
      <c r="ARK613" s="294"/>
      <c r="ARL613" s="294"/>
      <c r="ARM613" s="294"/>
      <c r="ARN613" s="294"/>
      <c r="ARO613" s="294"/>
      <c r="ARP613" s="294"/>
      <c r="ARQ613" s="294"/>
      <c r="ARR613" s="294"/>
      <c r="ARS613" s="294"/>
      <c r="ART613" s="294"/>
      <c r="ARU613" s="294"/>
      <c r="ARV613" s="294"/>
      <c r="ARW613" s="294"/>
      <c r="ARX613" s="294"/>
      <c r="ARY613" s="294"/>
      <c r="ARZ613" s="294"/>
      <c r="ASA613" s="294"/>
      <c r="ASB613" s="294"/>
      <c r="ASC613" s="294"/>
      <c r="ASD613" s="294"/>
      <c r="ASE613" s="294"/>
      <c r="ASF613" s="294"/>
      <c r="ASG613" s="294"/>
      <c r="ASH613" s="294"/>
      <c r="ASI613" s="294"/>
      <c r="ASJ613" s="294"/>
      <c r="ASK613" s="294"/>
      <c r="ASL613" s="294"/>
      <c r="ASM613" s="294"/>
      <c r="ASN613" s="294"/>
      <c r="ASO613" s="294"/>
      <c r="ASP613" s="294"/>
      <c r="ASQ613" s="294"/>
      <c r="ASR613" s="294"/>
      <c r="ASS613" s="294"/>
      <c r="AST613" s="294"/>
      <c r="ASU613" s="294"/>
      <c r="ASV613" s="294"/>
      <c r="ASW613" s="294"/>
      <c r="ASX613" s="294"/>
      <c r="ASY613" s="294"/>
      <c r="ASZ613" s="294"/>
      <c r="ATA613" s="294"/>
      <c r="ATB613" s="294"/>
      <c r="ATC613" s="294"/>
      <c r="ATD613" s="294"/>
      <c r="ATE613" s="294"/>
      <c r="ATF613" s="294"/>
      <c r="ATG613" s="294"/>
      <c r="ATH613" s="294"/>
      <c r="ATI613" s="294"/>
      <c r="ATJ613" s="294"/>
      <c r="ATK613" s="294"/>
      <c r="ATL613" s="294"/>
      <c r="ATM613" s="294"/>
      <c r="ATN613" s="294"/>
      <c r="ATO613" s="294"/>
      <c r="ATP613" s="294"/>
      <c r="ATQ613" s="294"/>
      <c r="ATR613" s="294"/>
      <c r="ATS613" s="294"/>
      <c r="ATT613" s="294"/>
      <c r="ATU613" s="294"/>
      <c r="ATV613" s="294"/>
      <c r="ATW613" s="294"/>
      <c r="ATX613" s="294"/>
      <c r="ATY613" s="294"/>
      <c r="ATZ613" s="294"/>
      <c r="AUA613" s="294"/>
      <c r="AUB613" s="294"/>
      <c r="AUC613" s="294"/>
      <c r="AUD613" s="294"/>
      <c r="AUE613" s="294"/>
      <c r="AUF613" s="294"/>
      <c r="AUG613" s="294"/>
      <c r="AUH613" s="294"/>
      <c r="AUI613" s="294"/>
      <c r="AUJ613" s="294"/>
      <c r="AUK613" s="294"/>
      <c r="AUL613" s="294"/>
      <c r="AUM613" s="294"/>
      <c r="AUN613" s="294"/>
      <c r="AUO613" s="294"/>
      <c r="AUP613" s="294"/>
      <c r="AUQ613" s="294"/>
      <c r="AUR613" s="294"/>
      <c r="AUS613" s="294"/>
      <c r="AUT613" s="294"/>
      <c r="AUU613" s="294"/>
      <c r="AUV613" s="294"/>
      <c r="AUW613" s="294"/>
      <c r="AUX613" s="294"/>
      <c r="AUY613" s="294"/>
      <c r="AUZ613" s="294"/>
      <c r="AVA613" s="294"/>
      <c r="AVB613" s="294"/>
      <c r="AVC613" s="294"/>
      <c r="AVD613" s="294"/>
      <c r="AVE613" s="294"/>
      <c r="AVF613" s="294"/>
      <c r="AVG613" s="294"/>
      <c r="AVH613" s="294"/>
      <c r="AVI613" s="294"/>
      <c r="AVJ613" s="294"/>
      <c r="AVK613" s="294"/>
      <c r="AVL613" s="294"/>
      <c r="AVM613" s="294"/>
      <c r="AVN613" s="294"/>
      <c r="AVO613" s="294"/>
      <c r="AVP613" s="294"/>
      <c r="AVQ613" s="294"/>
      <c r="AVR613" s="294"/>
      <c r="AVS613" s="294"/>
      <c r="AVT613" s="294"/>
      <c r="AVU613" s="294"/>
      <c r="AVV613" s="294"/>
      <c r="AVW613" s="294"/>
      <c r="AVX613" s="294"/>
      <c r="AVY613" s="294"/>
      <c r="AVZ613" s="294"/>
      <c r="AWA613" s="294"/>
      <c r="AWB613" s="294"/>
      <c r="AWC613" s="294"/>
      <c r="AWD613" s="294"/>
      <c r="AWE613" s="294"/>
      <c r="AWF613" s="294"/>
      <c r="AWG613" s="294"/>
      <c r="AWH613" s="294"/>
      <c r="AWI613" s="294"/>
      <c r="AWJ613" s="294"/>
      <c r="AWK613" s="294"/>
      <c r="AWL613" s="294"/>
      <c r="AWM613" s="294"/>
      <c r="AWN613" s="294"/>
      <c r="AWO613" s="294"/>
      <c r="AWP613" s="294"/>
      <c r="AWQ613" s="294"/>
      <c r="AWR613" s="294"/>
      <c r="AWS613" s="294"/>
      <c r="AWT613" s="294"/>
      <c r="AWU613" s="294"/>
      <c r="AWV613" s="294"/>
      <c r="AWW613" s="294"/>
      <c r="AWX613" s="294"/>
      <c r="AWY613" s="294"/>
      <c r="AWZ613" s="294"/>
      <c r="AXA613" s="294"/>
      <c r="AXB613" s="294"/>
      <c r="AXC613" s="294"/>
      <c r="AXD613" s="294"/>
      <c r="AXE613" s="294"/>
      <c r="AXF613" s="294"/>
      <c r="AXG613" s="294"/>
      <c r="AXH613" s="294"/>
      <c r="AXI613" s="294"/>
      <c r="AXJ613" s="294"/>
      <c r="AXK613" s="294"/>
      <c r="AXL613" s="294"/>
      <c r="AXM613" s="294"/>
      <c r="AXN613" s="294"/>
      <c r="AXO613" s="294"/>
      <c r="AXP613" s="294"/>
      <c r="AXQ613" s="294"/>
      <c r="AXR613" s="294"/>
      <c r="AXS613" s="294"/>
      <c r="AXT613" s="294"/>
      <c r="AXU613" s="294"/>
      <c r="AXV613" s="294"/>
      <c r="AXW613" s="294"/>
      <c r="AXX613" s="294"/>
      <c r="AXY613" s="294"/>
      <c r="AXZ613" s="294"/>
      <c r="AYA613" s="294"/>
      <c r="AYB613" s="294"/>
      <c r="AYC613" s="294"/>
      <c r="AYD613" s="294"/>
      <c r="AYE613" s="294"/>
      <c r="AYF613" s="294"/>
      <c r="AYG613" s="294"/>
      <c r="AYH613" s="294"/>
      <c r="AYI613" s="294"/>
      <c r="AYJ613" s="294"/>
      <c r="AYK613" s="294"/>
      <c r="AYL613" s="294"/>
      <c r="AYM613" s="294"/>
      <c r="AYN613" s="294"/>
      <c r="AYO613" s="294"/>
      <c r="AYP613" s="294"/>
      <c r="AYQ613" s="294"/>
      <c r="AYR613" s="294"/>
      <c r="AYS613" s="294"/>
      <c r="AYT613" s="294"/>
      <c r="AYU613" s="294"/>
      <c r="AYV613" s="294"/>
      <c r="AYW613" s="294"/>
      <c r="AYX613" s="294"/>
      <c r="AYY613" s="294"/>
      <c r="AYZ613" s="294"/>
      <c r="AZA613" s="294"/>
      <c r="AZB613" s="294"/>
      <c r="AZC613" s="294"/>
      <c r="AZD613" s="294"/>
      <c r="AZE613" s="294"/>
      <c r="AZF613" s="294"/>
      <c r="AZG613" s="294"/>
      <c r="AZH613" s="294"/>
      <c r="AZI613" s="294"/>
      <c r="AZJ613" s="294"/>
      <c r="AZK613" s="294"/>
      <c r="AZL613" s="294"/>
      <c r="AZM613" s="294"/>
      <c r="AZN613" s="294"/>
      <c r="AZO613" s="294"/>
      <c r="AZP613" s="294"/>
      <c r="AZQ613" s="294"/>
      <c r="AZR613" s="294"/>
      <c r="AZS613" s="294"/>
      <c r="AZT613" s="294"/>
      <c r="AZU613" s="294"/>
      <c r="AZV613" s="294"/>
      <c r="AZW613" s="294"/>
      <c r="AZX613" s="294"/>
      <c r="AZY613" s="294"/>
      <c r="AZZ613" s="294"/>
      <c r="BAA613" s="294"/>
      <c r="BAB613" s="294"/>
      <c r="BAC613" s="294"/>
      <c r="BAD613" s="294"/>
      <c r="BAE613" s="294"/>
      <c r="BAF613" s="294"/>
      <c r="BAG613" s="294"/>
      <c r="BAH613" s="294"/>
      <c r="BAI613" s="294"/>
      <c r="BAJ613" s="294"/>
      <c r="BAK613" s="294"/>
      <c r="BAL613" s="294"/>
      <c r="BAM613" s="294"/>
      <c r="BAN613" s="294"/>
      <c r="BAO613" s="294"/>
      <c r="BAP613" s="294"/>
      <c r="BAQ613" s="294"/>
      <c r="BAR613" s="294"/>
      <c r="BAS613" s="294"/>
      <c r="BAT613" s="294"/>
      <c r="BAU613" s="294"/>
      <c r="BAV613" s="294"/>
      <c r="BAW613" s="294"/>
      <c r="BAX613" s="294"/>
      <c r="BAY613" s="294"/>
      <c r="BAZ613" s="294"/>
      <c r="BBA613" s="294"/>
      <c r="BBB613" s="294"/>
      <c r="BBC613" s="294"/>
      <c r="BBD613" s="294"/>
      <c r="BBE613" s="294"/>
      <c r="BBF613" s="294"/>
      <c r="BBG613" s="294"/>
      <c r="BBH613" s="294"/>
      <c r="BBI613" s="294"/>
      <c r="BBJ613" s="294"/>
      <c r="BBK613" s="294"/>
      <c r="BBL613" s="294"/>
      <c r="BBM613" s="294"/>
      <c r="BBN613" s="294"/>
      <c r="BBO613" s="294"/>
      <c r="BBP613" s="294"/>
      <c r="BBQ613" s="294"/>
      <c r="BBR613" s="294"/>
      <c r="BBS613" s="294"/>
      <c r="BBT613" s="294"/>
      <c r="BBU613" s="294"/>
      <c r="BBV613" s="294"/>
      <c r="BBW613" s="294"/>
      <c r="BBX613" s="294"/>
      <c r="BBY613" s="294"/>
      <c r="BBZ613" s="294"/>
      <c r="BCA613" s="294"/>
      <c r="BCB613" s="294"/>
      <c r="BCC613" s="294"/>
      <c r="BCD613" s="294"/>
      <c r="BCE613" s="294"/>
      <c r="BCF613" s="294"/>
      <c r="BCG613" s="294"/>
      <c r="BCH613" s="294"/>
      <c r="BCI613" s="294"/>
      <c r="BCJ613" s="294"/>
      <c r="BCK613" s="294"/>
      <c r="BCL613" s="294"/>
      <c r="BCM613" s="294"/>
      <c r="BCN613" s="294"/>
      <c r="BCO613" s="294"/>
      <c r="BCP613" s="294"/>
      <c r="BCQ613" s="294"/>
      <c r="BCR613" s="294"/>
      <c r="BCS613" s="294"/>
      <c r="BCT613" s="294"/>
      <c r="BCU613" s="294"/>
      <c r="BCV613" s="294"/>
      <c r="BCW613" s="294"/>
      <c r="BCX613" s="294"/>
      <c r="BCY613" s="294"/>
      <c r="BCZ613" s="294"/>
      <c r="BDA613" s="294"/>
      <c r="BDB613" s="294"/>
      <c r="BDC613" s="294"/>
      <c r="BDD613" s="294"/>
      <c r="BDE613" s="294"/>
      <c r="BDF613" s="294"/>
      <c r="BDG613" s="294"/>
      <c r="BDH613" s="294"/>
      <c r="BDI613" s="294"/>
      <c r="BDJ613" s="294"/>
      <c r="BDK613" s="294"/>
      <c r="BDL613" s="294"/>
      <c r="BDM613" s="294"/>
      <c r="BDN613" s="294"/>
      <c r="BDO613" s="294"/>
      <c r="BDP613" s="294"/>
      <c r="BDQ613" s="294"/>
      <c r="BDR613" s="294"/>
      <c r="BDS613" s="294"/>
      <c r="BDT613" s="294"/>
      <c r="BDU613" s="294"/>
      <c r="BDV613" s="294"/>
      <c r="BDW613" s="294"/>
      <c r="BDX613" s="294"/>
      <c r="BDY613" s="294"/>
      <c r="BDZ613" s="294"/>
      <c r="BEA613" s="294"/>
      <c r="BEB613" s="294"/>
      <c r="BEC613" s="294"/>
      <c r="BED613" s="294"/>
      <c r="BEE613" s="294"/>
      <c r="BEF613" s="294"/>
      <c r="BEG613" s="294"/>
      <c r="BEH613" s="294"/>
      <c r="BEI613" s="294"/>
      <c r="BEJ613" s="294"/>
      <c r="BEK613" s="294"/>
      <c r="BEL613" s="294"/>
      <c r="BEM613" s="294"/>
      <c r="BEN613" s="294"/>
      <c r="BEO613" s="294"/>
      <c r="BEP613" s="294"/>
      <c r="BEQ613" s="294"/>
      <c r="BER613" s="294"/>
      <c r="BES613" s="294"/>
      <c r="BET613" s="294"/>
      <c r="BEU613" s="294"/>
      <c r="BEV613" s="294"/>
      <c r="BEW613" s="294"/>
      <c r="BEX613" s="294"/>
      <c r="BEY613" s="294"/>
      <c r="BEZ613" s="294"/>
      <c r="BFA613" s="294"/>
      <c r="BFB613" s="294"/>
      <c r="BFC613" s="294"/>
      <c r="BFD613" s="294"/>
      <c r="BFE613" s="294"/>
      <c r="BFF613" s="294"/>
      <c r="BFG613" s="294"/>
      <c r="BFH613" s="294"/>
      <c r="BFI613" s="294"/>
      <c r="BFJ613" s="294"/>
      <c r="BFK613" s="294"/>
      <c r="BFL613" s="294"/>
      <c r="BFM613" s="294"/>
      <c r="BFN613" s="294"/>
      <c r="BFO613" s="294"/>
      <c r="BFP613" s="294"/>
      <c r="BFQ613" s="294"/>
      <c r="BFR613" s="294"/>
      <c r="BFS613" s="294"/>
      <c r="BFT613" s="294"/>
      <c r="BFU613" s="294"/>
      <c r="BFV613" s="294"/>
      <c r="BFW613" s="294"/>
      <c r="BFX613" s="294"/>
      <c r="BFY613" s="294"/>
      <c r="BFZ613" s="294"/>
      <c r="BGA613" s="294"/>
      <c r="BGB613" s="294"/>
      <c r="BGC613" s="294"/>
      <c r="BGD613" s="294"/>
      <c r="BGE613" s="294"/>
      <c r="BGF613" s="294"/>
      <c r="BGG613" s="294"/>
      <c r="BGH613" s="294"/>
      <c r="BGI613" s="294"/>
      <c r="BGJ613" s="294"/>
      <c r="BGK613" s="294"/>
      <c r="BGL613" s="294"/>
      <c r="BGM613" s="294"/>
      <c r="BGN613" s="294"/>
      <c r="BGO613" s="294"/>
      <c r="BGP613" s="294"/>
      <c r="BGQ613" s="294"/>
      <c r="BGR613" s="294"/>
      <c r="BGS613" s="294"/>
      <c r="BGT613" s="294"/>
      <c r="BGU613" s="294"/>
      <c r="BGV613" s="294"/>
      <c r="BGW613" s="294"/>
      <c r="BGX613" s="294"/>
      <c r="BGY613" s="294"/>
      <c r="BGZ613" s="294"/>
      <c r="BHA613" s="294"/>
      <c r="BHB613" s="294"/>
      <c r="BHC613" s="294"/>
      <c r="BHD613" s="294"/>
      <c r="BHE613" s="294"/>
      <c r="BHF613" s="294"/>
      <c r="BHG613" s="294"/>
      <c r="BHH613" s="294"/>
      <c r="BHI613" s="294"/>
      <c r="BHJ613" s="294"/>
      <c r="BHK613" s="294"/>
      <c r="BHL613" s="294"/>
      <c r="BHM613" s="294"/>
      <c r="BHN613" s="294"/>
      <c r="BHO613" s="294"/>
      <c r="BHP613" s="294"/>
      <c r="BHQ613" s="294"/>
      <c r="BHR613" s="294"/>
      <c r="BHS613" s="294"/>
      <c r="BHT613" s="294"/>
      <c r="BHU613" s="294"/>
      <c r="BHV613" s="294"/>
      <c r="BHW613" s="294"/>
      <c r="BHX613" s="294"/>
      <c r="BHY613" s="294"/>
      <c r="BHZ613" s="294"/>
      <c r="BIA613" s="294"/>
      <c r="BIB613" s="294"/>
      <c r="BIC613" s="294"/>
      <c r="BID613" s="294"/>
      <c r="BIE613" s="294"/>
      <c r="BIF613" s="294"/>
      <c r="BIG613" s="294"/>
      <c r="BIH613" s="294"/>
      <c r="BII613" s="294"/>
      <c r="BIJ613" s="294"/>
      <c r="BIK613" s="294"/>
      <c r="BIL613" s="294"/>
      <c r="BIM613" s="294"/>
      <c r="BIN613" s="294"/>
      <c r="BIO613" s="294"/>
      <c r="BIP613" s="294"/>
      <c r="BIQ613" s="294"/>
      <c r="BIR613" s="294"/>
      <c r="BIS613" s="294"/>
      <c r="BIT613" s="294"/>
      <c r="BIU613" s="294"/>
      <c r="BIV613" s="294"/>
      <c r="BIW613" s="294"/>
      <c r="BIX613" s="294"/>
      <c r="BIY613" s="294"/>
      <c r="BIZ613" s="294"/>
      <c r="BJA613" s="294"/>
      <c r="BJB613" s="294"/>
      <c r="BJC613" s="294"/>
      <c r="BJD613" s="294"/>
      <c r="BJE613" s="294"/>
      <c r="BJF613" s="294"/>
      <c r="BJG613" s="294"/>
      <c r="BJH613" s="294"/>
      <c r="BJI613" s="294"/>
      <c r="BJJ613" s="294"/>
      <c r="BJK613" s="294"/>
      <c r="BJL613" s="294"/>
      <c r="BJM613" s="294"/>
      <c r="BJN613" s="294"/>
      <c r="BJO613" s="294"/>
      <c r="BJP613" s="294"/>
      <c r="BJQ613" s="294"/>
      <c r="BJR613" s="294"/>
      <c r="BJS613" s="294"/>
      <c r="BJT613" s="294"/>
      <c r="BJU613" s="294"/>
      <c r="BJV613" s="294"/>
      <c r="BJW613" s="294"/>
      <c r="BJX613" s="294"/>
      <c r="BJY613" s="294"/>
      <c r="BJZ613" s="294"/>
      <c r="BKA613" s="294"/>
      <c r="BKB613" s="294"/>
      <c r="BKC613" s="294"/>
      <c r="BKD613" s="294"/>
      <c r="BKE613" s="294"/>
      <c r="BKF613" s="294"/>
      <c r="BKG613" s="294"/>
      <c r="BKH613" s="294"/>
      <c r="BKI613" s="294"/>
      <c r="BKJ613" s="294"/>
      <c r="BKK613" s="294"/>
      <c r="BKL613" s="294"/>
      <c r="BKM613" s="294"/>
      <c r="BKN613" s="294"/>
      <c r="BKO613" s="294"/>
      <c r="BKP613" s="294"/>
      <c r="BKQ613" s="294"/>
      <c r="BKR613" s="294"/>
      <c r="BKS613" s="294"/>
      <c r="BKT613" s="294"/>
      <c r="BKU613" s="294"/>
      <c r="BKV613" s="294"/>
      <c r="BKW613" s="294"/>
      <c r="BKX613" s="294"/>
      <c r="BKY613" s="294"/>
      <c r="BKZ613" s="294"/>
      <c r="BLA613" s="294"/>
      <c r="BLB613" s="294"/>
      <c r="BLC613" s="294"/>
      <c r="BLD613" s="294"/>
      <c r="BLE613" s="294"/>
      <c r="BLF613" s="294"/>
      <c r="BLG613" s="294"/>
      <c r="BLH613" s="294"/>
      <c r="BLI613" s="294"/>
      <c r="BLJ613" s="294"/>
      <c r="BLK613" s="294"/>
      <c r="BLL613" s="294"/>
      <c r="BLM613" s="294"/>
      <c r="BLN613" s="294"/>
      <c r="BLO613" s="294"/>
      <c r="BLP613" s="294"/>
      <c r="BLQ613" s="294"/>
      <c r="BLR613" s="294"/>
      <c r="BLS613" s="294"/>
      <c r="BLT613" s="294"/>
      <c r="BLU613" s="294"/>
      <c r="BLV613" s="294"/>
      <c r="BLW613" s="294"/>
      <c r="BLX613" s="294"/>
      <c r="BLY613" s="294"/>
      <c r="BLZ613" s="294"/>
      <c r="BMA613" s="294"/>
      <c r="BMB613" s="294"/>
      <c r="BMC613" s="294"/>
      <c r="BMD613" s="294"/>
      <c r="BME613" s="294"/>
      <c r="BMF613" s="294"/>
      <c r="BMG613" s="294"/>
      <c r="BMH613" s="294"/>
      <c r="BMI613" s="294"/>
      <c r="BMJ613" s="294"/>
      <c r="BMK613" s="294"/>
      <c r="BML613" s="294"/>
      <c r="BMM613" s="294"/>
      <c r="BMN613" s="294"/>
      <c r="BMO613" s="294"/>
      <c r="BMP613" s="294"/>
      <c r="BMQ613" s="294"/>
      <c r="BMR613" s="294"/>
      <c r="BMS613" s="294"/>
      <c r="BMT613" s="294"/>
      <c r="BMU613" s="294"/>
      <c r="BMV613" s="294"/>
      <c r="BMW613" s="294"/>
      <c r="BMX613" s="294"/>
      <c r="BMY613" s="294"/>
      <c r="BMZ613" s="294"/>
      <c r="BNA613" s="294"/>
      <c r="BNB613" s="294"/>
      <c r="BNC613" s="294"/>
      <c r="BND613" s="294"/>
      <c r="BNE613" s="294"/>
      <c r="BNF613" s="294"/>
      <c r="BNG613" s="294"/>
      <c r="BNH613" s="294"/>
      <c r="BNI613" s="294"/>
      <c r="BNJ613" s="294"/>
      <c r="BNK613" s="294"/>
      <c r="BNL613" s="294"/>
      <c r="BNM613" s="294"/>
      <c r="BNN613" s="294"/>
      <c r="BNO613" s="294"/>
      <c r="BNP613" s="294"/>
      <c r="BNQ613" s="294"/>
      <c r="BNR613" s="294"/>
      <c r="BNS613" s="294"/>
      <c r="BNT613" s="294"/>
      <c r="BNU613" s="294"/>
      <c r="BNV613" s="294"/>
      <c r="BNW613" s="294"/>
      <c r="BNX613" s="294"/>
      <c r="BNY613" s="294"/>
      <c r="BNZ613" s="294"/>
      <c r="BOA613" s="294"/>
      <c r="BOB613" s="294"/>
      <c r="BOC613" s="294"/>
      <c r="BOD613" s="294"/>
      <c r="BOE613" s="294"/>
      <c r="BOF613" s="294"/>
      <c r="BOG613" s="294"/>
      <c r="BOH613" s="294"/>
      <c r="BOI613" s="294"/>
      <c r="BOJ613" s="294"/>
      <c r="BOK613" s="294"/>
      <c r="BOL613" s="294"/>
      <c r="BOM613" s="294"/>
      <c r="BON613" s="294"/>
      <c r="BOO613" s="294"/>
      <c r="BOP613" s="294"/>
      <c r="BOQ613" s="294"/>
      <c r="BOR613" s="294"/>
      <c r="BOS613" s="294"/>
      <c r="BOT613" s="294"/>
      <c r="BOU613" s="294"/>
      <c r="BOV613" s="294"/>
      <c r="BOW613" s="294"/>
      <c r="BOX613" s="294"/>
      <c r="BOY613" s="294"/>
      <c r="BOZ613" s="294"/>
      <c r="BPA613" s="294"/>
      <c r="BPB613" s="294"/>
      <c r="BPC613" s="294"/>
      <c r="BPD613" s="294"/>
      <c r="BPE613" s="294"/>
      <c r="BPF613" s="294"/>
      <c r="BPG613" s="294"/>
      <c r="BPH613" s="294"/>
      <c r="BPI613" s="294"/>
      <c r="BPJ613" s="294"/>
      <c r="BPK613" s="294"/>
      <c r="BPL613" s="294"/>
      <c r="BPM613" s="294"/>
      <c r="BPN613" s="294"/>
      <c r="BPO613" s="294"/>
      <c r="BPP613" s="294"/>
      <c r="BPQ613" s="294"/>
      <c r="BPR613" s="294"/>
      <c r="BPS613" s="294"/>
      <c r="BPT613" s="294"/>
      <c r="BPU613" s="294"/>
      <c r="BPV613" s="294"/>
      <c r="BPW613" s="294"/>
      <c r="BPX613" s="294"/>
      <c r="BPY613" s="294"/>
      <c r="BPZ613" s="294"/>
      <c r="BQA613" s="294"/>
      <c r="BQB613" s="294"/>
      <c r="BQC613" s="294"/>
      <c r="BQD613" s="294"/>
      <c r="BQE613" s="294"/>
      <c r="BQF613" s="294"/>
      <c r="BQG613" s="294"/>
      <c r="BQH613" s="294"/>
      <c r="BQI613" s="294"/>
      <c r="BQJ613" s="294"/>
      <c r="BQK613" s="294"/>
      <c r="BQL613" s="294"/>
      <c r="BQM613" s="294"/>
      <c r="BQN613" s="294"/>
      <c r="BQO613" s="294"/>
      <c r="BQP613" s="294"/>
      <c r="BQQ613" s="294"/>
      <c r="BQR613" s="294"/>
      <c r="BQS613" s="294"/>
      <c r="BQT613" s="294"/>
      <c r="BQU613" s="294"/>
      <c r="BQV613" s="294"/>
      <c r="BQW613" s="294"/>
      <c r="BQX613" s="294"/>
      <c r="BQY613" s="294"/>
      <c r="BQZ613" s="294"/>
      <c r="BRA613" s="294"/>
      <c r="BRB613" s="294"/>
      <c r="BRC613" s="294"/>
      <c r="BRD613" s="294"/>
      <c r="BRE613" s="294"/>
      <c r="BRF613" s="294"/>
      <c r="BRG613" s="294"/>
      <c r="BRH613" s="294"/>
      <c r="BRI613" s="294"/>
      <c r="BRJ613" s="294"/>
      <c r="BRK613" s="294"/>
      <c r="BRL613" s="294"/>
      <c r="BRM613" s="294"/>
      <c r="BRN613" s="294"/>
      <c r="BRO613" s="294"/>
      <c r="BRP613" s="294"/>
      <c r="BRQ613" s="294"/>
      <c r="BRR613" s="294"/>
      <c r="BRS613" s="294"/>
      <c r="BRT613" s="294"/>
      <c r="BRU613" s="294"/>
      <c r="BRV613" s="294"/>
      <c r="BRW613" s="294"/>
      <c r="BRX613" s="294"/>
      <c r="BRY613" s="294"/>
      <c r="BRZ613" s="294"/>
      <c r="BSA613" s="294"/>
      <c r="BSB613" s="294"/>
      <c r="BSC613" s="294"/>
      <c r="BSD613" s="294"/>
      <c r="BSE613" s="294"/>
      <c r="BSF613" s="294"/>
      <c r="BSG613" s="294"/>
      <c r="BSH613" s="294"/>
      <c r="BSI613" s="294"/>
      <c r="BSJ613" s="294"/>
      <c r="BSK613" s="294"/>
      <c r="BSL613" s="294"/>
      <c r="BSM613" s="294"/>
      <c r="BSN613" s="294"/>
      <c r="BSO613" s="294"/>
      <c r="BSP613" s="294"/>
      <c r="BSQ613" s="294"/>
      <c r="BSR613" s="294"/>
      <c r="BSS613" s="294"/>
      <c r="BST613" s="294"/>
      <c r="BSU613" s="294"/>
      <c r="BSV613" s="294"/>
      <c r="BSW613" s="294"/>
      <c r="BSX613" s="294"/>
      <c r="BSY613" s="294"/>
      <c r="BSZ613" s="294"/>
      <c r="BTA613" s="294"/>
      <c r="BTB613" s="294"/>
      <c r="BTC613" s="294"/>
      <c r="BTD613" s="294"/>
      <c r="BTE613" s="294"/>
      <c r="BTF613" s="294"/>
      <c r="BTG613" s="294"/>
      <c r="BTH613" s="294"/>
      <c r="BTI613" s="294"/>
      <c r="BTJ613" s="294"/>
      <c r="BTK613" s="294"/>
      <c r="BTL613" s="294"/>
      <c r="BTM613" s="294"/>
      <c r="BTN613" s="294"/>
      <c r="BTO613" s="294"/>
      <c r="BTP613" s="294"/>
      <c r="BTQ613" s="294"/>
      <c r="BTR613" s="294"/>
      <c r="BTS613" s="294"/>
      <c r="BTT613" s="294"/>
      <c r="BTU613" s="294"/>
      <c r="BTV613" s="294"/>
      <c r="BTW613" s="294"/>
      <c r="BTX613" s="294"/>
      <c r="BTY613" s="294"/>
      <c r="BTZ613" s="294"/>
      <c r="BUA613" s="294"/>
      <c r="BUB613" s="294"/>
      <c r="BUC613" s="294"/>
      <c r="BUD613" s="294"/>
      <c r="BUE613" s="294"/>
      <c r="BUF613" s="294"/>
      <c r="BUG613" s="294"/>
      <c r="BUH613" s="294"/>
      <c r="BUI613" s="294"/>
      <c r="BUJ613" s="294"/>
      <c r="BUK613" s="294"/>
      <c r="BUL613" s="294"/>
      <c r="BUM613" s="294"/>
      <c r="BUN613" s="294"/>
      <c r="BUO613" s="294"/>
      <c r="BUP613" s="294"/>
      <c r="BUQ613" s="294"/>
      <c r="BUR613" s="294"/>
      <c r="BUS613" s="294"/>
      <c r="BUT613" s="294"/>
      <c r="BUU613" s="294"/>
      <c r="BUV613" s="294"/>
      <c r="BUW613" s="294"/>
      <c r="BUX613" s="294"/>
      <c r="BUY613" s="294"/>
      <c r="BUZ613" s="294"/>
      <c r="BVA613" s="294"/>
      <c r="BVB613" s="294"/>
      <c r="BVC613" s="294"/>
      <c r="BVD613" s="294"/>
      <c r="BVE613" s="294"/>
      <c r="BVF613" s="294"/>
      <c r="BVG613" s="294"/>
      <c r="BVH613" s="294"/>
      <c r="BVI613" s="294"/>
      <c r="BVJ613" s="294"/>
      <c r="BVK613" s="294"/>
      <c r="BVL613" s="294"/>
      <c r="BVM613" s="294"/>
      <c r="BVN613" s="294"/>
      <c r="BVO613" s="294"/>
      <c r="BVP613" s="294"/>
      <c r="BVQ613" s="294"/>
      <c r="BVR613" s="294"/>
      <c r="BVS613" s="294"/>
      <c r="BVT613" s="294"/>
      <c r="BVU613" s="294"/>
      <c r="BVV613" s="294"/>
      <c r="BVW613" s="294"/>
      <c r="BVX613" s="294"/>
      <c r="BVY613" s="294"/>
      <c r="BVZ613" s="294"/>
      <c r="BWA613" s="294"/>
      <c r="BWB613" s="294"/>
      <c r="BWC613" s="294"/>
      <c r="BWD613" s="294"/>
      <c r="BWE613" s="294"/>
      <c r="BWF613" s="294"/>
      <c r="BWG613" s="294"/>
      <c r="BWH613" s="294"/>
      <c r="BWI613" s="294"/>
      <c r="BWJ613" s="294"/>
      <c r="BWK613" s="294"/>
      <c r="BWL613" s="294"/>
      <c r="BWM613" s="294"/>
      <c r="BWN613" s="294"/>
      <c r="BWO613" s="294"/>
      <c r="BWP613" s="294"/>
      <c r="BWQ613" s="294"/>
      <c r="BWR613" s="294"/>
      <c r="BWS613" s="294"/>
      <c r="BWT613" s="294"/>
      <c r="BWU613" s="294"/>
      <c r="BWV613" s="294"/>
      <c r="BWW613" s="294"/>
      <c r="BWX613" s="294"/>
      <c r="BWY613" s="294"/>
      <c r="BWZ613" s="294"/>
      <c r="BXA613" s="294"/>
      <c r="BXB613" s="294"/>
      <c r="BXC613" s="294"/>
      <c r="BXD613" s="294"/>
      <c r="BXE613" s="294"/>
      <c r="BXF613" s="294"/>
      <c r="BXG613" s="294"/>
      <c r="BXH613" s="294"/>
      <c r="BXI613" s="294"/>
      <c r="BXJ613" s="294"/>
      <c r="BXK613" s="294"/>
      <c r="BXL613" s="294"/>
      <c r="BXM613" s="294"/>
      <c r="BXN613" s="294"/>
      <c r="BXO613" s="294"/>
      <c r="BXP613" s="294"/>
      <c r="BXQ613" s="294"/>
      <c r="BXR613" s="294"/>
      <c r="BXS613" s="294"/>
      <c r="BXT613" s="294"/>
      <c r="BXU613" s="294"/>
      <c r="BXV613" s="294"/>
      <c r="BXW613" s="294"/>
      <c r="BXX613" s="294"/>
      <c r="BXY613" s="294"/>
      <c r="BXZ613" s="294"/>
      <c r="BYA613" s="294"/>
      <c r="BYB613" s="294"/>
      <c r="BYC613" s="294"/>
      <c r="BYD613" s="294"/>
      <c r="BYE613" s="294"/>
      <c r="BYF613" s="294"/>
      <c r="BYG613" s="294"/>
      <c r="BYH613" s="294"/>
      <c r="BYI613" s="294"/>
      <c r="BYJ613" s="294"/>
      <c r="BYK613" s="294"/>
      <c r="BYL613" s="294"/>
      <c r="BYM613" s="294"/>
      <c r="BYN613" s="294"/>
      <c r="BYO613" s="294"/>
      <c r="BYP613" s="294"/>
      <c r="BYQ613" s="294"/>
      <c r="BYR613" s="294"/>
      <c r="BYS613" s="294"/>
      <c r="BYT613" s="294"/>
      <c r="BYU613" s="294"/>
      <c r="BYV613" s="294"/>
      <c r="BYW613" s="294"/>
      <c r="BYX613" s="294"/>
      <c r="BYY613" s="294"/>
      <c r="BYZ613" s="294"/>
      <c r="BZA613" s="294"/>
      <c r="BZB613" s="294"/>
      <c r="BZC613" s="294"/>
      <c r="BZD613" s="294"/>
      <c r="BZE613" s="294"/>
      <c r="BZF613" s="294"/>
      <c r="BZG613" s="294"/>
      <c r="BZH613" s="294"/>
      <c r="BZI613" s="294"/>
      <c r="BZJ613" s="294"/>
      <c r="BZK613" s="294"/>
      <c r="BZL613" s="294"/>
      <c r="BZM613" s="294"/>
      <c r="BZN613" s="294"/>
      <c r="BZO613" s="294"/>
      <c r="BZP613" s="294"/>
      <c r="BZQ613" s="294"/>
      <c r="BZR613" s="294"/>
      <c r="BZS613" s="294"/>
      <c r="BZT613" s="294"/>
      <c r="BZU613" s="294"/>
      <c r="BZV613" s="294"/>
      <c r="BZW613" s="294"/>
      <c r="BZX613" s="294"/>
      <c r="BZY613" s="294"/>
      <c r="BZZ613" s="294"/>
      <c r="CAA613" s="294"/>
      <c r="CAB613" s="294"/>
      <c r="CAC613" s="294"/>
      <c r="CAD613" s="294"/>
      <c r="CAE613" s="294"/>
      <c r="CAF613" s="294"/>
      <c r="CAG613" s="294"/>
      <c r="CAH613" s="294"/>
      <c r="CAI613" s="294"/>
      <c r="CAJ613" s="294"/>
      <c r="CAK613" s="294"/>
      <c r="CAL613" s="294"/>
      <c r="CAM613" s="294"/>
      <c r="CAN613" s="294"/>
      <c r="CAO613" s="294"/>
      <c r="CAP613" s="294"/>
      <c r="CAQ613" s="294"/>
      <c r="CAR613" s="294"/>
      <c r="CAS613" s="294"/>
      <c r="CAT613" s="294"/>
      <c r="CAU613" s="294"/>
      <c r="CAV613" s="294"/>
      <c r="CAW613" s="294"/>
      <c r="CAX613" s="294"/>
      <c r="CAY613" s="294"/>
      <c r="CAZ613" s="294"/>
      <c r="CBA613" s="294"/>
      <c r="CBB613" s="294"/>
      <c r="CBC613" s="294"/>
      <c r="CBD613" s="294"/>
      <c r="CBE613" s="294"/>
      <c r="CBF613" s="294"/>
      <c r="CBG613" s="294"/>
      <c r="CBH613" s="294"/>
      <c r="CBI613" s="294"/>
      <c r="CBJ613" s="294"/>
      <c r="CBK613" s="294"/>
      <c r="CBL613" s="294"/>
      <c r="CBM613" s="294"/>
      <c r="CBN613" s="294"/>
      <c r="CBO613" s="294"/>
      <c r="CBP613" s="294"/>
      <c r="CBQ613" s="294"/>
      <c r="CBR613" s="294"/>
      <c r="CBS613" s="294"/>
      <c r="CBT613" s="294"/>
      <c r="CBU613" s="294"/>
      <c r="CBV613" s="294"/>
      <c r="CBW613" s="294"/>
      <c r="CBX613" s="294"/>
      <c r="CBY613" s="294"/>
      <c r="CBZ613" s="294"/>
      <c r="CCA613" s="294"/>
      <c r="CCB613" s="294"/>
      <c r="CCC613" s="294"/>
      <c r="CCD613" s="294"/>
      <c r="CCE613" s="294"/>
      <c r="CCF613" s="294"/>
      <c r="CCG613" s="294"/>
      <c r="CCH613" s="294"/>
      <c r="CCI613" s="294"/>
      <c r="CCJ613" s="294"/>
      <c r="CCK613" s="294"/>
      <c r="CCL613" s="294"/>
      <c r="CCM613" s="294"/>
      <c r="CCN613" s="294"/>
      <c r="CCO613" s="294"/>
      <c r="CCP613" s="294"/>
      <c r="CCQ613" s="294"/>
      <c r="CCR613" s="294"/>
      <c r="CCS613" s="294"/>
      <c r="CCT613" s="294"/>
      <c r="CCU613" s="294"/>
      <c r="CCV613" s="294"/>
      <c r="CCW613" s="294"/>
      <c r="CCX613" s="294"/>
      <c r="CCY613" s="294"/>
      <c r="CCZ613" s="294"/>
      <c r="CDA613" s="294"/>
      <c r="CDB613" s="294"/>
      <c r="CDC613" s="294"/>
      <c r="CDD613" s="294"/>
      <c r="CDE613" s="294"/>
      <c r="CDF613" s="294"/>
      <c r="CDG613" s="294"/>
      <c r="CDH613" s="294"/>
      <c r="CDI613" s="294"/>
      <c r="CDJ613" s="294"/>
      <c r="CDK613" s="294"/>
      <c r="CDL613" s="294"/>
      <c r="CDM613" s="294"/>
      <c r="CDN613" s="294"/>
      <c r="CDO613" s="294"/>
      <c r="CDP613" s="294"/>
      <c r="CDQ613" s="294"/>
      <c r="CDR613" s="294"/>
      <c r="CDS613" s="294"/>
      <c r="CDT613" s="294"/>
      <c r="CDU613" s="294"/>
      <c r="CDV613" s="294"/>
      <c r="CDW613" s="294"/>
      <c r="CDX613" s="294"/>
      <c r="CDY613" s="294"/>
      <c r="CDZ613" s="294"/>
      <c r="CEA613" s="294"/>
      <c r="CEB613" s="294"/>
      <c r="CEC613" s="294"/>
      <c r="CED613" s="294"/>
      <c r="CEE613" s="294"/>
      <c r="CEF613" s="294"/>
      <c r="CEG613" s="294"/>
      <c r="CEH613" s="294"/>
      <c r="CEI613" s="294"/>
      <c r="CEJ613" s="294"/>
      <c r="CEK613" s="294"/>
      <c r="CEL613" s="294"/>
      <c r="CEM613" s="294"/>
      <c r="CEN613" s="294"/>
      <c r="CEO613" s="294"/>
      <c r="CEP613" s="294"/>
      <c r="CEQ613" s="294"/>
      <c r="CER613" s="294"/>
      <c r="CES613" s="294"/>
      <c r="CET613" s="294"/>
      <c r="CEU613" s="294"/>
      <c r="CEV613" s="294"/>
      <c r="CEW613" s="294"/>
      <c r="CEX613" s="294"/>
      <c r="CEY613" s="294"/>
      <c r="CEZ613" s="294"/>
      <c r="CFA613" s="294"/>
      <c r="CFB613" s="294"/>
      <c r="CFC613" s="294"/>
      <c r="CFD613" s="294"/>
      <c r="CFE613" s="294"/>
      <c r="CFF613" s="294"/>
      <c r="CFG613" s="294"/>
      <c r="CFH613" s="294"/>
      <c r="CFI613" s="294"/>
      <c r="CFJ613" s="294"/>
      <c r="CFK613" s="294"/>
      <c r="CFL613" s="294"/>
      <c r="CFM613" s="294"/>
      <c r="CFN613" s="294"/>
      <c r="CFO613" s="294"/>
      <c r="CFP613" s="294"/>
      <c r="CFQ613" s="294"/>
      <c r="CFR613" s="294"/>
      <c r="CFS613" s="294"/>
      <c r="CFT613" s="294"/>
      <c r="CFU613" s="294"/>
      <c r="CFV613" s="294"/>
      <c r="CFW613" s="294"/>
      <c r="CFX613" s="294"/>
      <c r="CFY613" s="294"/>
      <c r="CFZ613" s="294"/>
      <c r="CGA613" s="294"/>
      <c r="CGB613" s="294"/>
      <c r="CGC613" s="294"/>
      <c r="CGD613" s="294"/>
      <c r="CGE613" s="294"/>
      <c r="CGF613" s="294"/>
      <c r="CGG613" s="294"/>
      <c r="CGH613" s="294"/>
      <c r="CGI613" s="294"/>
      <c r="CGJ613" s="294"/>
      <c r="CGK613" s="294"/>
      <c r="CGL613" s="294"/>
      <c r="CGM613" s="294"/>
      <c r="CGN613" s="294"/>
      <c r="CGO613" s="294"/>
      <c r="CGP613" s="294"/>
      <c r="CGQ613" s="294"/>
      <c r="CGR613" s="294"/>
      <c r="CGS613" s="294"/>
      <c r="CGT613" s="294"/>
      <c r="CGU613" s="294"/>
      <c r="CGV613" s="294"/>
      <c r="CGW613" s="294"/>
      <c r="CGX613" s="294"/>
      <c r="CGY613" s="294"/>
      <c r="CGZ613" s="294"/>
      <c r="CHA613" s="294"/>
      <c r="CHB613" s="294"/>
      <c r="CHC613" s="294"/>
      <c r="CHD613" s="294"/>
      <c r="CHE613" s="294"/>
      <c r="CHF613" s="294"/>
      <c r="CHG613" s="294"/>
      <c r="CHH613" s="294"/>
      <c r="CHI613" s="294"/>
      <c r="CHJ613" s="294"/>
      <c r="CHK613" s="294"/>
      <c r="CHL613" s="294"/>
      <c r="CHM613" s="294"/>
      <c r="CHN613" s="294"/>
      <c r="CHO613" s="294"/>
      <c r="CHP613" s="294"/>
      <c r="CHQ613" s="294"/>
      <c r="CHR613" s="294"/>
      <c r="CHS613" s="294"/>
      <c r="CHT613" s="294"/>
      <c r="CHU613" s="294"/>
      <c r="CHV613" s="294"/>
      <c r="CHW613" s="294"/>
      <c r="CHX613" s="294"/>
      <c r="CHY613" s="294"/>
      <c r="CHZ613" s="294"/>
      <c r="CIA613" s="294"/>
      <c r="CIB613" s="294"/>
      <c r="CIC613" s="294"/>
      <c r="CID613" s="294"/>
      <c r="CIE613" s="294"/>
      <c r="CIF613" s="294"/>
      <c r="CIG613" s="294"/>
      <c r="CIH613" s="294"/>
      <c r="CII613" s="294"/>
      <c r="CIJ613" s="294"/>
      <c r="CIK613" s="294"/>
      <c r="CIL613" s="294"/>
      <c r="CIM613" s="294"/>
      <c r="CIN613" s="294"/>
      <c r="CIO613" s="294"/>
      <c r="CIP613" s="294"/>
      <c r="CIQ613" s="294"/>
      <c r="CIR613" s="294"/>
      <c r="CIS613" s="294"/>
      <c r="CIT613" s="294"/>
      <c r="CIU613" s="294"/>
      <c r="CIV613" s="294"/>
      <c r="CIW613" s="294"/>
      <c r="CIX613" s="294"/>
      <c r="CIY613" s="294"/>
      <c r="CIZ613" s="294"/>
      <c r="CJA613" s="294"/>
      <c r="CJB613" s="294"/>
      <c r="CJC613" s="294"/>
      <c r="CJD613" s="294"/>
      <c r="CJE613" s="294"/>
      <c r="CJF613" s="294"/>
      <c r="CJG613" s="294"/>
      <c r="CJH613" s="294"/>
      <c r="CJI613" s="294"/>
      <c r="CJJ613" s="294"/>
      <c r="CJK613" s="294"/>
      <c r="CJL613" s="294"/>
      <c r="CJM613" s="294"/>
      <c r="CJN613" s="294"/>
      <c r="CJO613" s="294"/>
      <c r="CJP613" s="294"/>
      <c r="CJQ613" s="294"/>
      <c r="CJR613" s="294"/>
      <c r="CJS613" s="294"/>
      <c r="CJT613" s="294"/>
      <c r="CJU613" s="294"/>
      <c r="CJV613" s="294"/>
      <c r="CJW613" s="294"/>
      <c r="CJX613" s="294"/>
      <c r="CJY613" s="294"/>
      <c r="CJZ613" s="294"/>
      <c r="CKA613" s="294"/>
      <c r="CKB613" s="294"/>
      <c r="CKC613" s="294"/>
      <c r="CKD613" s="294"/>
      <c r="CKE613" s="294"/>
      <c r="CKF613" s="294"/>
      <c r="CKG613" s="294"/>
      <c r="CKH613" s="294"/>
      <c r="CKI613" s="294"/>
      <c r="CKJ613" s="294"/>
      <c r="CKK613" s="294"/>
      <c r="CKL613" s="294"/>
      <c r="CKM613" s="294"/>
      <c r="CKN613" s="294"/>
      <c r="CKO613" s="294"/>
      <c r="CKP613" s="294"/>
      <c r="CKQ613" s="294"/>
      <c r="CKR613" s="294"/>
      <c r="CKS613" s="294"/>
      <c r="CKT613" s="294"/>
      <c r="CKU613" s="294"/>
      <c r="CKV613" s="294"/>
      <c r="CKW613" s="294"/>
      <c r="CKX613" s="294"/>
      <c r="CKY613" s="294"/>
      <c r="CKZ613" s="294"/>
      <c r="CLA613" s="294"/>
      <c r="CLB613" s="294"/>
      <c r="CLC613" s="294"/>
      <c r="CLD613" s="294"/>
      <c r="CLE613" s="294"/>
      <c r="CLF613" s="294"/>
      <c r="CLG613" s="294"/>
      <c r="CLH613" s="294"/>
      <c r="CLI613" s="294"/>
      <c r="CLJ613" s="294"/>
      <c r="CLK613" s="294"/>
      <c r="CLL613" s="294"/>
      <c r="CLM613" s="294"/>
      <c r="CLN613" s="294"/>
      <c r="CLO613" s="294"/>
      <c r="CLP613" s="294"/>
      <c r="CLQ613" s="294"/>
      <c r="CLR613" s="294"/>
      <c r="CLS613" s="294"/>
      <c r="CLT613" s="294"/>
      <c r="CLU613" s="294"/>
      <c r="CLV613" s="294"/>
      <c r="CLW613" s="294"/>
      <c r="CLX613" s="294"/>
      <c r="CLY613" s="294"/>
      <c r="CLZ613" s="294"/>
      <c r="CMA613" s="294"/>
      <c r="CMB613" s="294"/>
      <c r="CMC613" s="294"/>
      <c r="CMD613" s="294"/>
      <c r="CME613" s="294"/>
      <c r="CMF613" s="294"/>
      <c r="CMG613" s="294"/>
      <c r="CMH613" s="294"/>
      <c r="CMI613" s="294"/>
      <c r="CMJ613" s="294"/>
      <c r="CMK613" s="294"/>
      <c r="CML613" s="294"/>
      <c r="CMM613" s="294"/>
      <c r="CMN613" s="294"/>
      <c r="CMO613" s="294"/>
      <c r="CMP613" s="294"/>
      <c r="CMQ613" s="294"/>
      <c r="CMR613" s="294"/>
      <c r="CMS613" s="294"/>
      <c r="CMT613" s="294"/>
      <c r="CMU613" s="294"/>
      <c r="CMV613" s="294"/>
      <c r="CMW613" s="294"/>
      <c r="CMX613" s="294"/>
      <c r="CMY613" s="294"/>
      <c r="CMZ613" s="294"/>
      <c r="CNA613" s="294"/>
      <c r="CNB613" s="294"/>
      <c r="CNC613" s="294"/>
      <c r="CND613" s="294"/>
      <c r="CNE613" s="294"/>
      <c r="CNF613" s="294"/>
      <c r="CNG613" s="294"/>
      <c r="CNH613" s="294"/>
      <c r="CNI613" s="294"/>
      <c r="CNJ613" s="294"/>
      <c r="CNK613" s="294"/>
      <c r="CNL613" s="294"/>
      <c r="CNM613" s="294"/>
      <c r="CNN613" s="294"/>
      <c r="CNO613" s="294"/>
      <c r="CNP613" s="294"/>
      <c r="CNQ613" s="294"/>
      <c r="CNR613" s="294"/>
      <c r="CNS613" s="294"/>
      <c r="CNT613" s="294"/>
      <c r="CNU613" s="294"/>
      <c r="CNV613" s="294"/>
      <c r="CNW613" s="294"/>
      <c r="CNX613" s="294"/>
      <c r="CNY613" s="294"/>
      <c r="CNZ613" s="294"/>
      <c r="COA613" s="294"/>
      <c r="COB613" s="294"/>
      <c r="COC613" s="294"/>
      <c r="COD613" s="294"/>
      <c r="COE613" s="294"/>
      <c r="COF613" s="294"/>
      <c r="COG613" s="294"/>
      <c r="COH613" s="294"/>
      <c r="COI613" s="294"/>
      <c r="COJ613" s="294"/>
      <c r="COK613" s="294"/>
      <c r="COL613" s="294"/>
      <c r="COM613" s="294"/>
      <c r="CON613" s="294"/>
      <c r="COO613" s="294"/>
      <c r="COP613" s="294"/>
      <c r="COQ613" s="294"/>
      <c r="COR613" s="294"/>
      <c r="COS613" s="294"/>
      <c r="COT613" s="294"/>
      <c r="COU613" s="294"/>
      <c r="COV613" s="294"/>
      <c r="COW613" s="294"/>
      <c r="COX613" s="294"/>
      <c r="COY613" s="294"/>
      <c r="COZ613" s="294"/>
      <c r="CPA613" s="294"/>
      <c r="CPB613" s="294"/>
      <c r="CPC613" s="294"/>
      <c r="CPD613" s="294"/>
      <c r="CPE613" s="294"/>
      <c r="CPF613" s="294"/>
      <c r="CPG613" s="294"/>
      <c r="CPH613" s="294"/>
      <c r="CPI613" s="294"/>
      <c r="CPJ613" s="294"/>
      <c r="CPK613" s="294"/>
      <c r="CPL613" s="294"/>
      <c r="CPM613" s="294"/>
      <c r="CPN613" s="294"/>
      <c r="CPO613" s="294"/>
      <c r="CPP613" s="294"/>
      <c r="CPQ613" s="294"/>
      <c r="CPR613" s="294"/>
      <c r="CPS613" s="294"/>
      <c r="CPT613" s="294"/>
      <c r="CPU613" s="294"/>
      <c r="CPV613" s="294"/>
      <c r="CPW613" s="294"/>
      <c r="CPX613" s="294"/>
      <c r="CPY613" s="294"/>
      <c r="CPZ613" s="294"/>
      <c r="CQA613" s="294"/>
      <c r="CQB613" s="294"/>
      <c r="CQC613" s="294"/>
      <c r="CQD613" s="294"/>
      <c r="CQE613" s="294"/>
      <c r="CQF613" s="294"/>
      <c r="CQG613" s="294"/>
      <c r="CQH613" s="294"/>
      <c r="CQI613" s="294"/>
      <c r="CQJ613" s="294"/>
      <c r="CQK613" s="294"/>
      <c r="CQL613" s="294"/>
      <c r="CQM613" s="294"/>
      <c r="CQN613" s="294"/>
      <c r="CQO613" s="294"/>
      <c r="CQP613" s="294"/>
      <c r="CQQ613" s="294"/>
      <c r="CQR613" s="294"/>
      <c r="CQS613" s="294"/>
      <c r="CQT613" s="294"/>
      <c r="CQU613" s="294"/>
      <c r="CQV613" s="294"/>
      <c r="CQW613" s="294"/>
      <c r="CQX613" s="294"/>
      <c r="CQY613" s="294"/>
      <c r="CQZ613" s="294"/>
      <c r="CRA613" s="294"/>
      <c r="CRB613" s="294"/>
      <c r="CRC613" s="294"/>
      <c r="CRD613" s="294"/>
      <c r="CRE613" s="294"/>
      <c r="CRF613" s="294"/>
      <c r="CRG613" s="294"/>
      <c r="CRH613" s="294"/>
      <c r="CRI613" s="294"/>
      <c r="CRJ613" s="294"/>
      <c r="CRK613" s="294"/>
      <c r="CRL613" s="294"/>
      <c r="CRM613" s="294"/>
      <c r="CRN613" s="294"/>
      <c r="CRO613" s="294"/>
      <c r="CRP613" s="294"/>
      <c r="CRQ613" s="294"/>
      <c r="CRR613" s="294"/>
      <c r="CRS613" s="294"/>
      <c r="CRT613" s="294"/>
      <c r="CRU613" s="294"/>
      <c r="CRV613" s="294"/>
      <c r="CRW613" s="294"/>
      <c r="CRX613" s="294"/>
      <c r="CRY613" s="294"/>
      <c r="CRZ613" s="294"/>
      <c r="CSA613" s="294"/>
      <c r="CSB613" s="294"/>
      <c r="CSC613" s="294"/>
      <c r="CSD613" s="294"/>
      <c r="CSE613" s="294"/>
      <c r="CSF613" s="294"/>
      <c r="CSG613" s="294"/>
      <c r="CSH613" s="294"/>
      <c r="CSI613" s="294"/>
      <c r="CSJ613" s="294"/>
      <c r="CSK613" s="294"/>
      <c r="CSL613" s="294"/>
      <c r="CSM613" s="294"/>
      <c r="CSN613" s="294"/>
      <c r="CSO613" s="294"/>
      <c r="CSP613" s="294"/>
      <c r="CSQ613" s="294"/>
      <c r="CSR613" s="294"/>
      <c r="CSS613" s="294"/>
      <c r="CST613" s="294"/>
      <c r="CSU613" s="294"/>
      <c r="CSV613" s="294"/>
      <c r="CSW613" s="294"/>
      <c r="CSX613" s="294"/>
      <c r="CSY613" s="294"/>
      <c r="CSZ613" s="294"/>
      <c r="CTA613" s="294"/>
      <c r="CTB613" s="294"/>
      <c r="CTC613" s="294"/>
      <c r="CTD613" s="294"/>
      <c r="CTE613" s="294"/>
      <c r="CTF613" s="294"/>
      <c r="CTG613" s="294"/>
      <c r="CTH613" s="294"/>
      <c r="CTI613" s="294"/>
      <c r="CTJ613" s="294"/>
      <c r="CTK613" s="294"/>
      <c r="CTL613" s="294"/>
      <c r="CTM613" s="294"/>
      <c r="CTN613" s="294"/>
      <c r="CTO613" s="294"/>
      <c r="CTP613" s="294"/>
      <c r="CTQ613" s="294"/>
      <c r="CTR613" s="294"/>
      <c r="CTS613" s="294"/>
      <c r="CTT613" s="294"/>
      <c r="CTU613" s="294"/>
      <c r="CTV613" s="294"/>
      <c r="CTW613" s="294"/>
      <c r="CTX613" s="294"/>
      <c r="CTY613" s="294"/>
      <c r="CTZ613" s="294"/>
      <c r="CUA613" s="294"/>
      <c r="CUB613" s="294"/>
      <c r="CUC613" s="294"/>
      <c r="CUD613" s="294"/>
      <c r="CUE613" s="294"/>
      <c r="CUF613" s="294"/>
      <c r="CUG613" s="294"/>
      <c r="CUH613" s="294"/>
      <c r="CUI613" s="294"/>
      <c r="CUJ613" s="294"/>
      <c r="CUK613" s="294"/>
      <c r="CUL613" s="294"/>
      <c r="CUM613" s="294"/>
      <c r="CUN613" s="294"/>
      <c r="CUO613" s="294"/>
      <c r="CUP613" s="294"/>
      <c r="CUQ613" s="294"/>
      <c r="CUR613" s="294"/>
      <c r="CUS613" s="294"/>
      <c r="CUT613" s="294"/>
      <c r="CUU613" s="294"/>
      <c r="CUV613" s="294"/>
      <c r="CUW613" s="294"/>
      <c r="CUX613" s="294"/>
      <c r="CUY613" s="294"/>
      <c r="CUZ613" s="294"/>
      <c r="CVA613" s="294"/>
      <c r="CVB613" s="294"/>
      <c r="CVC613" s="294"/>
      <c r="CVD613" s="294"/>
      <c r="CVE613" s="294"/>
      <c r="CVF613" s="294"/>
      <c r="CVG613" s="294"/>
      <c r="CVH613" s="294"/>
      <c r="CVI613" s="294"/>
      <c r="CVJ613" s="294"/>
      <c r="CVK613" s="294"/>
      <c r="CVL613" s="294"/>
      <c r="CVM613" s="294"/>
      <c r="CVN613" s="294"/>
      <c r="CVO613" s="294"/>
      <c r="CVP613" s="294"/>
      <c r="CVQ613" s="294"/>
      <c r="CVR613" s="294"/>
      <c r="CVS613" s="294"/>
      <c r="CVT613" s="294"/>
      <c r="CVU613" s="294"/>
      <c r="CVV613" s="294"/>
      <c r="CVW613" s="294"/>
      <c r="CVX613" s="294"/>
      <c r="CVY613" s="294"/>
      <c r="CVZ613" s="294"/>
      <c r="CWA613" s="294"/>
      <c r="CWB613" s="294"/>
      <c r="CWC613" s="294"/>
      <c r="CWD613" s="294"/>
      <c r="CWE613" s="294"/>
      <c r="CWF613" s="294"/>
      <c r="CWG613" s="294"/>
      <c r="CWH613" s="294"/>
      <c r="CWI613" s="294"/>
      <c r="CWJ613" s="294"/>
      <c r="CWK613" s="294"/>
      <c r="CWL613" s="294"/>
      <c r="CWM613" s="294"/>
      <c r="CWN613" s="294"/>
      <c r="CWO613" s="294"/>
      <c r="CWP613" s="294"/>
      <c r="CWQ613" s="294"/>
      <c r="CWR613" s="294"/>
      <c r="CWS613" s="294"/>
      <c r="CWT613" s="294"/>
      <c r="CWU613" s="294"/>
      <c r="CWV613" s="294"/>
      <c r="CWW613" s="294"/>
      <c r="CWX613" s="294"/>
      <c r="CWY613" s="294"/>
      <c r="CWZ613" s="294"/>
      <c r="CXA613" s="294"/>
      <c r="CXB613" s="294"/>
      <c r="CXC613" s="294"/>
      <c r="CXD613" s="294"/>
      <c r="CXE613" s="294"/>
      <c r="CXF613" s="294"/>
      <c r="CXG613" s="294"/>
      <c r="CXH613" s="294"/>
      <c r="CXI613" s="294"/>
      <c r="CXJ613" s="294"/>
      <c r="CXK613" s="294"/>
      <c r="CXL613" s="294"/>
      <c r="CXM613" s="294"/>
      <c r="CXN613" s="294"/>
      <c r="CXO613" s="294"/>
      <c r="CXP613" s="294"/>
      <c r="CXQ613" s="294"/>
      <c r="CXR613" s="294"/>
      <c r="CXS613" s="294"/>
      <c r="CXT613" s="294"/>
      <c r="CXU613" s="294"/>
      <c r="CXV613" s="294"/>
      <c r="CXW613" s="294"/>
      <c r="CXX613" s="294"/>
      <c r="CXY613" s="294"/>
      <c r="CXZ613" s="294"/>
      <c r="CYA613" s="294"/>
      <c r="CYB613" s="294"/>
      <c r="CYC613" s="294"/>
      <c r="CYD613" s="294"/>
      <c r="CYE613" s="294"/>
      <c r="CYF613" s="294"/>
      <c r="CYG613" s="294"/>
      <c r="CYH613" s="294"/>
      <c r="CYI613" s="294"/>
      <c r="CYJ613" s="294"/>
      <c r="CYK613" s="294"/>
      <c r="CYL613" s="294"/>
      <c r="CYM613" s="294"/>
      <c r="CYN613" s="294"/>
      <c r="CYO613" s="294"/>
      <c r="CYP613" s="294"/>
      <c r="CYQ613" s="294"/>
      <c r="CYR613" s="294"/>
      <c r="CYS613" s="294"/>
      <c r="CYT613" s="294"/>
      <c r="CYU613" s="294"/>
      <c r="CYV613" s="294"/>
      <c r="CYW613" s="294"/>
      <c r="CYX613" s="294"/>
      <c r="CYY613" s="294"/>
      <c r="CYZ613" s="294"/>
      <c r="CZA613" s="294"/>
      <c r="CZB613" s="294"/>
      <c r="CZC613" s="294"/>
      <c r="CZD613" s="294"/>
      <c r="CZE613" s="294"/>
      <c r="CZF613" s="294"/>
      <c r="CZG613" s="294"/>
      <c r="CZH613" s="294"/>
      <c r="CZI613" s="294"/>
      <c r="CZJ613" s="294"/>
      <c r="CZK613" s="294"/>
      <c r="CZL613" s="294"/>
      <c r="CZM613" s="294"/>
      <c r="CZN613" s="294"/>
      <c r="CZO613" s="294"/>
      <c r="CZP613" s="294"/>
      <c r="CZQ613" s="294"/>
      <c r="CZR613" s="294"/>
      <c r="CZS613" s="294"/>
      <c r="CZT613" s="294"/>
      <c r="CZU613" s="294"/>
      <c r="CZV613" s="294"/>
      <c r="CZW613" s="294"/>
      <c r="CZX613" s="294"/>
      <c r="CZY613" s="294"/>
      <c r="CZZ613" s="294"/>
      <c r="DAA613" s="294"/>
      <c r="DAB613" s="294"/>
      <c r="DAC613" s="294"/>
      <c r="DAD613" s="294"/>
      <c r="DAE613" s="294"/>
      <c r="DAF613" s="294"/>
      <c r="DAG613" s="294"/>
      <c r="DAH613" s="294"/>
      <c r="DAI613" s="294"/>
      <c r="DAJ613" s="294"/>
      <c r="DAK613" s="294"/>
      <c r="DAL613" s="294"/>
      <c r="DAM613" s="294"/>
      <c r="DAN613" s="294"/>
      <c r="DAO613" s="294"/>
      <c r="DAP613" s="294"/>
      <c r="DAQ613" s="294"/>
      <c r="DAR613" s="294"/>
      <c r="DAS613" s="294"/>
      <c r="DAT613" s="294"/>
      <c r="DAU613" s="294"/>
      <c r="DAV613" s="294"/>
      <c r="DAW613" s="294"/>
      <c r="DAX613" s="294"/>
      <c r="DAY613" s="294"/>
      <c r="DAZ613" s="294"/>
      <c r="DBA613" s="294"/>
      <c r="DBB613" s="294"/>
      <c r="DBC613" s="294"/>
      <c r="DBD613" s="294"/>
      <c r="DBE613" s="294"/>
      <c r="DBF613" s="294"/>
      <c r="DBG613" s="294"/>
      <c r="DBH613" s="294"/>
      <c r="DBI613" s="294"/>
      <c r="DBJ613" s="294"/>
      <c r="DBK613" s="294"/>
      <c r="DBL613" s="294"/>
      <c r="DBM613" s="294"/>
      <c r="DBN613" s="294"/>
      <c r="DBO613" s="294"/>
      <c r="DBP613" s="294"/>
      <c r="DBQ613" s="294"/>
      <c r="DBR613" s="294"/>
      <c r="DBS613" s="294"/>
      <c r="DBT613" s="294"/>
      <c r="DBU613" s="294"/>
      <c r="DBV613" s="294"/>
      <c r="DBW613" s="294"/>
      <c r="DBX613" s="294"/>
      <c r="DBY613" s="294"/>
      <c r="DBZ613" s="294"/>
      <c r="DCA613" s="294"/>
      <c r="DCB613" s="294"/>
      <c r="DCC613" s="294"/>
      <c r="DCD613" s="294"/>
      <c r="DCE613" s="294"/>
      <c r="DCF613" s="294"/>
      <c r="DCG613" s="294"/>
      <c r="DCH613" s="294"/>
      <c r="DCI613" s="294"/>
      <c r="DCJ613" s="294"/>
      <c r="DCK613" s="294"/>
      <c r="DCL613" s="294"/>
      <c r="DCM613" s="294"/>
      <c r="DCN613" s="294"/>
      <c r="DCO613" s="294"/>
      <c r="DCP613" s="294"/>
      <c r="DCQ613" s="294"/>
      <c r="DCR613" s="294"/>
      <c r="DCS613" s="294"/>
      <c r="DCT613" s="294"/>
      <c r="DCU613" s="294"/>
      <c r="DCV613" s="294"/>
      <c r="DCW613" s="294"/>
      <c r="DCX613" s="294"/>
      <c r="DCY613" s="294"/>
      <c r="DCZ613" s="294"/>
      <c r="DDA613" s="294"/>
      <c r="DDB613" s="294"/>
      <c r="DDC613" s="294"/>
      <c r="DDD613" s="294"/>
      <c r="DDE613" s="294"/>
      <c r="DDF613" s="294"/>
      <c r="DDG613" s="294"/>
      <c r="DDH613" s="294"/>
      <c r="DDI613" s="294"/>
      <c r="DDJ613" s="294"/>
      <c r="DDK613" s="294"/>
      <c r="DDL613" s="294"/>
      <c r="DDM613" s="294"/>
      <c r="DDN613" s="294"/>
      <c r="DDO613" s="294"/>
      <c r="DDP613" s="294"/>
      <c r="DDQ613" s="294"/>
      <c r="DDR613" s="294"/>
      <c r="DDS613" s="294"/>
      <c r="DDT613" s="294"/>
      <c r="DDU613" s="294"/>
      <c r="DDV613" s="294"/>
      <c r="DDW613" s="294"/>
      <c r="DDX613" s="294"/>
      <c r="DDY613" s="294"/>
      <c r="DDZ613" s="294"/>
      <c r="DEA613" s="294"/>
      <c r="DEB613" s="294"/>
      <c r="DEC613" s="294"/>
      <c r="DED613" s="294"/>
      <c r="DEE613" s="294"/>
      <c r="DEF613" s="294"/>
      <c r="DEG613" s="294"/>
      <c r="DEH613" s="294"/>
      <c r="DEI613" s="294"/>
      <c r="DEJ613" s="294"/>
      <c r="DEK613" s="294"/>
      <c r="DEL613" s="294"/>
      <c r="DEM613" s="294"/>
      <c r="DEN613" s="294"/>
      <c r="DEO613" s="294"/>
      <c r="DEP613" s="294"/>
      <c r="DEQ613" s="294"/>
      <c r="DER613" s="294"/>
      <c r="DES613" s="294"/>
      <c r="DET613" s="294"/>
      <c r="DEU613" s="294"/>
      <c r="DEV613" s="294"/>
      <c r="DEW613" s="294"/>
      <c r="DEX613" s="294"/>
      <c r="DEY613" s="294"/>
      <c r="DEZ613" s="294"/>
      <c r="DFA613" s="294"/>
      <c r="DFB613" s="294"/>
      <c r="DFC613" s="294"/>
      <c r="DFD613" s="294"/>
      <c r="DFE613" s="294"/>
      <c r="DFF613" s="294"/>
      <c r="DFG613" s="294"/>
      <c r="DFH613" s="294"/>
      <c r="DFI613" s="294"/>
      <c r="DFJ613" s="294"/>
      <c r="DFK613" s="294"/>
      <c r="DFL613" s="294"/>
      <c r="DFM613" s="294"/>
      <c r="DFN613" s="294"/>
      <c r="DFO613" s="294"/>
      <c r="DFP613" s="294"/>
      <c r="DFQ613" s="294"/>
      <c r="DFR613" s="294"/>
      <c r="DFS613" s="294"/>
      <c r="DFT613" s="294"/>
      <c r="DFU613" s="294"/>
      <c r="DFV613" s="294"/>
      <c r="DFW613" s="294"/>
      <c r="DFX613" s="294"/>
      <c r="DFY613" s="294"/>
      <c r="DFZ613" s="294"/>
      <c r="DGA613" s="294"/>
      <c r="DGB613" s="294"/>
      <c r="DGC613" s="294"/>
      <c r="DGD613" s="294"/>
      <c r="DGE613" s="294"/>
      <c r="DGF613" s="294"/>
      <c r="DGG613" s="294"/>
      <c r="DGH613" s="294"/>
      <c r="DGI613" s="294"/>
      <c r="DGJ613" s="294"/>
      <c r="DGK613" s="294"/>
      <c r="DGL613" s="294"/>
      <c r="DGM613" s="294"/>
      <c r="DGN613" s="294"/>
      <c r="DGO613" s="294"/>
      <c r="DGP613" s="294"/>
      <c r="DGQ613" s="294"/>
      <c r="DGR613" s="294"/>
      <c r="DGS613" s="294"/>
      <c r="DGT613" s="294"/>
      <c r="DGU613" s="294"/>
      <c r="DGV613" s="294"/>
      <c r="DGW613" s="294"/>
      <c r="DGX613" s="294"/>
      <c r="DGY613" s="294"/>
      <c r="DGZ613" s="294"/>
      <c r="DHA613" s="294"/>
      <c r="DHB613" s="294"/>
      <c r="DHC613" s="294"/>
      <c r="DHD613" s="294"/>
      <c r="DHE613" s="294"/>
      <c r="DHF613" s="294"/>
      <c r="DHG613" s="294"/>
      <c r="DHH613" s="294"/>
      <c r="DHI613" s="294"/>
      <c r="DHJ613" s="294"/>
      <c r="DHK613" s="294"/>
      <c r="DHL613" s="294"/>
      <c r="DHM613" s="294"/>
      <c r="DHN613" s="294"/>
      <c r="DHO613" s="294"/>
      <c r="DHP613" s="294"/>
      <c r="DHQ613" s="294"/>
      <c r="DHR613" s="294"/>
      <c r="DHS613" s="294"/>
      <c r="DHT613" s="294"/>
      <c r="DHU613" s="294"/>
      <c r="DHV613" s="294"/>
      <c r="DHW613" s="294"/>
      <c r="DHX613" s="294"/>
      <c r="DHY613" s="294"/>
      <c r="DHZ613" s="294"/>
      <c r="DIA613" s="294"/>
      <c r="DIB613" s="294"/>
      <c r="DIC613" s="294"/>
      <c r="DID613" s="294"/>
      <c r="DIE613" s="294"/>
      <c r="DIF613" s="294"/>
      <c r="DIG613" s="294"/>
      <c r="DIH613" s="294"/>
      <c r="DII613" s="294"/>
      <c r="DIJ613" s="294"/>
      <c r="DIK613" s="294"/>
      <c r="DIL613" s="294"/>
      <c r="DIM613" s="294"/>
      <c r="DIN613" s="294"/>
      <c r="DIO613" s="294"/>
      <c r="DIP613" s="294"/>
      <c r="DIQ613" s="294"/>
      <c r="DIR613" s="294"/>
      <c r="DIS613" s="294"/>
      <c r="DIT613" s="294"/>
      <c r="DIU613" s="294"/>
      <c r="DIV613" s="294"/>
      <c r="DIW613" s="294"/>
      <c r="DIX613" s="294"/>
      <c r="DIY613" s="294"/>
      <c r="DIZ613" s="294"/>
      <c r="DJA613" s="294"/>
      <c r="DJB613" s="294"/>
      <c r="DJC613" s="294"/>
      <c r="DJD613" s="294"/>
      <c r="DJE613" s="294"/>
      <c r="DJF613" s="294"/>
      <c r="DJG613" s="294"/>
      <c r="DJH613" s="294"/>
      <c r="DJI613" s="294"/>
      <c r="DJJ613" s="294"/>
      <c r="DJK613" s="294"/>
      <c r="DJL613" s="294"/>
      <c r="DJM613" s="294"/>
      <c r="DJN613" s="294"/>
      <c r="DJO613" s="294"/>
      <c r="DJP613" s="294"/>
      <c r="DJQ613" s="294"/>
      <c r="DJR613" s="294"/>
      <c r="DJS613" s="294"/>
      <c r="DJT613" s="294"/>
      <c r="DJU613" s="294"/>
      <c r="DJV613" s="294"/>
      <c r="DJW613" s="294"/>
      <c r="DJX613" s="294"/>
      <c r="DJY613" s="294"/>
      <c r="DJZ613" s="294"/>
      <c r="DKA613" s="294"/>
      <c r="DKB613" s="294"/>
      <c r="DKC613" s="294"/>
      <c r="DKD613" s="294"/>
      <c r="DKE613" s="294"/>
      <c r="DKF613" s="294"/>
      <c r="DKG613" s="294"/>
      <c r="DKH613" s="294"/>
      <c r="DKI613" s="294"/>
      <c r="DKJ613" s="294"/>
      <c r="DKK613" s="294"/>
      <c r="DKL613" s="294"/>
      <c r="DKM613" s="294"/>
      <c r="DKN613" s="294"/>
      <c r="DKO613" s="294"/>
      <c r="DKP613" s="294"/>
      <c r="DKQ613" s="294"/>
      <c r="DKR613" s="294"/>
      <c r="DKS613" s="294"/>
      <c r="DKT613" s="294"/>
      <c r="DKU613" s="294"/>
      <c r="DKV613" s="294"/>
      <c r="DKW613" s="294"/>
      <c r="DKX613" s="294"/>
      <c r="DKY613" s="294"/>
      <c r="DKZ613" s="294"/>
      <c r="DLA613" s="294"/>
      <c r="DLB613" s="294"/>
      <c r="DLC613" s="294"/>
      <c r="DLD613" s="294"/>
      <c r="DLE613" s="294"/>
      <c r="DLF613" s="294"/>
      <c r="DLG613" s="294"/>
      <c r="DLH613" s="294"/>
      <c r="DLI613" s="294"/>
      <c r="DLJ613" s="294"/>
      <c r="DLK613" s="294"/>
      <c r="DLL613" s="294"/>
      <c r="DLM613" s="294"/>
      <c r="DLN613" s="294"/>
      <c r="DLO613" s="294"/>
      <c r="DLP613" s="294"/>
      <c r="DLQ613" s="294"/>
      <c r="DLR613" s="294"/>
      <c r="DLS613" s="294"/>
      <c r="DLT613" s="294"/>
      <c r="DLU613" s="294"/>
      <c r="DLV613" s="294"/>
      <c r="DLW613" s="294"/>
      <c r="DLX613" s="294"/>
      <c r="DLY613" s="294"/>
      <c r="DLZ613" s="294"/>
      <c r="DMA613" s="294"/>
      <c r="DMB613" s="294"/>
      <c r="DMC613" s="294"/>
      <c r="DMD613" s="294"/>
      <c r="DME613" s="294"/>
      <c r="DMF613" s="294"/>
      <c r="DMG613" s="294"/>
      <c r="DMH613" s="294"/>
      <c r="DMI613" s="294"/>
      <c r="DMJ613" s="294"/>
      <c r="DMK613" s="294"/>
      <c r="DML613" s="294"/>
      <c r="DMM613" s="294"/>
      <c r="DMN613" s="294"/>
      <c r="DMO613" s="294"/>
      <c r="DMP613" s="294"/>
      <c r="DMQ613" s="294"/>
      <c r="DMR613" s="294"/>
      <c r="DMS613" s="294"/>
      <c r="DMT613" s="294"/>
      <c r="DMU613" s="294"/>
      <c r="DMV613" s="294"/>
      <c r="DMW613" s="294"/>
      <c r="DMX613" s="294"/>
      <c r="DMY613" s="294"/>
      <c r="DMZ613" s="294"/>
      <c r="DNA613" s="294"/>
      <c r="DNB613" s="294"/>
      <c r="DNC613" s="294"/>
      <c r="DND613" s="294"/>
      <c r="DNE613" s="294"/>
      <c r="DNF613" s="294"/>
      <c r="DNG613" s="294"/>
      <c r="DNH613" s="294"/>
      <c r="DNI613" s="294"/>
      <c r="DNJ613" s="294"/>
      <c r="DNK613" s="294"/>
      <c r="DNL613" s="294"/>
      <c r="DNM613" s="294"/>
      <c r="DNN613" s="294"/>
      <c r="DNO613" s="294"/>
      <c r="DNP613" s="294"/>
      <c r="DNQ613" s="294"/>
      <c r="DNR613" s="294"/>
      <c r="DNS613" s="294"/>
      <c r="DNT613" s="294"/>
      <c r="DNU613" s="294"/>
      <c r="DNV613" s="294"/>
      <c r="DNW613" s="294"/>
      <c r="DNX613" s="294"/>
      <c r="DNY613" s="294"/>
      <c r="DNZ613" s="294"/>
      <c r="DOA613" s="294"/>
      <c r="DOB613" s="294"/>
      <c r="DOC613" s="294"/>
      <c r="DOD613" s="294"/>
      <c r="DOE613" s="294"/>
      <c r="DOF613" s="294"/>
      <c r="DOG613" s="294"/>
      <c r="DOH613" s="294"/>
      <c r="DOI613" s="294"/>
      <c r="DOJ613" s="294"/>
      <c r="DOK613" s="294"/>
      <c r="DOL613" s="294"/>
      <c r="DOM613" s="294"/>
      <c r="DON613" s="294"/>
      <c r="DOO613" s="294"/>
      <c r="DOP613" s="294"/>
      <c r="DOQ613" s="294"/>
      <c r="DOR613" s="294"/>
      <c r="DOS613" s="294"/>
      <c r="DOT613" s="294"/>
      <c r="DOU613" s="294"/>
      <c r="DOV613" s="294"/>
      <c r="DOW613" s="294"/>
      <c r="DOX613" s="294"/>
      <c r="DOY613" s="294"/>
      <c r="DOZ613" s="294"/>
      <c r="DPA613" s="294"/>
      <c r="DPB613" s="294"/>
      <c r="DPC613" s="294"/>
      <c r="DPD613" s="294"/>
      <c r="DPE613" s="294"/>
      <c r="DPF613" s="294"/>
      <c r="DPG613" s="294"/>
      <c r="DPH613" s="294"/>
      <c r="DPI613" s="294"/>
      <c r="DPJ613" s="294"/>
      <c r="DPK613" s="294"/>
      <c r="DPL613" s="294"/>
      <c r="DPM613" s="294"/>
      <c r="DPN613" s="294"/>
      <c r="DPO613" s="294"/>
      <c r="DPP613" s="294"/>
      <c r="DPQ613" s="294"/>
      <c r="DPR613" s="294"/>
      <c r="DPS613" s="294"/>
      <c r="DPT613" s="294"/>
      <c r="DPU613" s="294"/>
      <c r="DPV613" s="294"/>
      <c r="DPW613" s="294"/>
      <c r="DPX613" s="294"/>
      <c r="DPY613" s="294"/>
      <c r="DPZ613" s="294"/>
      <c r="DQA613" s="294"/>
      <c r="DQB613" s="294"/>
      <c r="DQC613" s="294"/>
      <c r="DQD613" s="294"/>
      <c r="DQE613" s="294"/>
      <c r="DQF613" s="294"/>
      <c r="DQG613" s="294"/>
      <c r="DQH613" s="294"/>
      <c r="DQI613" s="294"/>
      <c r="DQJ613" s="294"/>
      <c r="DQK613" s="294"/>
      <c r="DQL613" s="294"/>
      <c r="DQM613" s="294"/>
      <c r="DQN613" s="294"/>
      <c r="DQO613" s="294"/>
      <c r="DQP613" s="294"/>
      <c r="DQQ613" s="294"/>
      <c r="DQR613" s="294"/>
      <c r="DQS613" s="294"/>
      <c r="DQT613" s="294"/>
      <c r="DQU613" s="294"/>
      <c r="DQV613" s="294"/>
      <c r="DQW613" s="294"/>
      <c r="DQX613" s="294"/>
      <c r="DQY613" s="294"/>
      <c r="DQZ613" s="294"/>
      <c r="DRA613" s="294"/>
      <c r="DRB613" s="294"/>
      <c r="DRC613" s="294"/>
      <c r="DRD613" s="294"/>
      <c r="DRE613" s="294"/>
      <c r="DRF613" s="294"/>
      <c r="DRG613" s="294"/>
      <c r="DRH613" s="294"/>
      <c r="DRI613" s="294"/>
      <c r="DRJ613" s="294"/>
      <c r="DRK613" s="294"/>
      <c r="DRL613" s="294"/>
      <c r="DRM613" s="294"/>
      <c r="DRN613" s="294"/>
      <c r="DRO613" s="294"/>
      <c r="DRP613" s="294"/>
      <c r="DRQ613" s="294"/>
      <c r="DRR613" s="294"/>
      <c r="DRS613" s="294"/>
      <c r="DRT613" s="294"/>
      <c r="DRU613" s="294"/>
      <c r="DRV613" s="294"/>
      <c r="DRW613" s="294"/>
      <c r="DRX613" s="294"/>
      <c r="DRY613" s="294"/>
      <c r="DRZ613" s="294"/>
      <c r="DSA613" s="294"/>
      <c r="DSB613" s="294"/>
      <c r="DSC613" s="294"/>
      <c r="DSD613" s="294"/>
      <c r="DSE613" s="294"/>
      <c r="DSF613" s="294"/>
      <c r="DSG613" s="294"/>
      <c r="DSH613" s="294"/>
      <c r="DSI613" s="294"/>
      <c r="DSJ613" s="294"/>
      <c r="DSK613" s="294"/>
      <c r="DSL613" s="294"/>
      <c r="DSM613" s="294"/>
      <c r="DSN613" s="294"/>
      <c r="DSO613" s="294"/>
      <c r="DSP613" s="294"/>
      <c r="DSQ613" s="294"/>
      <c r="DSR613" s="294"/>
      <c r="DSS613" s="294"/>
      <c r="DST613" s="294"/>
      <c r="DSU613" s="294"/>
      <c r="DSV613" s="294"/>
      <c r="DSW613" s="294"/>
      <c r="DSX613" s="294"/>
      <c r="DSY613" s="294"/>
      <c r="DSZ613" s="294"/>
      <c r="DTA613" s="294"/>
      <c r="DTB613" s="294"/>
      <c r="DTC613" s="294"/>
      <c r="DTD613" s="294"/>
      <c r="DTE613" s="294"/>
      <c r="DTF613" s="294"/>
      <c r="DTG613" s="294"/>
      <c r="DTH613" s="294"/>
      <c r="DTI613" s="294"/>
      <c r="DTJ613" s="294"/>
      <c r="DTK613" s="294"/>
      <c r="DTL613" s="294"/>
      <c r="DTM613" s="294"/>
      <c r="DTN613" s="294"/>
      <c r="DTO613" s="294"/>
      <c r="DTP613" s="294"/>
      <c r="DTQ613" s="294"/>
      <c r="DTR613" s="294"/>
      <c r="DTS613" s="294"/>
      <c r="DTT613" s="294"/>
      <c r="DTU613" s="294"/>
      <c r="DTV613" s="294"/>
      <c r="DTW613" s="294"/>
      <c r="DTX613" s="294"/>
      <c r="DTY613" s="294"/>
      <c r="DTZ613" s="294"/>
      <c r="DUA613" s="294"/>
      <c r="DUB613" s="294"/>
      <c r="DUC613" s="294"/>
      <c r="DUD613" s="294"/>
      <c r="DUE613" s="294"/>
      <c r="DUF613" s="294"/>
      <c r="DUG613" s="294"/>
      <c r="DUH613" s="294"/>
      <c r="DUI613" s="294"/>
      <c r="DUJ613" s="294"/>
      <c r="DUK613" s="294"/>
      <c r="DUL613" s="294"/>
      <c r="DUM613" s="294"/>
      <c r="DUN613" s="294"/>
      <c r="DUO613" s="294"/>
      <c r="DUP613" s="294"/>
      <c r="DUQ613" s="294"/>
      <c r="DUR613" s="294"/>
      <c r="DUS613" s="294"/>
      <c r="DUT613" s="294"/>
      <c r="DUU613" s="294"/>
      <c r="DUV613" s="294"/>
      <c r="DUW613" s="294"/>
      <c r="DUX613" s="294"/>
      <c r="DUY613" s="294"/>
      <c r="DUZ613" s="294"/>
      <c r="DVA613" s="294"/>
      <c r="DVB613" s="294"/>
      <c r="DVC613" s="294"/>
      <c r="DVD613" s="294"/>
      <c r="DVE613" s="294"/>
      <c r="DVF613" s="294"/>
      <c r="DVG613" s="294"/>
      <c r="DVH613" s="294"/>
      <c r="DVI613" s="294"/>
      <c r="DVJ613" s="294"/>
      <c r="DVK613" s="294"/>
      <c r="DVL613" s="294"/>
      <c r="DVM613" s="294"/>
      <c r="DVN613" s="294"/>
      <c r="DVO613" s="294"/>
      <c r="DVP613" s="294"/>
      <c r="DVQ613" s="294"/>
      <c r="DVR613" s="294"/>
      <c r="DVS613" s="294"/>
      <c r="DVT613" s="294"/>
      <c r="DVU613" s="294"/>
      <c r="DVV613" s="294"/>
      <c r="DVW613" s="294"/>
      <c r="DVX613" s="294"/>
      <c r="DVY613" s="294"/>
      <c r="DVZ613" s="294"/>
      <c r="DWA613" s="294"/>
      <c r="DWB613" s="294"/>
      <c r="DWC613" s="294"/>
      <c r="DWD613" s="294"/>
      <c r="DWE613" s="294"/>
      <c r="DWF613" s="294"/>
      <c r="DWG613" s="294"/>
      <c r="DWH613" s="294"/>
      <c r="DWI613" s="294"/>
      <c r="DWJ613" s="294"/>
      <c r="DWK613" s="294"/>
      <c r="DWL613" s="294"/>
      <c r="DWM613" s="294"/>
      <c r="DWN613" s="294"/>
      <c r="DWO613" s="294"/>
      <c r="DWP613" s="294"/>
      <c r="DWQ613" s="294"/>
      <c r="DWR613" s="294"/>
      <c r="DWS613" s="294"/>
      <c r="DWT613" s="294"/>
      <c r="DWU613" s="294"/>
      <c r="DWV613" s="294"/>
      <c r="DWW613" s="294"/>
      <c r="DWX613" s="294"/>
      <c r="DWY613" s="294"/>
      <c r="DWZ613" s="294"/>
      <c r="DXA613" s="294"/>
      <c r="DXB613" s="294"/>
      <c r="DXC613" s="294"/>
      <c r="DXD613" s="294"/>
      <c r="DXE613" s="294"/>
      <c r="DXF613" s="294"/>
      <c r="DXG613" s="294"/>
      <c r="DXH613" s="294"/>
      <c r="DXI613" s="294"/>
      <c r="DXJ613" s="294"/>
      <c r="DXK613" s="294"/>
      <c r="DXL613" s="294"/>
      <c r="DXM613" s="294"/>
      <c r="DXN613" s="294"/>
      <c r="DXO613" s="294"/>
      <c r="DXP613" s="294"/>
      <c r="DXQ613" s="294"/>
      <c r="DXR613" s="294"/>
      <c r="DXS613" s="294"/>
      <c r="DXT613" s="294"/>
      <c r="DXU613" s="294"/>
      <c r="DXV613" s="294"/>
      <c r="DXW613" s="294"/>
      <c r="DXX613" s="294"/>
      <c r="DXY613" s="294"/>
      <c r="DXZ613" s="294"/>
      <c r="DYA613" s="294"/>
      <c r="DYB613" s="294"/>
      <c r="DYC613" s="294"/>
      <c r="DYD613" s="294"/>
      <c r="DYE613" s="294"/>
      <c r="DYF613" s="294"/>
      <c r="DYG613" s="294"/>
      <c r="DYH613" s="294"/>
      <c r="DYI613" s="294"/>
      <c r="DYJ613" s="294"/>
      <c r="DYK613" s="294"/>
      <c r="DYL613" s="294"/>
      <c r="DYM613" s="294"/>
      <c r="DYN613" s="294"/>
      <c r="DYO613" s="294"/>
      <c r="DYP613" s="294"/>
      <c r="DYQ613" s="294"/>
      <c r="DYR613" s="294"/>
      <c r="DYS613" s="294"/>
      <c r="DYT613" s="294"/>
      <c r="DYU613" s="294"/>
      <c r="DYV613" s="294"/>
      <c r="DYW613" s="294"/>
      <c r="DYX613" s="294"/>
      <c r="DYY613" s="294"/>
      <c r="DYZ613" s="294"/>
      <c r="DZA613" s="294"/>
      <c r="DZB613" s="294"/>
      <c r="DZC613" s="294"/>
      <c r="DZD613" s="294"/>
      <c r="DZE613" s="294"/>
      <c r="DZF613" s="294"/>
      <c r="DZG613" s="294"/>
      <c r="DZH613" s="294"/>
      <c r="DZI613" s="294"/>
      <c r="DZJ613" s="294"/>
      <c r="DZK613" s="294"/>
      <c r="DZL613" s="294"/>
      <c r="DZM613" s="294"/>
      <c r="DZN613" s="294"/>
      <c r="DZO613" s="294"/>
      <c r="DZP613" s="294"/>
      <c r="DZQ613" s="294"/>
      <c r="DZR613" s="294"/>
      <c r="DZS613" s="294"/>
      <c r="DZT613" s="294"/>
      <c r="DZU613" s="294"/>
      <c r="DZV613" s="294"/>
      <c r="DZW613" s="294"/>
      <c r="DZX613" s="294"/>
      <c r="DZY613" s="294"/>
      <c r="DZZ613" s="294"/>
      <c r="EAA613" s="294"/>
      <c r="EAB613" s="294"/>
      <c r="EAC613" s="294"/>
      <c r="EAD613" s="294"/>
      <c r="EAE613" s="294"/>
      <c r="EAF613" s="294"/>
      <c r="EAG613" s="294"/>
      <c r="EAH613" s="294"/>
      <c r="EAI613" s="294"/>
      <c r="EAJ613" s="294"/>
      <c r="EAK613" s="294"/>
      <c r="EAL613" s="294"/>
      <c r="EAM613" s="294"/>
      <c r="EAN613" s="294"/>
      <c r="EAO613" s="294"/>
      <c r="EAP613" s="294"/>
      <c r="EAQ613" s="294"/>
      <c r="EAR613" s="294"/>
      <c r="EAS613" s="294"/>
      <c r="EAT613" s="294"/>
      <c r="EAU613" s="294"/>
      <c r="EAV613" s="294"/>
      <c r="EAW613" s="294"/>
      <c r="EAX613" s="294"/>
      <c r="EAY613" s="294"/>
      <c r="EAZ613" s="294"/>
      <c r="EBA613" s="294"/>
      <c r="EBB613" s="294"/>
      <c r="EBC613" s="294"/>
      <c r="EBD613" s="294"/>
      <c r="EBE613" s="294"/>
      <c r="EBF613" s="294"/>
      <c r="EBG613" s="294"/>
      <c r="EBH613" s="294"/>
      <c r="EBI613" s="294"/>
      <c r="EBJ613" s="294"/>
      <c r="EBK613" s="294"/>
      <c r="EBL613" s="294"/>
      <c r="EBM613" s="294"/>
      <c r="EBN613" s="294"/>
      <c r="EBO613" s="294"/>
      <c r="EBP613" s="294"/>
      <c r="EBQ613" s="294"/>
      <c r="EBR613" s="294"/>
      <c r="EBS613" s="294"/>
      <c r="EBT613" s="294"/>
      <c r="EBU613" s="294"/>
      <c r="EBV613" s="294"/>
      <c r="EBW613" s="294"/>
      <c r="EBX613" s="294"/>
      <c r="EBY613" s="294"/>
      <c r="EBZ613" s="294"/>
      <c r="ECA613" s="294"/>
      <c r="ECB613" s="294"/>
      <c r="ECC613" s="294"/>
      <c r="ECD613" s="294"/>
      <c r="ECE613" s="294"/>
      <c r="ECF613" s="294"/>
      <c r="ECG613" s="294"/>
      <c r="ECH613" s="294"/>
      <c r="ECI613" s="294"/>
      <c r="ECJ613" s="294"/>
      <c r="ECK613" s="294"/>
      <c r="ECL613" s="294"/>
      <c r="ECM613" s="294"/>
      <c r="ECN613" s="294"/>
      <c r="ECO613" s="294"/>
      <c r="ECP613" s="294"/>
      <c r="ECQ613" s="294"/>
      <c r="ECR613" s="294"/>
      <c r="ECS613" s="294"/>
      <c r="ECT613" s="294"/>
      <c r="ECU613" s="294"/>
      <c r="ECV613" s="294"/>
      <c r="ECW613" s="294"/>
      <c r="ECX613" s="294"/>
      <c r="ECY613" s="294"/>
      <c r="ECZ613" s="294"/>
      <c r="EDA613" s="294"/>
      <c r="EDB613" s="294"/>
      <c r="EDC613" s="294"/>
      <c r="EDD613" s="294"/>
      <c r="EDE613" s="294"/>
      <c r="EDF613" s="294"/>
      <c r="EDG613" s="294"/>
      <c r="EDH613" s="294"/>
      <c r="EDI613" s="294"/>
      <c r="EDJ613" s="294"/>
      <c r="EDK613" s="294"/>
      <c r="EDL613" s="294"/>
      <c r="EDM613" s="294"/>
      <c r="EDN613" s="294"/>
      <c r="EDO613" s="294"/>
      <c r="EDP613" s="294"/>
      <c r="EDQ613" s="294"/>
      <c r="EDR613" s="294"/>
      <c r="EDS613" s="294"/>
      <c r="EDT613" s="294"/>
      <c r="EDU613" s="294"/>
      <c r="EDV613" s="294"/>
      <c r="EDW613" s="294"/>
      <c r="EDX613" s="294"/>
      <c r="EDY613" s="294"/>
      <c r="EDZ613" s="294"/>
      <c r="EEA613" s="294"/>
      <c r="EEB613" s="294"/>
      <c r="EEC613" s="294"/>
      <c r="EED613" s="294"/>
      <c r="EEE613" s="294"/>
      <c r="EEF613" s="294"/>
      <c r="EEG613" s="294"/>
      <c r="EEH613" s="294"/>
      <c r="EEI613" s="294"/>
      <c r="EEJ613" s="294"/>
      <c r="EEK613" s="294"/>
      <c r="EEL613" s="294"/>
      <c r="EEM613" s="294"/>
      <c r="EEN613" s="294"/>
      <c r="EEO613" s="294"/>
      <c r="EEP613" s="294"/>
      <c r="EEQ613" s="294"/>
      <c r="EER613" s="294"/>
      <c r="EES613" s="294"/>
      <c r="EET613" s="294"/>
      <c r="EEU613" s="294"/>
      <c r="EEV613" s="294"/>
      <c r="EEW613" s="294"/>
      <c r="EEX613" s="294"/>
      <c r="EEY613" s="294"/>
      <c r="EEZ613" s="294"/>
      <c r="EFA613" s="294"/>
      <c r="EFB613" s="294"/>
      <c r="EFC613" s="294"/>
      <c r="EFD613" s="294"/>
      <c r="EFE613" s="294"/>
      <c r="EFF613" s="294"/>
      <c r="EFG613" s="294"/>
      <c r="EFH613" s="294"/>
      <c r="EFI613" s="294"/>
      <c r="EFJ613" s="294"/>
      <c r="EFK613" s="294"/>
      <c r="EFL613" s="294"/>
      <c r="EFM613" s="294"/>
      <c r="EFN613" s="294"/>
      <c r="EFO613" s="294"/>
      <c r="EFP613" s="294"/>
      <c r="EFQ613" s="294"/>
      <c r="EFR613" s="294"/>
      <c r="EFS613" s="294"/>
      <c r="EFT613" s="294"/>
      <c r="EFU613" s="294"/>
      <c r="EFV613" s="294"/>
      <c r="EFW613" s="294"/>
      <c r="EFX613" s="294"/>
      <c r="EFY613" s="294"/>
      <c r="EFZ613" s="294"/>
      <c r="EGA613" s="294"/>
      <c r="EGB613" s="294"/>
      <c r="EGC613" s="294"/>
      <c r="EGD613" s="294"/>
      <c r="EGE613" s="294"/>
      <c r="EGF613" s="294"/>
      <c r="EGG613" s="294"/>
      <c r="EGH613" s="294"/>
      <c r="EGI613" s="294"/>
      <c r="EGJ613" s="294"/>
      <c r="EGK613" s="294"/>
      <c r="EGL613" s="294"/>
      <c r="EGM613" s="294"/>
      <c r="EGN613" s="294"/>
      <c r="EGO613" s="294"/>
      <c r="EGP613" s="294"/>
      <c r="EGQ613" s="294"/>
      <c r="EGR613" s="294"/>
      <c r="EGS613" s="294"/>
      <c r="EGT613" s="294"/>
      <c r="EGU613" s="294"/>
      <c r="EGV613" s="294"/>
      <c r="EGW613" s="294"/>
      <c r="EGX613" s="294"/>
      <c r="EGY613" s="294"/>
      <c r="EGZ613" s="294"/>
      <c r="EHA613" s="294"/>
      <c r="EHB613" s="294"/>
      <c r="EHC613" s="294"/>
      <c r="EHD613" s="294"/>
      <c r="EHE613" s="294"/>
      <c r="EHF613" s="294"/>
      <c r="EHG613" s="294"/>
      <c r="EHH613" s="294"/>
      <c r="EHI613" s="294"/>
      <c r="EHJ613" s="294"/>
      <c r="EHK613" s="294"/>
      <c r="EHL613" s="294"/>
      <c r="EHM613" s="294"/>
      <c r="EHN613" s="294"/>
      <c r="EHO613" s="294"/>
      <c r="EHP613" s="294"/>
      <c r="EHQ613" s="294"/>
      <c r="EHR613" s="294"/>
      <c r="EHS613" s="294"/>
      <c r="EHT613" s="294"/>
      <c r="EHU613" s="294"/>
      <c r="EHV613" s="294"/>
      <c r="EHW613" s="294"/>
      <c r="EHX613" s="294"/>
      <c r="EHY613" s="294"/>
      <c r="EHZ613" s="294"/>
      <c r="EIA613" s="294"/>
      <c r="EIB613" s="294"/>
      <c r="EIC613" s="294"/>
      <c r="EID613" s="294"/>
      <c r="EIE613" s="294"/>
      <c r="EIF613" s="294"/>
      <c r="EIG613" s="294"/>
      <c r="EIH613" s="294"/>
      <c r="EII613" s="294"/>
      <c r="EIJ613" s="294"/>
      <c r="EIK613" s="294"/>
      <c r="EIL613" s="294"/>
      <c r="EIM613" s="294"/>
      <c r="EIN613" s="294"/>
      <c r="EIO613" s="294"/>
      <c r="EIP613" s="294"/>
      <c r="EIQ613" s="294"/>
      <c r="EIR613" s="294"/>
      <c r="EIS613" s="294"/>
      <c r="EIT613" s="294"/>
      <c r="EIU613" s="294"/>
      <c r="EIV613" s="294"/>
      <c r="EIW613" s="294"/>
      <c r="EIX613" s="294"/>
      <c r="EIY613" s="294"/>
      <c r="EIZ613" s="294"/>
      <c r="EJA613" s="294"/>
      <c r="EJB613" s="294"/>
      <c r="EJC613" s="294"/>
      <c r="EJD613" s="294"/>
      <c r="EJE613" s="294"/>
      <c r="EJF613" s="294"/>
      <c r="EJG613" s="294"/>
      <c r="EJH613" s="294"/>
      <c r="EJI613" s="294"/>
      <c r="EJJ613" s="294"/>
      <c r="EJK613" s="294"/>
      <c r="EJL613" s="294"/>
      <c r="EJM613" s="294"/>
      <c r="EJN613" s="294"/>
      <c r="EJO613" s="294"/>
      <c r="EJP613" s="294"/>
      <c r="EJQ613" s="294"/>
      <c r="EJR613" s="294"/>
      <c r="EJS613" s="294"/>
      <c r="EJT613" s="294"/>
      <c r="EJU613" s="294"/>
      <c r="EJV613" s="294"/>
      <c r="EJW613" s="294"/>
      <c r="EJX613" s="294"/>
      <c r="EJY613" s="294"/>
      <c r="EJZ613" s="294"/>
      <c r="EKA613" s="294"/>
      <c r="EKB613" s="294"/>
      <c r="EKC613" s="294"/>
      <c r="EKD613" s="294"/>
      <c r="EKE613" s="294"/>
      <c r="EKF613" s="294"/>
      <c r="EKG613" s="294"/>
      <c r="EKH613" s="294"/>
      <c r="EKI613" s="294"/>
      <c r="EKJ613" s="294"/>
      <c r="EKK613" s="294"/>
      <c r="EKL613" s="294"/>
      <c r="EKM613" s="294"/>
      <c r="EKN613" s="294"/>
      <c r="EKO613" s="294"/>
      <c r="EKP613" s="294"/>
      <c r="EKQ613" s="294"/>
      <c r="EKR613" s="294"/>
      <c r="EKS613" s="294"/>
      <c r="EKT613" s="294"/>
      <c r="EKU613" s="294"/>
      <c r="EKV613" s="294"/>
      <c r="EKW613" s="294"/>
      <c r="EKX613" s="294"/>
      <c r="EKY613" s="294"/>
      <c r="EKZ613" s="294"/>
      <c r="ELA613" s="294"/>
      <c r="ELB613" s="294"/>
      <c r="ELC613" s="294"/>
      <c r="ELD613" s="294"/>
      <c r="ELE613" s="294"/>
      <c r="ELF613" s="294"/>
      <c r="ELG613" s="294"/>
      <c r="ELH613" s="294"/>
      <c r="ELI613" s="294"/>
      <c r="ELJ613" s="294"/>
      <c r="ELK613" s="294"/>
      <c r="ELL613" s="294"/>
      <c r="ELM613" s="294"/>
      <c r="ELN613" s="294"/>
      <c r="ELO613" s="294"/>
      <c r="ELP613" s="294"/>
      <c r="ELQ613" s="294"/>
      <c r="ELR613" s="294"/>
      <c r="ELS613" s="294"/>
      <c r="ELT613" s="294"/>
      <c r="ELU613" s="294"/>
      <c r="ELV613" s="294"/>
      <c r="ELW613" s="294"/>
      <c r="ELX613" s="294"/>
      <c r="ELY613" s="294"/>
      <c r="ELZ613" s="294"/>
      <c r="EMA613" s="294"/>
      <c r="EMB613" s="294"/>
      <c r="EMC613" s="294"/>
      <c r="EMD613" s="294"/>
      <c r="EME613" s="294"/>
      <c r="EMF613" s="294"/>
      <c r="EMG613" s="294"/>
      <c r="EMH613" s="294"/>
      <c r="EMI613" s="294"/>
      <c r="EMJ613" s="294"/>
      <c r="EMK613" s="294"/>
      <c r="EML613" s="294"/>
      <c r="EMM613" s="294"/>
      <c r="EMN613" s="294"/>
      <c r="EMO613" s="294"/>
      <c r="EMP613" s="294"/>
      <c r="EMQ613" s="294"/>
      <c r="EMR613" s="294"/>
      <c r="EMS613" s="294"/>
      <c r="EMT613" s="294"/>
      <c r="EMU613" s="294"/>
      <c r="EMV613" s="294"/>
      <c r="EMW613" s="294"/>
      <c r="EMX613" s="294"/>
      <c r="EMY613" s="294"/>
      <c r="EMZ613" s="294"/>
      <c r="ENA613" s="294"/>
      <c r="ENB613" s="294"/>
      <c r="ENC613" s="294"/>
      <c r="END613" s="294"/>
      <c r="ENE613" s="294"/>
      <c r="ENF613" s="294"/>
      <c r="ENG613" s="294"/>
      <c r="ENH613" s="294"/>
      <c r="ENI613" s="294"/>
      <c r="ENJ613" s="294"/>
      <c r="ENK613" s="294"/>
      <c r="ENL613" s="294"/>
      <c r="ENM613" s="294"/>
      <c r="ENN613" s="294"/>
      <c r="ENO613" s="294"/>
      <c r="ENP613" s="294"/>
      <c r="ENQ613" s="294"/>
      <c r="ENR613" s="294"/>
      <c r="ENS613" s="294"/>
      <c r="ENT613" s="294"/>
      <c r="ENU613" s="294"/>
      <c r="ENV613" s="294"/>
      <c r="ENW613" s="294"/>
      <c r="ENX613" s="294"/>
      <c r="ENY613" s="294"/>
      <c r="ENZ613" s="294"/>
      <c r="EOA613" s="294"/>
      <c r="EOB613" s="294"/>
      <c r="EOC613" s="294"/>
      <c r="EOD613" s="294"/>
      <c r="EOE613" s="294"/>
      <c r="EOF613" s="294"/>
      <c r="EOG613" s="294"/>
      <c r="EOH613" s="294"/>
      <c r="EOI613" s="294"/>
      <c r="EOJ613" s="294"/>
      <c r="EOK613" s="294"/>
      <c r="EOL613" s="294"/>
      <c r="EOM613" s="294"/>
      <c r="EON613" s="294"/>
      <c r="EOO613" s="294"/>
      <c r="EOP613" s="294"/>
      <c r="EOQ613" s="294"/>
      <c r="EOR613" s="294"/>
      <c r="EOS613" s="294"/>
      <c r="EOT613" s="294"/>
      <c r="EOU613" s="294"/>
      <c r="EOV613" s="294"/>
      <c r="EOW613" s="294"/>
      <c r="EOX613" s="294"/>
      <c r="EOY613" s="294"/>
      <c r="EOZ613" s="294"/>
      <c r="EPA613" s="294"/>
      <c r="EPB613" s="294"/>
      <c r="EPC613" s="294"/>
      <c r="EPD613" s="294"/>
      <c r="EPE613" s="294"/>
      <c r="EPF613" s="294"/>
      <c r="EPG613" s="294"/>
      <c r="EPH613" s="294"/>
      <c r="EPI613" s="294"/>
      <c r="EPJ613" s="294"/>
      <c r="EPK613" s="294"/>
      <c r="EPL613" s="294"/>
      <c r="EPM613" s="294"/>
      <c r="EPN613" s="294"/>
      <c r="EPO613" s="294"/>
      <c r="EPP613" s="294"/>
      <c r="EPQ613" s="294"/>
      <c r="EPR613" s="294"/>
      <c r="EPS613" s="294"/>
      <c r="EPT613" s="294"/>
      <c r="EPU613" s="294"/>
      <c r="EPV613" s="294"/>
      <c r="EPW613" s="294"/>
      <c r="EPX613" s="294"/>
      <c r="EPY613" s="294"/>
      <c r="EPZ613" s="294"/>
      <c r="EQA613" s="294"/>
      <c r="EQB613" s="294"/>
      <c r="EQC613" s="294"/>
      <c r="EQD613" s="294"/>
      <c r="EQE613" s="294"/>
      <c r="EQF613" s="294"/>
      <c r="EQG613" s="294"/>
      <c r="EQH613" s="294"/>
      <c r="EQI613" s="294"/>
      <c r="EQJ613" s="294"/>
      <c r="EQK613" s="294"/>
      <c r="EQL613" s="294"/>
      <c r="EQM613" s="294"/>
      <c r="EQN613" s="294"/>
      <c r="EQO613" s="294"/>
      <c r="EQP613" s="294"/>
      <c r="EQQ613" s="294"/>
      <c r="EQR613" s="294"/>
      <c r="EQS613" s="294"/>
      <c r="EQT613" s="294"/>
      <c r="EQU613" s="294"/>
      <c r="EQV613" s="294"/>
      <c r="EQW613" s="294"/>
      <c r="EQX613" s="294"/>
      <c r="EQY613" s="294"/>
      <c r="EQZ613" s="294"/>
      <c r="ERA613" s="294"/>
      <c r="ERB613" s="294"/>
      <c r="ERC613" s="294"/>
      <c r="ERD613" s="294"/>
      <c r="ERE613" s="294"/>
      <c r="ERF613" s="294"/>
      <c r="ERG613" s="294"/>
      <c r="ERH613" s="294"/>
      <c r="ERI613" s="294"/>
      <c r="ERJ613" s="294"/>
      <c r="ERK613" s="294"/>
      <c r="ERL613" s="294"/>
      <c r="ERM613" s="294"/>
      <c r="ERN613" s="294"/>
      <c r="ERO613" s="294"/>
      <c r="ERP613" s="294"/>
      <c r="ERQ613" s="294"/>
      <c r="ERR613" s="294"/>
      <c r="ERS613" s="294"/>
      <c r="ERT613" s="294"/>
      <c r="ERU613" s="294"/>
      <c r="ERV613" s="294"/>
      <c r="ERW613" s="294"/>
      <c r="ERX613" s="294"/>
      <c r="ERY613" s="294"/>
      <c r="ERZ613" s="294"/>
      <c r="ESA613" s="294"/>
      <c r="ESB613" s="294"/>
      <c r="ESC613" s="294"/>
      <c r="ESD613" s="294"/>
      <c r="ESE613" s="294"/>
      <c r="ESF613" s="294"/>
      <c r="ESG613" s="294"/>
      <c r="ESH613" s="294"/>
      <c r="ESI613" s="294"/>
      <c r="ESJ613" s="294"/>
      <c r="ESK613" s="294"/>
      <c r="ESL613" s="294"/>
      <c r="ESM613" s="294"/>
      <c r="ESN613" s="294"/>
      <c r="ESO613" s="294"/>
      <c r="ESP613" s="294"/>
      <c r="ESQ613" s="294"/>
      <c r="ESR613" s="294"/>
      <c r="ESS613" s="294"/>
      <c r="EST613" s="294"/>
      <c r="ESU613" s="294"/>
      <c r="ESV613" s="294"/>
      <c r="ESW613" s="294"/>
      <c r="ESX613" s="294"/>
      <c r="ESY613" s="294"/>
      <c r="ESZ613" s="294"/>
      <c r="ETA613" s="294"/>
      <c r="ETB613" s="294"/>
      <c r="ETC613" s="294"/>
      <c r="ETD613" s="294"/>
      <c r="ETE613" s="294"/>
      <c r="ETF613" s="294"/>
      <c r="ETG613" s="294"/>
      <c r="ETH613" s="294"/>
      <c r="ETI613" s="294"/>
      <c r="ETJ613" s="294"/>
      <c r="ETK613" s="294"/>
      <c r="ETL613" s="294"/>
      <c r="ETM613" s="294"/>
      <c r="ETN613" s="294"/>
      <c r="ETO613" s="294"/>
      <c r="ETP613" s="294"/>
      <c r="ETQ613" s="294"/>
      <c r="ETR613" s="294"/>
      <c r="ETS613" s="294"/>
      <c r="ETT613" s="294"/>
      <c r="ETU613" s="294"/>
      <c r="ETV613" s="294"/>
      <c r="ETW613" s="294"/>
      <c r="ETX613" s="294"/>
      <c r="ETY613" s="294"/>
      <c r="ETZ613" s="294"/>
      <c r="EUA613" s="294"/>
      <c r="EUB613" s="294"/>
      <c r="EUC613" s="294"/>
      <c r="EUD613" s="294"/>
      <c r="EUE613" s="294"/>
      <c r="EUF613" s="294"/>
      <c r="EUG613" s="294"/>
      <c r="EUH613" s="294"/>
      <c r="EUI613" s="294"/>
      <c r="EUJ613" s="294"/>
      <c r="EUK613" s="294"/>
      <c r="EUL613" s="294"/>
      <c r="EUM613" s="294"/>
      <c r="EUN613" s="294"/>
      <c r="EUO613" s="294"/>
      <c r="EUP613" s="294"/>
      <c r="EUQ613" s="294"/>
      <c r="EUR613" s="294"/>
      <c r="EUS613" s="294"/>
      <c r="EUT613" s="294"/>
      <c r="EUU613" s="294"/>
      <c r="EUV613" s="294"/>
      <c r="EUW613" s="294"/>
      <c r="EUX613" s="294"/>
      <c r="EUY613" s="294"/>
      <c r="EUZ613" s="294"/>
      <c r="EVA613" s="294"/>
      <c r="EVB613" s="294"/>
      <c r="EVC613" s="294"/>
      <c r="EVD613" s="294"/>
      <c r="EVE613" s="294"/>
      <c r="EVF613" s="294"/>
      <c r="EVG613" s="294"/>
      <c r="EVH613" s="294"/>
      <c r="EVI613" s="294"/>
      <c r="EVJ613" s="294"/>
      <c r="EVK613" s="294"/>
      <c r="EVL613" s="294"/>
      <c r="EVM613" s="294"/>
      <c r="EVN613" s="294"/>
      <c r="EVO613" s="294"/>
      <c r="EVP613" s="294"/>
      <c r="EVQ613" s="294"/>
      <c r="EVR613" s="294"/>
      <c r="EVS613" s="294"/>
      <c r="EVT613" s="294"/>
      <c r="EVU613" s="294"/>
      <c r="EVV613" s="294"/>
      <c r="EVW613" s="294"/>
      <c r="EVX613" s="294"/>
      <c r="EVY613" s="294"/>
      <c r="EVZ613" s="294"/>
      <c r="EWA613" s="294"/>
      <c r="EWB613" s="294"/>
      <c r="EWC613" s="294"/>
      <c r="EWD613" s="294"/>
      <c r="EWE613" s="294"/>
      <c r="EWF613" s="294"/>
      <c r="EWG613" s="294"/>
      <c r="EWH613" s="294"/>
      <c r="EWI613" s="294"/>
      <c r="EWJ613" s="294"/>
      <c r="EWK613" s="294"/>
      <c r="EWL613" s="294"/>
      <c r="EWM613" s="294"/>
      <c r="EWN613" s="294"/>
      <c r="EWO613" s="294"/>
      <c r="EWP613" s="294"/>
      <c r="EWQ613" s="294"/>
      <c r="EWR613" s="294"/>
      <c r="EWS613" s="294"/>
      <c r="EWT613" s="294"/>
      <c r="EWU613" s="294"/>
      <c r="EWV613" s="294"/>
      <c r="EWW613" s="294"/>
      <c r="EWX613" s="294"/>
      <c r="EWY613" s="294"/>
      <c r="EWZ613" s="294"/>
      <c r="EXA613" s="294"/>
      <c r="EXB613" s="294"/>
      <c r="EXC613" s="294"/>
      <c r="EXD613" s="294"/>
      <c r="EXE613" s="294"/>
      <c r="EXF613" s="294"/>
      <c r="EXG613" s="294"/>
      <c r="EXH613" s="294"/>
      <c r="EXI613" s="294"/>
      <c r="EXJ613" s="294"/>
      <c r="EXK613" s="294"/>
      <c r="EXL613" s="294"/>
      <c r="EXM613" s="294"/>
      <c r="EXN613" s="294"/>
      <c r="EXO613" s="294"/>
      <c r="EXP613" s="294"/>
      <c r="EXQ613" s="294"/>
      <c r="EXR613" s="294"/>
      <c r="EXS613" s="294"/>
      <c r="EXT613" s="294"/>
      <c r="EXU613" s="294"/>
      <c r="EXV613" s="294"/>
      <c r="EXW613" s="294"/>
      <c r="EXX613" s="294"/>
      <c r="EXY613" s="294"/>
      <c r="EXZ613" s="294"/>
      <c r="EYA613" s="294"/>
      <c r="EYB613" s="294"/>
      <c r="EYC613" s="294"/>
      <c r="EYD613" s="294"/>
      <c r="EYE613" s="294"/>
      <c r="EYF613" s="294"/>
      <c r="EYG613" s="294"/>
      <c r="EYH613" s="294"/>
      <c r="EYI613" s="294"/>
      <c r="EYJ613" s="294"/>
      <c r="EYK613" s="294"/>
      <c r="EYL613" s="294"/>
      <c r="EYM613" s="294"/>
      <c r="EYN613" s="294"/>
      <c r="EYO613" s="294"/>
      <c r="EYP613" s="294"/>
      <c r="EYQ613" s="294"/>
      <c r="EYR613" s="294"/>
      <c r="EYS613" s="294"/>
      <c r="EYT613" s="294"/>
      <c r="EYU613" s="294"/>
      <c r="EYV613" s="294"/>
      <c r="EYW613" s="294"/>
      <c r="EYX613" s="294"/>
      <c r="EYY613" s="294"/>
      <c r="EYZ613" s="294"/>
      <c r="EZA613" s="294"/>
      <c r="EZB613" s="294"/>
      <c r="EZC613" s="294"/>
      <c r="EZD613" s="294"/>
      <c r="EZE613" s="294"/>
      <c r="EZF613" s="294"/>
      <c r="EZG613" s="294"/>
      <c r="EZH613" s="294"/>
      <c r="EZI613" s="294"/>
      <c r="EZJ613" s="294"/>
      <c r="EZK613" s="294"/>
      <c r="EZL613" s="294"/>
      <c r="EZM613" s="294"/>
      <c r="EZN613" s="294"/>
      <c r="EZO613" s="294"/>
      <c r="EZP613" s="294"/>
      <c r="EZQ613" s="294"/>
      <c r="EZR613" s="294"/>
      <c r="EZS613" s="294"/>
      <c r="EZT613" s="294"/>
      <c r="EZU613" s="294"/>
      <c r="EZV613" s="294"/>
      <c r="EZW613" s="294"/>
      <c r="EZX613" s="294"/>
      <c r="EZY613" s="294"/>
      <c r="EZZ613" s="294"/>
      <c r="FAA613" s="294"/>
      <c r="FAB613" s="294"/>
      <c r="FAC613" s="294"/>
      <c r="FAD613" s="294"/>
      <c r="FAE613" s="294"/>
      <c r="FAF613" s="294"/>
      <c r="FAG613" s="294"/>
      <c r="FAH613" s="294"/>
      <c r="FAI613" s="294"/>
      <c r="FAJ613" s="294"/>
      <c r="FAK613" s="294"/>
      <c r="FAL613" s="294"/>
      <c r="FAM613" s="294"/>
      <c r="FAN613" s="294"/>
      <c r="FAO613" s="294"/>
      <c r="FAP613" s="294"/>
      <c r="FAQ613" s="294"/>
      <c r="FAR613" s="294"/>
      <c r="FAS613" s="294"/>
      <c r="FAT613" s="294"/>
      <c r="FAU613" s="294"/>
      <c r="FAV613" s="294"/>
      <c r="FAW613" s="294"/>
      <c r="FAX613" s="294"/>
      <c r="FAY613" s="294"/>
      <c r="FAZ613" s="294"/>
      <c r="FBA613" s="294"/>
      <c r="FBB613" s="294"/>
      <c r="FBC613" s="294"/>
      <c r="FBD613" s="294"/>
      <c r="FBE613" s="294"/>
      <c r="FBF613" s="294"/>
      <c r="FBG613" s="294"/>
      <c r="FBH613" s="294"/>
      <c r="FBI613" s="294"/>
      <c r="FBJ613" s="294"/>
      <c r="FBK613" s="294"/>
      <c r="FBL613" s="294"/>
      <c r="FBM613" s="294"/>
      <c r="FBN613" s="294"/>
      <c r="FBO613" s="294"/>
      <c r="FBP613" s="294"/>
      <c r="FBQ613" s="294"/>
      <c r="FBR613" s="294"/>
      <c r="FBS613" s="294"/>
      <c r="FBT613" s="294"/>
      <c r="FBU613" s="294"/>
      <c r="FBV613" s="294"/>
      <c r="FBW613" s="294"/>
      <c r="FBX613" s="294"/>
      <c r="FBY613" s="294"/>
      <c r="FBZ613" s="294"/>
      <c r="FCA613" s="294"/>
      <c r="FCB613" s="294"/>
      <c r="FCC613" s="294"/>
      <c r="FCD613" s="294"/>
      <c r="FCE613" s="294"/>
      <c r="FCF613" s="294"/>
      <c r="FCG613" s="294"/>
      <c r="FCH613" s="294"/>
      <c r="FCI613" s="294"/>
      <c r="FCJ613" s="294"/>
      <c r="FCK613" s="294"/>
      <c r="FCL613" s="294"/>
      <c r="FCM613" s="294"/>
      <c r="FCN613" s="294"/>
      <c r="FCO613" s="294"/>
      <c r="FCP613" s="294"/>
      <c r="FCQ613" s="294"/>
      <c r="FCR613" s="294"/>
      <c r="FCS613" s="294"/>
      <c r="FCT613" s="294"/>
      <c r="FCU613" s="294"/>
      <c r="FCV613" s="294"/>
      <c r="FCW613" s="294"/>
      <c r="FCX613" s="294"/>
      <c r="FCY613" s="294"/>
      <c r="FCZ613" s="294"/>
      <c r="FDA613" s="294"/>
      <c r="FDB613" s="294"/>
      <c r="FDC613" s="294"/>
      <c r="FDD613" s="294"/>
      <c r="FDE613" s="294"/>
      <c r="FDF613" s="294"/>
      <c r="FDG613" s="294"/>
      <c r="FDH613" s="294"/>
      <c r="FDI613" s="294"/>
      <c r="FDJ613" s="294"/>
      <c r="FDK613" s="294"/>
      <c r="FDL613" s="294"/>
      <c r="FDM613" s="294"/>
      <c r="FDN613" s="294"/>
      <c r="FDO613" s="294"/>
      <c r="FDP613" s="294"/>
      <c r="FDQ613" s="294"/>
      <c r="FDR613" s="294"/>
      <c r="FDS613" s="294"/>
      <c r="FDT613" s="294"/>
      <c r="FDU613" s="294"/>
      <c r="FDV613" s="294"/>
      <c r="FDW613" s="294"/>
      <c r="FDX613" s="294"/>
      <c r="FDY613" s="294"/>
      <c r="FDZ613" s="294"/>
      <c r="FEA613" s="294"/>
      <c r="FEB613" s="294"/>
      <c r="FEC613" s="294"/>
      <c r="FED613" s="294"/>
      <c r="FEE613" s="294"/>
      <c r="FEF613" s="294"/>
      <c r="FEG613" s="294"/>
      <c r="FEH613" s="294"/>
      <c r="FEI613" s="294"/>
      <c r="FEJ613" s="294"/>
      <c r="FEK613" s="294"/>
      <c r="FEL613" s="294"/>
      <c r="FEM613" s="294"/>
      <c r="FEN613" s="294"/>
      <c r="FEO613" s="294"/>
      <c r="FEP613" s="294"/>
      <c r="FEQ613" s="294"/>
      <c r="FER613" s="294"/>
      <c r="FES613" s="294"/>
      <c r="FET613" s="294"/>
      <c r="FEU613" s="294"/>
      <c r="FEV613" s="294"/>
      <c r="FEW613" s="294"/>
      <c r="FEX613" s="294"/>
      <c r="FEY613" s="294"/>
      <c r="FEZ613" s="294"/>
      <c r="FFA613" s="294"/>
      <c r="FFB613" s="294"/>
      <c r="FFC613" s="294"/>
      <c r="FFD613" s="294"/>
      <c r="FFE613" s="294"/>
      <c r="FFF613" s="294"/>
      <c r="FFG613" s="294"/>
      <c r="FFH613" s="294"/>
      <c r="FFI613" s="294"/>
      <c r="FFJ613" s="294"/>
      <c r="FFK613" s="294"/>
      <c r="FFL613" s="294"/>
      <c r="FFM613" s="294"/>
      <c r="FFN613" s="294"/>
      <c r="FFO613" s="294"/>
      <c r="FFP613" s="294"/>
      <c r="FFQ613" s="294"/>
      <c r="FFR613" s="294"/>
      <c r="FFS613" s="294"/>
      <c r="FFT613" s="294"/>
      <c r="FFU613" s="294"/>
      <c r="FFV613" s="294"/>
      <c r="FFW613" s="294"/>
      <c r="FFX613" s="294"/>
      <c r="FFY613" s="294"/>
      <c r="FFZ613" s="294"/>
      <c r="FGA613" s="294"/>
      <c r="FGB613" s="294"/>
      <c r="FGC613" s="294"/>
      <c r="FGD613" s="294"/>
      <c r="FGE613" s="294"/>
      <c r="FGF613" s="294"/>
      <c r="FGG613" s="294"/>
      <c r="FGH613" s="294"/>
      <c r="FGI613" s="294"/>
      <c r="FGJ613" s="294"/>
      <c r="FGK613" s="294"/>
      <c r="FGL613" s="294"/>
      <c r="FGM613" s="294"/>
      <c r="FGN613" s="294"/>
      <c r="FGO613" s="294"/>
      <c r="FGP613" s="294"/>
      <c r="FGQ613" s="294"/>
      <c r="FGR613" s="294"/>
      <c r="FGS613" s="294"/>
      <c r="FGT613" s="294"/>
      <c r="FGU613" s="294"/>
      <c r="FGV613" s="294"/>
      <c r="FGW613" s="294"/>
      <c r="FGX613" s="294"/>
      <c r="FGY613" s="294"/>
      <c r="FGZ613" s="294"/>
      <c r="FHA613" s="294"/>
      <c r="FHB613" s="294"/>
      <c r="FHC613" s="294"/>
      <c r="FHD613" s="294"/>
      <c r="FHE613" s="294"/>
      <c r="FHF613" s="294"/>
      <c r="FHG613" s="294"/>
      <c r="FHH613" s="294"/>
      <c r="FHI613" s="294"/>
      <c r="FHJ613" s="294"/>
      <c r="FHK613" s="294"/>
      <c r="FHL613" s="294"/>
      <c r="FHM613" s="294"/>
      <c r="FHN613" s="294"/>
      <c r="FHO613" s="294"/>
      <c r="FHP613" s="294"/>
      <c r="FHQ613" s="294"/>
      <c r="FHR613" s="294"/>
      <c r="FHS613" s="294"/>
      <c r="FHT613" s="294"/>
      <c r="FHU613" s="294"/>
      <c r="FHV613" s="294"/>
      <c r="FHW613" s="294"/>
      <c r="FHX613" s="294"/>
      <c r="FHY613" s="294"/>
      <c r="FHZ613" s="294"/>
      <c r="FIA613" s="294"/>
      <c r="FIB613" s="294"/>
      <c r="FIC613" s="294"/>
      <c r="FID613" s="294"/>
      <c r="FIE613" s="294"/>
      <c r="FIF613" s="294"/>
      <c r="FIG613" s="294"/>
      <c r="FIH613" s="294"/>
      <c r="FII613" s="294"/>
      <c r="FIJ613" s="294"/>
      <c r="FIK613" s="294"/>
      <c r="FIL613" s="294"/>
      <c r="FIM613" s="294"/>
      <c r="FIN613" s="294"/>
      <c r="FIO613" s="294"/>
      <c r="FIP613" s="294"/>
      <c r="FIQ613" s="294"/>
      <c r="FIR613" s="294"/>
      <c r="FIS613" s="294"/>
      <c r="FIT613" s="294"/>
      <c r="FIU613" s="294"/>
      <c r="FIV613" s="294"/>
      <c r="FIW613" s="294"/>
      <c r="FIX613" s="294"/>
      <c r="FIY613" s="294"/>
      <c r="FIZ613" s="294"/>
      <c r="FJA613" s="294"/>
      <c r="FJB613" s="294"/>
      <c r="FJC613" s="294"/>
      <c r="FJD613" s="294"/>
      <c r="FJE613" s="294"/>
      <c r="FJF613" s="294"/>
      <c r="FJG613" s="294"/>
      <c r="FJH613" s="294"/>
      <c r="FJI613" s="294"/>
      <c r="FJJ613" s="294"/>
      <c r="FJK613" s="294"/>
      <c r="FJL613" s="294"/>
      <c r="FJM613" s="294"/>
      <c r="FJN613" s="294"/>
      <c r="FJO613" s="294"/>
      <c r="FJP613" s="294"/>
      <c r="FJQ613" s="294"/>
      <c r="FJR613" s="294"/>
      <c r="FJS613" s="294"/>
      <c r="FJT613" s="294"/>
      <c r="FJU613" s="294"/>
      <c r="FJV613" s="294"/>
      <c r="FJW613" s="294"/>
      <c r="FJX613" s="294"/>
      <c r="FJY613" s="294"/>
      <c r="FJZ613" s="294"/>
      <c r="FKA613" s="294"/>
      <c r="FKB613" s="294"/>
      <c r="FKC613" s="294"/>
      <c r="FKD613" s="294"/>
      <c r="FKE613" s="294"/>
      <c r="FKF613" s="294"/>
      <c r="FKG613" s="294"/>
      <c r="FKH613" s="294"/>
      <c r="FKI613" s="294"/>
      <c r="FKJ613" s="294"/>
      <c r="FKK613" s="294"/>
      <c r="FKL613" s="294"/>
      <c r="FKM613" s="294"/>
      <c r="FKN613" s="294"/>
      <c r="FKO613" s="294"/>
      <c r="FKP613" s="294"/>
      <c r="FKQ613" s="294"/>
      <c r="FKR613" s="294"/>
      <c r="FKS613" s="294"/>
      <c r="FKT613" s="294"/>
      <c r="FKU613" s="294"/>
      <c r="FKV613" s="294"/>
      <c r="FKW613" s="294"/>
      <c r="FKX613" s="294"/>
      <c r="FKY613" s="294"/>
      <c r="FKZ613" s="294"/>
      <c r="FLA613" s="294"/>
      <c r="FLB613" s="294"/>
      <c r="FLC613" s="294"/>
      <c r="FLD613" s="294"/>
      <c r="FLE613" s="294"/>
      <c r="FLF613" s="294"/>
      <c r="FLG613" s="294"/>
      <c r="FLH613" s="294"/>
      <c r="FLI613" s="294"/>
      <c r="FLJ613" s="294"/>
      <c r="FLK613" s="294"/>
      <c r="FLL613" s="294"/>
      <c r="FLM613" s="294"/>
      <c r="FLN613" s="294"/>
      <c r="FLO613" s="294"/>
      <c r="FLP613" s="294"/>
      <c r="FLQ613" s="294"/>
      <c r="FLR613" s="294"/>
      <c r="FLS613" s="294"/>
      <c r="FLT613" s="294"/>
      <c r="FLU613" s="294"/>
      <c r="FLV613" s="294"/>
      <c r="FLW613" s="294"/>
      <c r="FLX613" s="294"/>
      <c r="FLY613" s="294"/>
      <c r="FLZ613" s="294"/>
      <c r="FMA613" s="294"/>
      <c r="FMB613" s="294"/>
      <c r="FMC613" s="294"/>
      <c r="FMD613" s="294"/>
      <c r="FME613" s="294"/>
      <c r="FMF613" s="294"/>
      <c r="FMG613" s="294"/>
      <c r="FMH613" s="294"/>
      <c r="FMI613" s="294"/>
      <c r="FMJ613" s="294"/>
      <c r="FMK613" s="294"/>
      <c r="FML613" s="294"/>
      <c r="FMM613" s="294"/>
      <c r="FMN613" s="294"/>
      <c r="FMO613" s="294"/>
      <c r="FMP613" s="294"/>
      <c r="FMQ613" s="294"/>
      <c r="FMR613" s="294"/>
      <c r="FMS613" s="294"/>
      <c r="FMT613" s="294"/>
      <c r="FMU613" s="294"/>
      <c r="FMV613" s="294"/>
      <c r="FMW613" s="294"/>
      <c r="FMX613" s="294"/>
      <c r="FMY613" s="294"/>
      <c r="FMZ613" s="294"/>
      <c r="FNA613" s="294"/>
      <c r="FNB613" s="294"/>
      <c r="FNC613" s="294"/>
      <c r="FND613" s="294"/>
      <c r="FNE613" s="294"/>
      <c r="FNF613" s="294"/>
      <c r="FNG613" s="294"/>
      <c r="FNH613" s="294"/>
      <c r="FNI613" s="294"/>
      <c r="FNJ613" s="294"/>
      <c r="FNK613" s="294"/>
      <c r="FNL613" s="294"/>
      <c r="FNM613" s="294"/>
      <c r="FNN613" s="294"/>
      <c r="FNO613" s="294"/>
      <c r="FNP613" s="294"/>
      <c r="FNQ613" s="294"/>
      <c r="FNR613" s="294"/>
      <c r="FNS613" s="294"/>
      <c r="FNT613" s="294"/>
      <c r="FNU613" s="294"/>
      <c r="FNV613" s="294"/>
      <c r="FNW613" s="294"/>
      <c r="FNX613" s="294"/>
      <c r="FNY613" s="294"/>
      <c r="FNZ613" s="294"/>
      <c r="FOA613" s="294"/>
      <c r="FOB613" s="294"/>
      <c r="FOC613" s="294"/>
      <c r="FOD613" s="294"/>
      <c r="FOE613" s="294"/>
      <c r="FOF613" s="294"/>
      <c r="FOG613" s="294"/>
      <c r="FOH613" s="294"/>
      <c r="FOI613" s="294"/>
      <c r="FOJ613" s="294"/>
      <c r="FOK613" s="294"/>
      <c r="FOL613" s="294"/>
      <c r="FOM613" s="294"/>
      <c r="FON613" s="294"/>
      <c r="FOO613" s="294"/>
      <c r="FOP613" s="294"/>
      <c r="FOQ613" s="294"/>
      <c r="FOR613" s="294"/>
      <c r="FOS613" s="294"/>
      <c r="FOT613" s="294"/>
      <c r="FOU613" s="294"/>
      <c r="FOV613" s="294"/>
      <c r="FOW613" s="294"/>
      <c r="FOX613" s="294"/>
      <c r="FOY613" s="294"/>
      <c r="FOZ613" s="294"/>
      <c r="FPA613" s="294"/>
      <c r="FPB613" s="294"/>
      <c r="FPC613" s="294"/>
      <c r="FPD613" s="294"/>
      <c r="FPE613" s="294"/>
      <c r="FPF613" s="294"/>
      <c r="FPG613" s="294"/>
      <c r="FPH613" s="294"/>
      <c r="FPI613" s="294"/>
      <c r="FPJ613" s="294"/>
      <c r="FPK613" s="294"/>
      <c r="FPL613" s="294"/>
      <c r="FPM613" s="294"/>
      <c r="FPN613" s="294"/>
      <c r="FPO613" s="294"/>
      <c r="FPP613" s="294"/>
      <c r="FPQ613" s="294"/>
      <c r="FPR613" s="294"/>
      <c r="FPS613" s="294"/>
      <c r="FPT613" s="294"/>
      <c r="FPU613" s="294"/>
      <c r="FPV613" s="294"/>
      <c r="FPW613" s="294"/>
      <c r="FPX613" s="294"/>
      <c r="FPY613" s="294"/>
      <c r="FPZ613" s="294"/>
      <c r="FQA613" s="294"/>
      <c r="FQB613" s="294"/>
      <c r="FQC613" s="294"/>
      <c r="FQD613" s="294"/>
      <c r="FQE613" s="294"/>
      <c r="FQF613" s="294"/>
      <c r="FQG613" s="294"/>
      <c r="FQH613" s="294"/>
      <c r="FQI613" s="294"/>
      <c r="FQJ613" s="294"/>
      <c r="FQK613" s="294"/>
      <c r="FQL613" s="294"/>
      <c r="FQM613" s="294"/>
      <c r="FQN613" s="294"/>
      <c r="FQO613" s="294"/>
      <c r="FQP613" s="294"/>
      <c r="FQQ613" s="294"/>
      <c r="FQR613" s="294"/>
      <c r="FQS613" s="294"/>
      <c r="FQT613" s="294"/>
      <c r="FQU613" s="294"/>
      <c r="FQV613" s="294"/>
      <c r="FQW613" s="294"/>
      <c r="FQX613" s="294"/>
      <c r="FQY613" s="294"/>
      <c r="FQZ613" s="294"/>
      <c r="FRA613" s="294"/>
      <c r="FRB613" s="294"/>
      <c r="FRC613" s="294"/>
      <c r="FRD613" s="294"/>
      <c r="FRE613" s="294"/>
      <c r="FRF613" s="294"/>
      <c r="FRG613" s="294"/>
      <c r="FRH613" s="294"/>
      <c r="FRI613" s="294"/>
      <c r="FRJ613" s="294"/>
      <c r="FRK613" s="294"/>
      <c r="FRL613" s="294"/>
      <c r="FRM613" s="294"/>
      <c r="FRN613" s="294"/>
      <c r="FRO613" s="294"/>
      <c r="FRP613" s="294"/>
      <c r="FRQ613" s="294"/>
      <c r="FRR613" s="294"/>
      <c r="FRS613" s="294"/>
      <c r="FRT613" s="294"/>
      <c r="FRU613" s="294"/>
      <c r="FRV613" s="294"/>
      <c r="FRW613" s="294"/>
      <c r="FRX613" s="294"/>
      <c r="FRY613" s="294"/>
      <c r="FRZ613" s="294"/>
      <c r="FSA613" s="294"/>
      <c r="FSB613" s="294"/>
      <c r="FSC613" s="294"/>
      <c r="FSD613" s="294"/>
      <c r="FSE613" s="294"/>
      <c r="FSF613" s="294"/>
      <c r="FSG613" s="294"/>
      <c r="FSH613" s="294"/>
      <c r="FSI613" s="294"/>
      <c r="FSJ613" s="294"/>
      <c r="FSK613" s="294"/>
      <c r="FSL613" s="294"/>
      <c r="FSM613" s="294"/>
      <c r="FSN613" s="294"/>
      <c r="FSO613" s="294"/>
      <c r="FSP613" s="294"/>
      <c r="FSQ613" s="294"/>
      <c r="FSR613" s="294"/>
      <c r="FSS613" s="294"/>
      <c r="FST613" s="294"/>
      <c r="FSU613" s="294"/>
      <c r="FSV613" s="294"/>
      <c r="FSW613" s="294"/>
      <c r="FSX613" s="294"/>
      <c r="FSY613" s="294"/>
      <c r="FSZ613" s="294"/>
      <c r="FTA613" s="294"/>
      <c r="FTB613" s="294"/>
      <c r="FTC613" s="294"/>
      <c r="FTD613" s="294"/>
      <c r="FTE613" s="294"/>
      <c r="FTF613" s="294"/>
      <c r="FTG613" s="294"/>
      <c r="FTH613" s="294"/>
      <c r="FTI613" s="294"/>
      <c r="FTJ613" s="294"/>
      <c r="FTK613" s="294"/>
      <c r="FTL613" s="294"/>
      <c r="FTM613" s="294"/>
      <c r="FTN613" s="294"/>
      <c r="FTO613" s="294"/>
      <c r="FTP613" s="294"/>
      <c r="FTQ613" s="294"/>
      <c r="FTR613" s="294"/>
      <c r="FTS613" s="294"/>
      <c r="FTT613" s="294"/>
      <c r="FTU613" s="294"/>
      <c r="FTV613" s="294"/>
      <c r="FTW613" s="294"/>
      <c r="FTX613" s="294"/>
      <c r="FTY613" s="294"/>
      <c r="FTZ613" s="294"/>
      <c r="FUA613" s="294"/>
      <c r="FUB613" s="294"/>
      <c r="FUC613" s="294"/>
      <c r="FUD613" s="294"/>
      <c r="FUE613" s="294"/>
      <c r="FUF613" s="294"/>
      <c r="FUG613" s="294"/>
      <c r="FUH613" s="294"/>
      <c r="FUI613" s="294"/>
      <c r="FUJ613" s="294"/>
      <c r="FUK613" s="294"/>
      <c r="FUL613" s="294"/>
      <c r="FUM613" s="294"/>
      <c r="FUN613" s="294"/>
      <c r="FUO613" s="294"/>
      <c r="FUP613" s="294"/>
      <c r="FUQ613" s="294"/>
      <c r="FUR613" s="294"/>
      <c r="FUS613" s="294"/>
      <c r="FUT613" s="294"/>
      <c r="FUU613" s="294"/>
      <c r="FUV613" s="294"/>
      <c r="FUW613" s="294"/>
      <c r="FUX613" s="294"/>
      <c r="FUY613" s="294"/>
      <c r="FUZ613" s="294"/>
      <c r="FVA613" s="294"/>
      <c r="FVB613" s="294"/>
      <c r="FVC613" s="294"/>
      <c r="FVD613" s="294"/>
      <c r="FVE613" s="294"/>
      <c r="FVF613" s="294"/>
      <c r="FVG613" s="294"/>
      <c r="FVH613" s="294"/>
      <c r="FVI613" s="294"/>
      <c r="FVJ613" s="294"/>
      <c r="FVK613" s="294"/>
      <c r="FVL613" s="294"/>
      <c r="FVM613" s="294"/>
      <c r="FVN613" s="294"/>
      <c r="FVO613" s="294"/>
      <c r="FVP613" s="294"/>
      <c r="FVQ613" s="294"/>
      <c r="FVR613" s="294"/>
      <c r="FVS613" s="294"/>
      <c r="FVT613" s="294"/>
      <c r="FVU613" s="294"/>
      <c r="FVV613" s="294"/>
      <c r="FVW613" s="294"/>
      <c r="FVX613" s="294"/>
      <c r="FVY613" s="294"/>
      <c r="FVZ613" s="294"/>
      <c r="FWA613" s="294"/>
      <c r="FWB613" s="294"/>
      <c r="FWC613" s="294"/>
      <c r="FWD613" s="294"/>
      <c r="FWE613" s="294"/>
      <c r="FWF613" s="294"/>
      <c r="FWG613" s="294"/>
      <c r="FWH613" s="294"/>
      <c r="FWI613" s="294"/>
      <c r="FWJ613" s="294"/>
      <c r="FWK613" s="294"/>
      <c r="FWL613" s="294"/>
      <c r="FWM613" s="294"/>
      <c r="FWN613" s="294"/>
      <c r="FWO613" s="294"/>
      <c r="FWP613" s="294"/>
      <c r="FWQ613" s="294"/>
      <c r="FWR613" s="294"/>
      <c r="FWS613" s="294"/>
      <c r="FWT613" s="294"/>
      <c r="FWU613" s="294"/>
      <c r="FWV613" s="294"/>
      <c r="FWW613" s="294"/>
      <c r="FWX613" s="294"/>
      <c r="FWY613" s="294"/>
      <c r="FWZ613" s="294"/>
      <c r="FXA613" s="294"/>
      <c r="FXB613" s="294"/>
      <c r="FXC613" s="294"/>
      <c r="FXD613" s="294"/>
      <c r="FXE613" s="294"/>
      <c r="FXF613" s="294"/>
      <c r="FXG613" s="294"/>
      <c r="FXH613" s="294"/>
      <c r="FXI613" s="294"/>
      <c r="FXJ613" s="294"/>
      <c r="FXK613" s="294"/>
      <c r="FXL613" s="294"/>
      <c r="FXM613" s="294"/>
      <c r="FXN613" s="294"/>
      <c r="FXO613" s="294"/>
      <c r="FXP613" s="294"/>
      <c r="FXQ613" s="294"/>
      <c r="FXR613" s="294"/>
      <c r="FXS613" s="294"/>
      <c r="FXT613" s="294"/>
      <c r="FXU613" s="294"/>
      <c r="FXV613" s="294"/>
      <c r="FXW613" s="294"/>
      <c r="FXX613" s="294"/>
      <c r="FXY613" s="294"/>
      <c r="FXZ613" s="294"/>
      <c r="FYA613" s="294"/>
      <c r="FYB613" s="294"/>
      <c r="FYC613" s="294"/>
      <c r="FYD613" s="294"/>
      <c r="FYE613" s="294"/>
      <c r="FYF613" s="294"/>
      <c r="FYG613" s="294"/>
      <c r="FYH613" s="294"/>
      <c r="FYI613" s="294"/>
      <c r="FYJ613" s="294"/>
      <c r="FYK613" s="294"/>
      <c r="FYL613" s="294"/>
      <c r="FYM613" s="294"/>
      <c r="FYN613" s="294"/>
      <c r="FYO613" s="294"/>
      <c r="FYP613" s="294"/>
      <c r="FYQ613" s="294"/>
      <c r="FYR613" s="294"/>
      <c r="FYS613" s="294"/>
      <c r="FYT613" s="294"/>
      <c r="FYU613" s="294"/>
      <c r="FYV613" s="294"/>
      <c r="FYW613" s="294"/>
      <c r="FYX613" s="294"/>
      <c r="FYY613" s="294"/>
      <c r="FYZ613" s="294"/>
      <c r="FZA613" s="294"/>
      <c r="FZB613" s="294"/>
      <c r="FZC613" s="294"/>
      <c r="FZD613" s="294"/>
      <c r="FZE613" s="294"/>
      <c r="FZF613" s="294"/>
      <c r="FZG613" s="294"/>
      <c r="FZH613" s="294"/>
      <c r="FZI613" s="294"/>
      <c r="FZJ613" s="294"/>
      <c r="FZK613" s="294"/>
      <c r="FZL613" s="294"/>
      <c r="FZM613" s="294"/>
      <c r="FZN613" s="294"/>
      <c r="FZO613" s="294"/>
      <c r="FZP613" s="294"/>
      <c r="FZQ613" s="294"/>
      <c r="FZR613" s="294"/>
      <c r="FZS613" s="294"/>
      <c r="FZT613" s="294"/>
      <c r="FZU613" s="294"/>
      <c r="FZV613" s="294"/>
      <c r="FZW613" s="294"/>
      <c r="FZX613" s="294"/>
      <c r="FZY613" s="294"/>
      <c r="FZZ613" s="294"/>
      <c r="GAA613" s="294"/>
      <c r="GAB613" s="294"/>
      <c r="GAC613" s="294"/>
      <c r="GAD613" s="294"/>
      <c r="GAE613" s="294"/>
      <c r="GAF613" s="294"/>
      <c r="GAG613" s="294"/>
      <c r="GAH613" s="294"/>
      <c r="GAI613" s="294"/>
      <c r="GAJ613" s="294"/>
      <c r="GAK613" s="294"/>
      <c r="GAL613" s="294"/>
      <c r="GAM613" s="294"/>
      <c r="GAN613" s="294"/>
      <c r="GAO613" s="294"/>
      <c r="GAP613" s="294"/>
      <c r="GAQ613" s="294"/>
      <c r="GAR613" s="294"/>
      <c r="GAS613" s="294"/>
      <c r="GAT613" s="294"/>
      <c r="GAU613" s="294"/>
      <c r="GAV613" s="294"/>
      <c r="GAW613" s="294"/>
      <c r="GAX613" s="294"/>
      <c r="GAY613" s="294"/>
      <c r="GAZ613" s="294"/>
      <c r="GBA613" s="294"/>
      <c r="GBB613" s="294"/>
      <c r="GBC613" s="294"/>
      <c r="GBD613" s="294"/>
      <c r="GBE613" s="294"/>
      <c r="GBF613" s="294"/>
      <c r="GBG613" s="294"/>
      <c r="GBH613" s="294"/>
      <c r="GBI613" s="294"/>
      <c r="GBJ613" s="294"/>
      <c r="GBK613" s="294"/>
      <c r="GBL613" s="294"/>
      <c r="GBM613" s="294"/>
      <c r="GBN613" s="294"/>
      <c r="GBO613" s="294"/>
      <c r="GBP613" s="294"/>
      <c r="GBQ613" s="294"/>
      <c r="GBR613" s="294"/>
      <c r="GBS613" s="294"/>
      <c r="GBT613" s="294"/>
      <c r="GBU613" s="294"/>
      <c r="GBV613" s="294"/>
      <c r="GBW613" s="294"/>
      <c r="GBX613" s="294"/>
      <c r="GBY613" s="294"/>
      <c r="GBZ613" s="294"/>
      <c r="GCA613" s="294"/>
      <c r="GCB613" s="294"/>
      <c r="GCC613" s="294"/>
      <c r="GCD613" s="294"/>
      <c r="GCE613" s="294"/>
      <c r="GCF613" s="294"/>
      <c r="GCG613" s="294"/>
      <c r="GCH613" s="294"/>
      <c r="GCI613" s="294"/>
      <c r="GCJ613" s="294"/>
      <c r="GCK613" s="294"/>
      <c r="GCL613" s="294"/>
      <c r="GCM613" s="294"/>
      <c r="GCN613" s="294"/>
      <c r="GCO613" s="294"/>
      <c r="GCP613" s="294"/>
      <c r="GCQ613" s="294"/>
      <c r="GCR613" s="294"/>
      <c r="GCS613" s="294"/>
      <c r="GCT613" s="294"/>
      <c r="GCU613" s="294"/>
      <c r="GCV613" s="294"/>
      <c r="GCW613" s="294"/>
      <c r="GCX613" s="294"/>
      <c r="GCY613" s="294"/>
      <c r="GCZ613" s="294"/>
      <c r="GDA613" s="294"/>
      <c r="GDB613" s="294"/>
      <c r="GDC613" s="294"/>
      <c r="GDD613" s="294"/>
      <c r="GDE613" s="294"/>
      <c r="GDF613" s="294"/>
      <c r="GDG613" s="294"/>
      <c r="GDH613" s="294"/>
      <c r="GDI613" s="294"/>
      <c r="GDJ613" s="294"/>
      <c r="GDK613" s="294"/>
      <c r="GDL613" s="294"/>
      <c r="GDM613" s="294"/>
      <c r="GDN613" s="294"/>
      <c r="GDO613" s="294"/>
      <c r="GDP613" s="294"/>
      <c r="GDQ613" s="294"/>
      <c r="GDR613" s="294"/>
      <c r="GDS613" s="294"/>
      <c r="GDT613" s="294"/>
      <c r="GDU613" s="294"/>
      <c r="GDV613" s="294"/>
      <c r="GDW613" s="294"/>
      <c r="GDX613" s="294"/>
      <c r="GDY613" s="294"/>
      <c r="GDZ613" s="294"/>
      <c r="GEA613" s="294"/>
      <c r="GEB613" s="294"/>
      <c r="GEC613" s="294"/>
      <c r="GED613" s="294"/>
      <c r="GEE613" s="294"/>
      <c r="GEF613" s="294"/>
      <c r="GEG613" s="294"/>
      <c r="GEH613" s="294"/>
      <c r="GEI613" s="294"/>
      <c r="GEJ613" s="294"/>
      <c r="GEK613" s="294"/>
      <c r="GEL613" s="294"/>
      <c r="GEM613" s="294"/>
      <c r="GEN613" s="294"/>
      <c r="GEO613" s="294"/>
      <c r="GEP613" s="294"/>
      <c r="GEQ613" s="294"/>
      <c r="GER613" s="294"/>
      <c r="GES613" s="294"/>
      <c r="GET613" s="294"/>
      <c r="GEU613" s="294"/>
      <c r="GEV613" s="294"/>
      <c r="GEW613" s="294"/>
      <c r="GEX613" s="294"/>
      <c r="GEY613" s="294"/>
      <c r="GEZ613" s="294"/>
      <c r="GFA613" s="294"/>
      <c r="GFB613" s="294"/>
      <c r="GFC613" s="294"/>
      <c r="GFD613" s="294"/>
      <c r="GFE613" s="294"/>
      <c r="GFF613" s="294"/>
      <c r="GFG613" s="294"/>
      <c r="GFH613" s="294"/>
      <c r="GFI613" s="294"/>
      <c r="GFJ613" s="294"/>
      <c r="GFK613" s="294"/>
      <c r="GFL613" s="294"/>
      <c r="GFM613" s="294"/>
      <c r="GFN613" s="294"/>
      <c r="GFO613" s="294"/>
      <c r="GFP613" s="294"/>
      <c r="GFQ613" s="294"/>
      <c r="GFR613" s="294"/>
      <c r="GFS613" s="294"/>
      <c r="GFT613" s="294"/>
      <c r="GFU613" s="294"/>
      <c r="GFV613" s="294"/>
      <c r="GFW613" s="294"/>
      <c r="GFX613" s="294"/>
      <c r="GFY613" s="294"/>
      <c r="GFZ613" s="294"/>
      <c r="GGA613" s="294"/>
      <c r="GGB613" s="294"/>
      <c r="GGC613" s="294"/>
      <c r="GGD613" s="294"/>
      <c r="GGE613" s="294"/>
      <c r="GGF613" s="294"/>
      <c r="GGG613" s="294"/>
      <c r="GGH613" s="294"/>
      <c r="GGI613" s="294"/>
      <c r="GGJ613" s="294"/>
      <c r="GGK613" s="294"/>
      <c r="GGL613" s="294"/>
      <c r="GGM613" s="294"/>
      <c r="GGN613" s="294"/>
      <c r="GGO613" s="294"/>
      <c r="GGP613" s="294"/>
      <c r="GGQ613" s="294"/>
      <c r="GGR613" s="294"/>
      <c r="GGS613" s="294"/>
      <c r="GGT613" s="294"/>
      <c r="GGU613" s="294"/>
      <c r="GGV613" s="294"/>
      <c r="GGW613" s="294"/>
      <c r="GGX613" s="294"/>
      <c r="GGY613" s="294"/>
      <c r="GGZ613" s="294"/>
      <c r="GHA613" s="294"/>
      <c r="GHB613" s="294"/>
      <c r="GHC613" s="294"/>
      <c r="GHD613" s="294"/>
      <c r="GHE613" s="294"/>
      <c r="GHF613" s="294"/>
      <c r="GHG613" s="294"/>
      <c r="GHH613" s="294"/>
      <c r="GHI613" s="294"/>
      <c r="GHJ613" s="294"/>
      <c r="GHK613" s="294"/>
      <c r="GHL613" s="294"/>
      <c r="GHM613" s="294"/>
      <c r="GHN613" s="294"/>
      <c r="GHO613" s="294"/>
      <c r="GHP613" s="294"/>
      <c r="GHQ613" s="294"/>
      <c r="GHR613" s="294"/>
      <c r="GHS613" s="294"/>
      <c r="GHT613" s="294"/>
      <c r="GHU613" s="294"/>
      <c r="GHV613" s="294"/>
      <c r="GHW613" s="294"/>
      <c r="GHX613" s="294"/>
      <c r="GHY613" s="294"/>
      <c r="GHZ613" s="294"/>
      <c r="GIA613" s="294"/>
      <c r="GIB613" s="294"/>
      <c r="GIC613" s="294"/>
      <c r="GID613" s="294"/>
      <c r="GIE613" s="294"/>
      <c r="GIF613" s="294"/>
      <c r="GIG613" s="294"/>
      <c r="GIH613" s="294"/>
      <c r="GII613" s="294"/>
      <c r="GIJ613" s="294"/>
      <c r="GIK613" s="294"/>
      <c r="GIL613" s="294"/>
      <c r="GIM613" s="294"/>
      <c r="GIN613" s="294"/>
      <c r="GIO613" s="294"/>
      <c r="GIP613" s="294"/>
      <c r="GIQ613" s="294"/>
      <c r="GIR613" s="294"/>
      <c r="GIS613" s="294"/>
      <c r="GIT613" s="294"/>
      <c r="GIU613" s="294"/>
      <c r="GIV613" s="294"/>
      <c r="GIW613" s="294"/>
      <c r="GIX613" s="294"/>
      <c r="GIY613" s="294"/>
      <c r="GIZ613" s="294"/>
      <c r="GJA613" s="294"/>
      <c r="GJB613" s="294"/>
      <c r="GJC613" s="294"/>
      <c r="GJD613" s="294"/>
      <c r="GJE613" s="294"/>
      <c r="GJF613" s="294"/>
      <c r="GJG613" s="294"/>
      <c r="GJH613" s="294"/>
      <c r="GJI613" s="294"/>
      <c r="GJJ613" s="294"/>
      <c r="GJK613" s="294"/>
      <c r="GJL613" s="294"/>
      <c r="GJM613" s="294"/>
      <c r="GJN613" s="294"/>
      <c r="GJO613" s="294"/>
      <c r="GJP613" s="294"/>
      <c r="GJQ613" s="294"/>
      <c r="GJR613" s="294"/>
      <c r="GJS613" s="294"/>
      <c r="GJT613" s="294"/>
      <c r="GJU613" s="294"/>
      <c r="GJV613" s="294"/>
      <c r="GJW613" s="294"/>
      <c r="GJX613" s="294"/>
      <c r="GJY613" s="294"/>
      <c r="GJZ613" s="294"/>
      <c r="GKA613" s="294"/>
      <c r="GKB613" s="294"/>
      <c r="GKC613" s="294"/>
      <c r="GKD613" s="294"/>
      <c r="GKE613" s="294"/>
      <c r="GKF613" s="294"/>
      <c r="GKG613" s="294"/>
      <c r="GKH613" s="294"/>
      <c r="GKI613" s="294"/>
      <c r="GKJ613" s="294"/>
      <c r="GKK613" s="294"/>
      <c r="GKL613" s="294"/>
      <c r="GKM613" s="294"/>
      <c r="GKN613" s="294"/>
      <c r="GKO613" s="294"/>
      <c r="GKP613" s="294"/>
      <c r="GKQ613" s="294"/>
      <c r="GKR613" s="294"/>
      <c r="GKS613" s="294"/>
      <c r="GKT613" s="294"/>
      <c r="GKU613" s="294"/>
      <c r="GKV613" s="294"/>
      <c r="GKW613" s="294"/>
      <c r="GKX613" s="294"/>
      <c r="GKY613" s="294"/>
      <c r="GKZ613" s="294"/>
      <c r="GLA613" s="294"/>
      <c r="GLB613" s="294"/>
      <c r="GLC613" s="294"/>
      <c r="GLD613" s="294"/>
      <c r="GLE613" s="294"/>
      <c r="GLF613" s="294"/>
      <c r="GLG613" s="294"/>
      <c r="GLH613" s="294"/>
      <c r="GLI613" s="294"/>
      <c r="GLJ613" s="294"/>
      <c r="GLK613" s="294"/>
      <c r="GLL613" s="294"/>
      <c r="GLM613" s="294"/>
      <c r="GLN613" s="294"/>
      <c r="GLO613" s="294"/>
      <c r="GLP613" s="294"/>
      <c r="GLQ613" s="294"/>
      <c r="GLR613" s="294"/>
      <c r="GLS613" s="294"/>
      <c r="GLT613" s="294"/>
      <c r="GLU613" s="294"/>
      <c r="GLV613" s="294"/>
      <c r="GLW613" s="294"/>
      <c r="GLX613" s="294"/>
      <c r="GLY613" s="294"/>
      <c r="GLZ613" s="294"/>
      <c r="GMA613" s="294"/>
      <c r="GMB613" s="294"/>
      <c r="GMC613" s="294"/>
      <c r="GMD613" s="294"/>
      <c r="GME613" s="294"/>
      <c r="GMF613" s="294"/>
      <c r="GMG613" s="294"/>
      <c r="GMH613" s="294"/>
      <c r="GMI613" s="294"/>
      <c r="GMJ613" s="294"/>
      <c r="GMK613" s="294"/>
      <c r="GML613" s="294"/>
      <c r="GMM613" s="294"/>
      <c r="GMN613" s="294"/>
      <c r="GMO613" s="294"/>
      <c r="GMP613" s="294"/>
      <c r="GMQ613" s="294"/>
      <c r="GMR613" s="294"/>
      <c r="GMS613" s="294"/>
      <c r="GMT613" s="294"/>
      <c r="GMU613" s="294"/>
      <c r="GMV613" s="294"/>
      <c r="GMW613" s="294"/>
      <c r="GMX613" s="294"/>
      <c r="GMY613" s="294"/>
      <c r="GMZ613" s="294"/>
      <c r="GNA613" s="294"/>
      <c r="GNB613" s="294"/>
      <c r="GNC613" s="294"/>
      <c r="GND613" s="294"/>
      <c r="GNE613" s="294"/>
      <c r="GNF613" s="294"/>
      <c r="GNG613" s="294"/>
      <c r="GNH613" s="294"/>
      <c r="GNI613" s="294"/>
      <c r="GNJ613" s="294"/>
      <c r="GNK613" s="294"/>
      <c r="GNL613" s="294"/>
      <c r="GNM613" s="294"/>
      <c r="GNN613" s="294"/>
      <c r="GNO613" s="294"/>
      <c r="GNP613" s="294"/>
      <c r="GNQ613" s="294"/>
      <c r="GNR613" s="294"/>
      <c r="GNS613" s="294"/>
      <c r="GNT613" s="294"/>
      <c r="GNU613" s="294"/>
      <c r="GNV613" s="294"/>
      <c r="GNW613" s="294"/>
      <c r="GNX613" s="294"/>
      <c r="GNY613" s="294"/>
      <c r="GNZ613" s="294"/>
      <c r="GOA613" s="294"/>
      <c r="GOB613" s="294"/>
      <c r="GOC613" s="294"/>
      <c r="GOD613" s="294"/>
      <c r="GOE613" s="294"/>
      <c r="GOF613" s="294"/>
      <c r="GOG613" s="294"/>
      <c r="GOH613" s="294"/>
      <c r="GOI613" s="294"/>
      <c r="GOJ613" s="294"/>
      <c r="GOK613" s="294"/>
      <c r="GOL613" s="294"/>
      <c r="GOM613" s="294"/>
      <c r="GON613" s="294"/>
      <c r="GOO613" s="294"/>
      <c r="GOP613" s="294"/>
      <c r="GOQ613" s="294"/>
      <c r="GOR613" s="294"/>
      <c r="GOS613" s="294"/>
      <c r="GOT613" s="294"/>
      <c r="GOU613" s="294"/>
      <c r="GOV613" s="294"/>
      <c r="GOW613" s="294"/>
      <c r="GOX613" s="294"/>
      <c r="GOY613" s="294"/>
      <c r="GOZ613" s="294"/>
      <c r="GPA613" s="294"/>
      <c r="GPB613" s="294"/>
      <c r="GPC613" s="294"/>
      <c r="GPD613" s="294"/>
      <c r="GPE613" s="294"/>
      <c r="GPF613" s="294"/>
      <c r="GPG613" s="294"/>
      <c r="GPH613" s="294"/>
      <c r="GPI613" s="294"/>
      <c r="GPJ613" s="294"/>
      <c r="GPK613" s="294"/>
      <c r="GPL613" s="294"/>
      <c r="GPM613" s="294"/>
      <c r="GPN613" s="294"/>
      <c r="GPO613" s="294"/>
      <c r="GPP613" s="294"/>
      <c r="GPQ613" s="294"/>
      <c r="GPR613" s="294"/>
      <c r="GPS613" s="294"/>
      <c r="GPT613" s="294"/>
      <c r="GPU613" s="294"/>
      <c r="GPV613" s="294"/>
      <c r="GPW613" s="294"/>
      <c r="GPX613" s="294"/>
      <c r="GPY613" s="294"/>
      <c r="GPZ613" s="294"/>
      <c r="GQA613" s="294"/>
      <c r="GQB613" s="294"/>
      <c r="GQC613" s="294"/>
      <c r="GQD613" s="294"/>
      <c r="GQE613" s="294"/>
      <c r="GQF613" s="294"/>
      <c r="GQG613" s="294"/>
      <c r="GQH613" s="294"/>
      <c r="GQI613" s="294"/>
      <c r="GQJ613" s="294"/>
      <c r="GQK613" s="294"/>
      <c r="GQL613" s="294"/>
      <c r="GQM613" s="294"/>
      <c r="GQN613" s="294"/>
      <c r="GQO613" s="294"/>
      <c r="GQP613" s="294"/>
      <c r="GQQ613" s="294"/>
      <c r="GQR613" s="294"/>
      <c r="GQS613" s="294"/>
      <c r="GQT613" s="294"/>
      <c r="GQU613" s="294"/>
      <c r="GQV613" s="294"/>
      <c r="GQW613" s="294"/>
      <c r="GQX613" s="294"/>
      <c r="GQY613" s="294"/>
      <c r="GQZ613" s="294"/>
      <c r="GRA613" s="294"/>
      <c r="GRB613" s="294"/>
      <c r="GRC613" s="294"/>
      <c r="GRD613" s="294"/>
      <c r="GRE613" s="294"/>
      <c r="GRF613" s="294"/>
      <c r="GRG613" s="294"/>
      <c r="GRH613" s="294"/>
      <c r="GRI613" s="294"/>
      <c r="GRJ613" s="294"/>
      <c r="GRK613" s="294"/>
      <c r="GRL613" s="294"/>
      <c r="GRM613" s="294"/>
      <c r="GRN613" s="294"/>
      <c r="GRO613" s="294"/>
      <c r="GRP613" s="294"/>
      <c r="GRQ613" s="294"/>
      <c r="GRR613" s="294"/>
      <c r="GRS613" s="294"/>
      <c r="GRT613" s="294"/>
      <c r="GRU613" s="294"/>
      <c r="GRV613" s="294"/>
      <c r="GRW613" s="294"/>
      <c r="GRX613" s="294"/>
      <c r="GRY613" s="294"/>
      <c r="GRZ613" s="294"/>
      <c r="GSA613" s="294"/>
      <c r="GSB613" s="294"/>
      <c r="GSC613" s="294"/>
      <c r="GSD613" s="294"/>
      <c r="GSE613" s="294"/>
      <c r="GSF613" s="294"/>
      <c r="GSG613" s="294"/>
      <c r="GSH613" s="294"/>
      <c r="GSI613" s="294"/>
      <c r="GSJ613" s="294"/>
      <c r="GSK613" s="294"/>
      <c r="GSL613" s="294"/>
      <c r="GSM613" s="294"/>
      <c r="GSN613" s="294"/>
      <c r="GSO613" s="294"/>
      <c r="GSP613" s="294"/>
      <c r="GSQ613" s="294"/>
      <c r="GSR613" s="294"/>
      <c r="GSS613" s="294"/>
      <c r="GST613" s="294"/>
      <c r="GSU613" s="294"/>
      <c r="GSV613" s="294"/>
      <c r="GSW613" s="294"/>
      <c r="GSX613" s="294"/>
      <c r="GSY613" s="294"/>
      <c r="GSZ613" s="294"/>
      <c r="GTA613" s="294"/>
      <c r="GTB613" s="294"/>
      <c r="GTC613" s="294"/>
      <c r="GTD613" s="294"/>
      <c r="GTE613" s="294"/>
      <c r="GTF613" s="294"/>
      <c r="GTG613" s="294"/>
      <c r="GTH613" s="294"/>
      <c r="GTI613" s="294"/>
      <c r="GTJ613" s="294"/>
      <c r="GTK613" s="294"/>
      <c r="GTL613" s="294"/>
      <c r="GTM613" s="294"/>
      <c r="GTN613" s="294"/>
      <c r="GTO613" s="294"/>
      <c r="GTP613" s="294"/>
      <c r="GTQ613" s="294"/>
      <c r="GTR613" s="294"/>
      <c r="GTS613" s="294"/>
      <c r="GTT613" s="294"/>
      <c r="GTU613" s="294"/>
      <c r="GTV613" s="294"/>
      <c r="GTW613" s="294"/>
      <c r="GTX613" s="294"/>
      <c r="GTY613" s="294"/>
      <c r="GTZ613" s="294"/>
      <c r="GUA613" s="294"/>
      <c r="GUB613" s="294"/>
      <c r="GUC613" s="294"/>
      <c r="GUD613" s="294"/>
      <c r="GUE613" s="294"/>
      <c r="GUF613" s="294"/>
      <c r="GUG613" s="294"/>
      <c r="GUH613" s="294"/>
      <c r="GUI613" s="294"/>
      <c r="GUJ613" s="294"/>
      <c r="GUK613" s="294"/>
      <c r="GUL613" s="294"/>
      <c r="GUM613" s="294"/>
      <c r="GUN613" s="294"/>
      <c r="GUO613" s="294"/>
      <c r="GUP613" s="294"/>
      <c r="GUQ613" s="294"/>
      <c r="GUR613" s="294"/>
      <c r="GUS613" s="294"/>
      <c r="GUT613" s="294"/>
      <c r="GUU613" s="294"/>
      <c r="GUV613" s="294"/>
      <c r="GUW613" s="294"/>
      <c r="GUX613" s="294"/>
      <c r="GUY613" s="294"/>
      <c r="GUZ613" s="294"/>
      <c r="GVA613" s="294"/>
      <c r="GVB613" s="294"/>
      <c r="GVC613" s="294"/>
      <c r="GVD613" s="294"/>
      <c r="GVE613" s="294"/>
      <c r="GVF613" s="294"/>
      <c r="GVG613" s="294"/>
      <c r="GVH613" s="294"/>
      <c r="GVI613" s="294"/>
      <c r="GVJ613" s="294"/>
      <c r="GVK613" s="294"/>
      <c r="GVL613" s="294"/>
      <c r="GVM613" s="294"/>
      <c r="GVN613" s="294"/>
      <c r="GVO613" s="294"/>
      <c r="GVP613" s="294"/>
      <c r="GVQ613" s="294"/>
      <c r="GVR613" s="294"/>
      <c r="GVS613" s="294"/>
      <c r="GVT613" s="294"/>
      <c r="GVU613" s="294"/>
      <c r="GVV613" s="294"/>
      <c r="GVW613" s="294"/>
      <c r="GVX613" s="294"/>
      <c r="GVY613" s="294"/>
      <c r="GVZ613" s="294"/>
      <c r="GWA613" s="294"/>
      <c r="GWB613" s="294"/>
      <c r="GWC613" s="294"/>
      <c r="GWD613" s="294"/>
      <c r="GWE613" s="294"/>
      <c r="GWF613" s="294"/>
      <c r="GWG613" s="294"/>
      <c r="GWH613" s="294"/>
      <c r="GWI613" s="294"/>
      <c r="GWJ613" s="294"/>
      <c r="GWK613" s="294"/>
      <c r="GWL613" s="294"/>
      <c r="GWM613" s="294"/>
      <c r="GWN613" s="294"/>
      <c r="GWO613" s="294"/>
      <c r="GWP613" s="294"/>
      <c r="GWQ613" s="294"/>
      <c r="GWR613" s="294"/>
      <c r="GWS613" s="294"/>
      <c r="GWT613" s="294"/>
      <c r="GWU613" s="294"/>
      <c r="GWV613" s="294"/>
      <c r="GWW613" s="294"/>
      <c r="GWX613" s="294"/>
      <c r="GWY613" s="294"/>
      <c r="GWZ613" s="294"/>
      <c r="GXA613" s="294"/>
      <c r="GXB613" s="294"/>
      <c r="GXC613" s="294"/>
      <c r="GXD613" s="294"/>
      <c r="GXE613" s="294"/>
      <c r="GXF613" s="294"/>
      <c r="GXG613" s="294"/>
      <c r="GXH613" s="294"/>
      <c r="GXI613" s="294"/>
      <c r="GXJ613" s="294"/>
      <c r="GXK613" s="294"/>
      <c r="GXL613" s="294"/>
      <c r="GXM613" s="294"/>
      <c r="GXN613" s="294"/>
      <c r="GXO613" s="294"/>
      <c r="GXP613" s="294"/>
      <c r="GXQ613" s="294"/>
      <c r="GXR613" s="294"/>
      <c r="GXS613" s="294"/>
      <c r="GXT613" s="294"/>
      <c r="GXU613" s="294"/>
      <c r="GXV613" s="294"/>
      <c r="GXW613" s="294"/>
      <c r="GXX613" s="294"/>
      <c r="GXY613" s="294"/>
      <c r="GXZ613" s="294"/>
      <c r="GYA613" s="294"/>
      <c r="GYB613" s="294"/>
      <c r="GYC613" s="294"/>
      <c r="GYD613" s="294"/>
      <c r="GYE613" s="294"/>
      <c r="GYF613" s="294"/>
      <c r="GYG613" s="294"/>
      <c r="GYH613" s="294"/>
      <c r="GYI613" s="294"/>
      <c r="GYJ613" s="294"/>
      <c r="GYK613" s="294"/>
      <c r="GYL613" s="294"/>
      <c r="GYM613" s="294"/>
      <c r="GYN613" s="294"/>
      <c r="GYO613" s="294"/>
      <c r="GYP613" s="294"/>
      <c r="GYQ613" s="294"/>
      <c r="GYR613" s="294"/>
      <c r="GYS613" s="294"/>
      <c r="GYT613" s="294"/>
      <c r="GYU613" s="294"/>
      <c r="GYV613" s="294"/>
      <c r="GYW613" s="294"/>
      <c r="GYX613" s="294"/>
      <c r="GYY613" s="294"/>
      <c r="GYZ613" s="294"/>
      <c r="GZA613" s="294"/>
      <c r="GZB613" s="294"/>
      <c r="GZC613" s="294"/>
      <c r="GZD613" s="294"/>
      <c r="GZE613" s="294"/>
      <c r="GZF613" s="294"/>
      <c r="GZG613" s="294"/>
      <c r="GZH613" s="294"/>
      <c r="GZI613" s="294"/>
      <c r="GZJ613" s="294"/>
      <c r="GZK613" s="294"/>
      <c r="GZL613" s="294"/>
      <c r="GZM613" s="294"/>
      <c r="GZN613" s="294"/>
      <c r="GZO613" s="294"/>
      <c r="GZP613" s="294"/>
      <c r="GZQ613" s="294"/>
      <c r="GZR613" s="294"/>
      <c r="GZS613" s="294"/>
      <c r="GZT613" s="294"/>
      <c r="GZU613" s="294"/>
      <c r="GZV613" s="294"/>
      <c r="GZW613" s="294"/>
      <c r="GZX613" s="294"/>
      <c r="GZY613" s="294"/>
      <c r="GZZ613" s="294"/>
      <c r="HAA613" s="294"/>
      <c r="HAB613" s="294"/>
      <c r="HAC613" s="294"/>
      <c r="HAD613" s="294"/>
      <c r="HAE613" s="294"/>
      <c r="HAF613" s="294"/>
      <c r="HAG613" s="294"/>
      <c r="HAH613" s="294"/>
      <c r="HAI613" s="294"/>
      <c r="HAJ613" s="294"/>
      <c r="HAK613" s="294"/>
      <c r="HAL613" s="294"/>
      <c r="HAM613" s="294"/>
      <c r="HAN613" s="294"/>
      <c r="HAO613" s="294"/>
      <c r="HAP613" s="294"/>
      <c r="HAQ613" s="294"/>
      <c r="HAR613" s="294"/>
      <c r="HAS613" s="294"/>
      <c r="HAT613" s="294"/>
      <c r="HAU613" s="294"/>
      <c r="HAV613" s="294"/>
      <c r="HAW613" s="294"/>
      <c r="HAX613" s="294"/>
      <c r="HAY613" s="294"/>
      <c r="HAZ613" s="294"/>
      <c r="HBA613" s="294"/>
      <c r="HBB613" s="294"/>
      <c r="HBC613" s="294"/>
      <c r="HBD613" s="294"/>
      <c r="HBE613" s="294"/>
      <c r="HBF613" s="294"/>
      <c r="HBG613" s="294"/>
      <c r="HBH613" s="294"/>
      <c r="HBI613" s="294"/>
      <c r="HBJ613" s="294"/>
      <c r="HBK613" s="294"/>
      <c r="HBL613" s="294"/>
      <c r="HBM613" s="294"/>
      <c r="HBN613" s="294"/>
      <c r="HBO613" s="294"/>
      <c r="HBP613" s="294"/>
      <c r="HBQ613" s="294"/>
      <c r="HBR613" s="294"/>
      <c r="HBS613" s="294"/>
      <c r="HBT613" s="294"/>
      <c r="HBU613" s="294"/>
      <c r="HBV613" s="294"/>
      <c r="HBW613" s="294"/>
      <c r="HBX613" s="294"/>
      <c r="HBY613" s="294"/>
      <c r="HBZ613" s="294"/>
      <c r="HCA613" s="294"/>
      <c r="HCB613" s="294"/>
      <c r="HCC613" s="294"/>
      <c r="HCD613" s="294"/>
      <c r="HCE613" s="294"/>
      <c r="HCF613" s="294"/>
      <c r="HCG613" s="294"/>
      <c r="HCH613" s="294"/>
      <c r="HCI613" s="294"/>
      <c r="HCJ613" s="294"/>
      <c r="HCK613" s="294"/>
      <c r="HCL613" s="294"/>
      <c r="HCM613" s="294"/>
      <c r="HCN613" s="294"/>
      <c r="HCO613" s="294"/>
      <c r="HCP613" s="294"/>
      <c r="HCQ613" s="294"/>
      <c r="HCR613" s="294"/>
      <c r="HCS613" s="294"/>
      <c r="HCT613" s="294"/>
      <c r="HCU613" s="294"/>
      <c r="HCV613" s="294"/>
      <c r="HCW613" s="294"/>
      <c r="HCX613" s="294"/>
      <c r="HCY613" s="294"/>
      <c r="HCZ613" s="294"/>
      <c r="HDA613" s="294"/>
      <c r="HDB613" s="294"/>
      <c r="HDC613" s="294"/>
      <c r="HDD613" s="294"/>
      <c r="HDE613" s="294"/>
      <c r="HDF613" s="294"/>
      <c r="HDG613" s="294"/>
      <c r="HDH613" s="294"/>
      <c r="HDI613" s="294"/>
      <c r="HDJ613" s="294"/>
      <c r="HDK613" s="294"/>
      <c r="HDL613" s="294"/>
      <c r="HDM613" s="294"/>
      <c r="HDN613" s="294"/>
      <c r="HDO613" s="294"/>
      <c r="HDP613" s="294"/>
      <c r="HDQ613" s="294"/>
      <c r="HDR613" s="294"/>
      <c r="HDS613" s="294"/>
      <c r="HDT613" s="294"/>
      <c r="HDU613" s="294"/>
      <c r="HDV613" s="294"/>
      <c r="HDW613" s="294"/>
      <c r="HDX613" s="294"/>
      <c r="HDY613" s="294"/>
      <c r="HDZ613" s="294"/>
      <c r="HEA613" s="294"/>
      <c r="HEB613" s="294"/>
      <c r="HEC613" s="294"/>
      <c r="HED613" s="294"/>
      <c r="HEE613" s="294"/>
      <c r="HEF613" s="294"/>
      <c r="HEG613" s="294"/>
      <c r="HEH613" s="294"/>
      <c r="HEI613" s="294"/>
      <c r="HEJ613" s="294"/>
      <c r="HEK613" s="294"/>
      <c r="HEL613" s="294"/>
      <c r="HEM613" s="294"/>
      <c r="HEN613" s="294"/>
      <c r="HEO613" s="294"/>
      <c r="HEP613" s="294"/>
      <c r="HEQ613" s="294"/>
      <c r="HER613" s="294"/>
      <c r="HES613" s="294"/>
      <c r="HET613" s="294"/>
      <c r="HEU613" s="294"/>
      <c r="HEV613" s="294"/>
      <c r="HEW613" s="294"/>
      <c r="HEX613" s="294"/>
      <c r="HEY613" s="294"/>
      <c r="HEZ613" s="294"/>
      <c r="HFA613" s="294"/>
      <c r="HFB613" s="294"/>
      <c r="HFC613" s="294"/>
      <c r="HFD613" s="294"/>
      <c r="HFE613" s="294"/>
      <c r="HFF613" s="294"/>
      <c r="HFG613" s="294"/>
      <c r="HFH613" s="294"/>
      <c r="HFI613" s="294"/>
      <c r="HFJ613" s="294"/>
      <c r="HFK613" s="294"/>
      <c r="HFL613" s="294"/>
      <c r="HFM613" s="294"/>
      <c r="HFN613" s="294"/>
      <c r="HFO613" s="294"/>
      <c r="HFP613" s="294"/>
      <c r="HFQ613" s="294"/>
      <c r="HFR613" s="294"/>
      <c r="HFS613" s="294"/>
      <c r="HFT613" s="294"/>
      <c r="HFU613" s="294"/>
      <c r="HFV613" s="294"/>
      <c r="HFW613" s="294"/>
      <c r="HFX613" s="294"/>
      <c r="HFY613" s="294"/>
      <c r="HFZ613" s="294"/>
      <c r="HGA613" s="294"/>
      <c r="HGB613" s="294"/>
      <c r="HGC613" s="294"/>
      <c r="HGD613" s="294"/>
      <c r="HGE613" s="294"/>
      <c r="HGF613" s="294"/>
      <c r="HGG613" s="294"/>
      <c r="HGH613" s="294"/>
      <c r="HGI613" s="294"/>
      <c r="HGJ613" s="294"/>
      <c r="HGK613" s="294"/>
      <c r="HGL613" s="294"/>
      <c r="HGM613" s="294"/>
      <c r="HGN613" s="294"/>
      <c r="HGO613" s="294"/>
      <c r="HGP613" s="294"/>
      <c r="HGQ613" s="294"/>
      <c r="HGR613" s="294"/>
      <c r="HGS613" s="294"/>
      <c r="HGT613" s="294"/>
      <c r="HGU613" s="294"/>
      <c r="HGV613" s="294"/>
      <c r="HGW613" s="294"/>
      <c r="HGX613" s="294"/>
      <c r="HGY613" s="294"/>
      <c r="HGZ613" s="294"/>
      <c r="HHA613" s="294"/>
      <c r="HHB613" s="294"/>
      <c r="HHC613" s="294"/>
      <c r="HHD613" s="294"/>
      <c r="HHE613" s="294"/>
      <c r="HHF613" s="294"/>
      <c r="HHG613" s="294"/>
      <c r="HHH613" s="294"/>
      <c r="HHI613" s="294"/>
      <c r="HHJ613" s="294"/>
      <c r="HHK613" s="294"/>
      <c r="HHL613" s="294"/>
      <c r="HHM613" s="294"/>
      <c r="HHN613" s="294"/>
      <c r="HHO613" s="294"/>
      <c r="HHP613" s="294"/>
      <c r="HHQ613" s="294"/>
      <c r="HHR613" s="294"/>
      <c r="HHS613" s="294"/>
      <c r="HHT613" s="294"/>
      <c r="HHU613" s="294"/>
      <c r="HHV613" s="294"/>
      <c r="HHW613" s="294"/>
      <c r="HHX613" s="294"/>
      <c r="HHY613" s="294"/>
      <c r="HHZ613" s="294"/>
      <c r="HIA613" s="294"/>
      <c r="HIB613" s="294"/>
      <c r="HIC613" s="294"/>
      <c r="HID613" s="294"/>
      <c r="HIE613" s="294"/>
      <c r="HIF613" s="294"/>
      <c r="HIG613" s="294"/>
      <c r="HIH613" s="294"/>
      <c r="HII613" s="294"/>
      <c r="HIJ613" s="294"/>
      <c r="HIK613" s="294"/>
      <c r="HIL613" s="294"/>
      <c r="HIM613" s="294"/>
      <c r="HIN613" s="294"/>
      <c r="HIO613" s="294"/>
      <c r="HIP613" s="294"/>
      <c r="HIQ613" s="294"/>
      <c r="HIR613" s="294"/>
      <c r="HIS613" s="294"/>
      <c r="HIT613" s="294"/>
      <c r="HIU613" s="294"/>
      <c r="HIV613" s="294"/>
      <c r="HIW613" s="294"/>
      <c r="HIX613" s="294"/>
      <c r="HIY613" s="294"/>
      <c r="HIZ613" s="294"/>
      <c r="HJA613" s="294"/>
      <c r="HJB613" s="294"/>
      <c r="HJC613" s="294"/>
      <c r="HJD613" s="294"/>
      <c r="HJE613" s="294"/>
      <c r="HJF613" s="294"/>
      <c r="HJG613" s="294"/>
      <c r="HJH613" s="294"/>
      <c r="HJI613" s="294"/>
      <c r="HJJ613" s="294"/>
      <c r="HJK613" s="294"/>
      <c r="HJL613" s="294"/>
      <c r="HJM613" s="294"/>
      <c r="HJN613" s="294"/>
      <c r="HJO613" s="294"/>
      <c r="HJP613" s="294"/>
      <c r="HJQ613" s="294"/>
      <c r="HJR613" s="294"/>
      <c r="HJS613" s="294"/>
      <c r="HJT613" s="294"/>
      <c r="HJU613" s="294"/>
      <c r="HJV613" s="294"/>
      <c r="HJW613" s="294"/>
      <c r="HJX613" s="294"/>
      <c r="HJY613" s="294"/>
      <c r="HJZ613" s="294"/>
      <c r="HKA613" s="294"/>
      <c r="HKB613" s="294"/>
      <c r="HKC613" s="294"/>
      <c r="HKD613" s="294"/>
      <c r="HKE613" s="294"/>
      <c r="HKF613" s="294"/>
      <c r="HKG613" s="294"/>
      <c r="HKH613" s="294"/>
      <c r="HKI613" s="294"/>
      <c r="HKJ613" s="294"/>
      <c r="HKK613" s="294"/>
      <c r="HKL613" s="294"/>
      <c r="HKM613" s="294"/>
      <c r="HKN613" s="294"/>
      <c r="HKO613" s="294"/>
      <c r="HKP613" s="294"/>
      <c r="HKQ613" s="294"/>
      <c r="HKR613" s="294"/>
      <c r="HKS613" s="294"/>
      <c r="HKT613" s="294"/>
      <c r="HKU613" s="294"/>
      <c r="HKV613" s="294"/>
      <c r="HKW613" s="294"/>
      <c r="HKX613" s="294"/>
      <c r="HKY613" s="294"/>
      <c r="HKZ613" s="294"/>
      <c r="HLA613" s="294"/>
      <c r="HLB613" s="294"/>
      <c r="HLC613" s="294"/>
      <c r="HLD613" s="294"/>
      <c r="HLE613" s="294"/>
      <c r="HLF613" s="294"/>
      <c r="HLG613" s="294"/>
      <c r="HLH613" s="294"/>
      <c r="HLI613" s="294"/>
      <c r="HLJ613" s="294"/>
      <c r="HLK613" s="294"/>
      <c r="HLL613" s="294"/>
      <c r="HLM613" s="294"/>
      <c r="HLN613" s="294"/>
      <c r="HLO613" s="294"/>
      <c r="HLP613" s="294"/>
      <c r="HLQ613" s="294"/>
      <c r="HLR613" s="294"/>
      <c r="HLS613" s="294"/>
      <c r="HLT613" s="294"/>
      <c r="HLU613" s="294"/>
      <c r="HLV613" s="294"/>
      <c r="HLW613" s="294"/>
      <c r="HLX613" s="294"/>
      <c r="HLY613" s="294"/>
      <c r="HLZ613" s="294"/>
      <c r="HMA613" s="294"/>
      <c r="HMB613" s="294"/>
      <c r="HMC613" s="294"/>
      <c r="HMD613" s="294"/>
      <c r="HME613" s="294"/>
      <c r="HMF613" s="294"/>
      <c r="HMG613" s="294"/>
      <c r="HMH613" s="294"/>
      <c r="HMI613" s="294"/>
      <c r="HMJ613" s="294"/>
      <c r="HMK613" s="294"/>
      <c r="HML613" s="294"/>
      <c r="HMM613" s="294"/>
      <c r="HMN613" s="294"/>
      <c r="HMO613" s="294"/>
      <c r="HMP613" s="294"/>
      <c r="HMQ613" s="294"/>
      <c r="HMR613" s="294"/>
      <c r="HMS613" s="294"/>
      <c r="HMT613" s="294"/>
      <c r="HMU613" s="294"/>
      <c r="HMV613" s="294"/>
      <c r="HMW613" s="294"/>
      <c r="HMX613" s="294"/>
      <c r="HMY613" s="294"/>
      <c r="HMZ613" s="294"/>
      <c r="HNA613" s="294"/>
      <c r="HNB613" s="294"/>
      <c r="HNC613" s="294"/>
      <c r="HND613" s="294"/>
      <c r="HNE613" s="294"/>
      <c r="HNF613" s="294"/>
      <c r="HNG613" s="294"/>
      <c r="HNH613" s="294"/>
      <c r="HNI613" s="294"/>
      <c r="HNJ613" s="294"/>
      <c r="HNK613" s="294"/>
      <c r="HNL613" s="294"/>
      <c r="HNM613" s="294"/>
      <c r="HNN613" s="294"/>
      <c r="HNO613" s="294"/>
      <c r="HNP613" s="294"/>
      <c r="HNQ613" s="294"/>
      <c r="HNR613" s="294"/>
      <c r="HNS613" s="294"/>
      <c r="HNT613" s="294"/>
      <c r="HNU613" s="294"/>
      <c r="HNV613" s="294"/>
      <c r="HNW613" s="294"/>
      <c r="HNX613" s="294"/>
      <c r="HNY613" s="294"/>
      <c r="HNZ613" s="294"/>
      <c r="HOA613" s="294"/>
      <c r="HOB613" s="294"/>
      <c r="HOC613" s="294"/>
      <c r="HOD613" s="294"/>
      <c r="HOE613" s="294"/>
      <c r="HOF613" s="294"/>
      <c r="HOG613" s="294"/>
      <c r="HOH613" s="294"/>
      <c r="HOI613" s="294"/>
      <c r="HOJ613" s="294"/>
      <c r="HOK613" s="294"/>
      <c r="HOL613" s="294"/>
      <c r="HOM613" s="294"/>
      <c r="HON613" s="294"/>
      <c r="HOO613" s="294"/>
      <c r="HOP613" s="294"/>
      <c r="HOQ613" s="294"/>
      <c r="HOR613" s="294"/>
      <c r="HOS613" s="294"/>
      <c r="HOT613" s="294"/>
      <c r="HOU613" s="294"/>
      <c r="HOV613" s="294"/>
      <c r="HOW613" s="294"/>
      <c r="HOX613" s="294"/>
      <c r="HOY613" s="294"/>
      <c r="HOZ613" s="294"/>
      <c r="HPA613" s="294"/>
      <c r="HPB613" s="294"/>
      <c r="HPC613" s="294"/>
      <c r="HPD613" s="294"/>
      <c r="HPE613" s="294"/>
      <c r="HPF613" s="294"/>
      <c r="HPG613" s="294"/>
      <c r="HPH613" s="294"/>
      <c r="HPI613" s="294"/>
      <c r="HPJ613" s="294"/>
      <c r="HPK613" s="294"/>
      <c r="HPL613" s="294"/>
      <c r="HPM613" s="294"/>
      <c r="HPN613" s="294"/>
      <c r="HPO613" s="294"/>
      <c r="HPP613" s="294"/>
      <c r="HPQ613" s="294"/>
      <c r="HPR613" s="294"/>
      <c r="HPS613" s="294"/>
      <c r="HPT613" s="294"/>
      <c r="HPU613" s="294"/>
      <c r="HPV613" s="294"/>
      <c r="HPW613" s="294"/>
      <c r="HPX613" s="294"/>
      <c r="HPY613" s="294"/>
      <c r="HPZ613" s="294"/>
      <c r="HQA613" s="294"/>
      <c r="HQB613" s="294"/>
      <c r="HQC613" s="294"/>
      <c r="HQD613" s="294"/>
      <c r="HQE613" s="294"/>
      <c r="HQF613" s="294"/>
      <c r="HQG613" s="294"/>
      <c r="HQH613" s="294"/>
      <c r="HQI613" s="294"/>
      <c r="HQJ613" s="294"/>
      <c r="HQK613" s="294"/>
      <c r="HQL613" s="294"/>
      <c r="HQM613" s="294"/>
      <c r="HQN613" s="294"/>
      <c r="HQO613" s="294"/>
      <c r="HQP613" s="294"/>
      <c r="HQQ613" s="294"/>
      <c r="HQR613" s="294"/>
      <c r="HQS613" s="294"/>
      <c r="HQT613" s="294"/>
      <c r="HQU613" s="294"/>
      <c r="HQV613" s="294"/>
      <c r="HQW613" s="294"/>
      <c r="HQX613" s="294"/>
      <c r="HQY613" s="294"/>
      <c r="HQZ613" s="294"/>
      <c r="HRA613" s="294"/>
      <c r="HRB613" s="294"/>
      <c r="HRC613" s="294"/>
      <c r="HRD613" s="294"/>
      <c r="HRE613" s="294"/>
      <c r="HRF613" s="294"/>
      <c r="HRG613" s="294"/>
      <c r="HRH613" s="294"/>
      <c r="HRI613" s="294"/>
      <c r="HRJ613" s="294"/>
      <c r="HRK613" s="294"/>
      <c r="HRL613" s="294"/>
      <c r="HRM613" s="294"/>
      <c r="HRN613" s="294"/>
      <c r="HRO613" s="294"/>
      <c r="HRP613" s="294"/>
      <c r="HRQ613" s="294"/>
      <c r="HRR613" s="294"/>
      <c r="HRS613" s="294"/>
      <c r="HRT613" s="294"/>
      <c r="HRU613" s="294"/>
      <c r="HRV613" s="294"/>
      <c r="HRW613" s="294"/>
      <c r="HRX613" s="294"/>
      <c r="HRY613" s="294"/>
      <c r="HRZ613" s="294"/>
      <c r="HSA613" s="294"/>
      <c r="HSB613" s="294"/>
      <c r="HSC613" s="294"/>
      <c r="HSD613" s="294"/>
      <c r="HSE613" s="294"/>
      <c r="HSF613" s="294"/>
      <c r="HSG613" s="294"/>
      <c r="HSH613" s="294"/>
      <c r="HSI613" s="294"/>
      <c r="HSJ613" s="294"/>
      <c r="HSK613" s="294"/>
      <c r="HSL613" s="294"/>
      <c r="HSM613" s="294"/>
      <c r="HSN613" s="294"/>
      <c r="HSO613" s="294"/>
      <c r="HSP613" s="294"/>
      <c r="HSQ613" s="294"/>
      <c r="HSR613" s="294"/>
      <c r="HSS613" s="294"/>
      <c r="HST613" s="294"/>
      <c r="HSU613" s="294"/>
      <c r="HSV613" s="294"/>
      <c r="HSW613" s="294"/>
      <c r="HSX613" s="294"/>
      <c r="HSY613" s="294"/>
      <c r="HSZ613" s="294"/>
      <c r="HTA613" s="294"/>
      <c r="HTB613" s="294"/>
      <c r="HTC613" s="294"/>
      <c r="HTD613" s="294"/>
      <c r="HTE613" s="294"/>
      <c r="HTF613" s="294"/>
      <c r="HTG613" s="294"/>
      <c r="HTH613" s="294"/>
      <c r="HTI613" s="294"/>
      <c r="HTJ613" s="294"/>
      <c r="HTK613" s="294"/>
      <c r="HTL613" s="294"/>
      <c r="HTM613" s="294"/>
      <c r="HTN613" s="294"/>
      <c r="HTO613" s="294"/>
      <c r="HTP613" s="294"/>
      <c r="HTQ613" s="294"/>
      <c r="HTR613" s="294"/>
      <c r="HTS613" s="294"/>
      <c r="HTT613" s="294"/>
      <c r="HTU613" s="294"/>
      <c r="HTV613" s="294"/>
      <c r="HTW613" s="294"/>
      <c r="HTX613" s="294"/>
      <c r="HTY613" s="294"/>
      <c r="HTZ613" s="294"/>
      <c r="HUA613" s="294"/>
      <c r="HUB613" s="294"/>
      <c r="HUC613" s="294"/>
      <c r="HUD613" s="294"/>
      <c r="HUE613" s="294"/>
      <c r="HUF613" s="294"/>
      <c r="HUG613" s="294"/>
      <c r="HUH613" s="294"/>
      <c r="HUI613" s="294"/>
      <c r="HUJ613" s="294"/>
      <c r="HUK613" s="294"/>
      <c r="HUL613" s="294"/>
      <c r="HUM613" s="294"/>
      <c r="HUN613" s="294"/>
      <c r="HUO613" s="294"/>
      <c r="HUP613" s="294"/>
      <c r="HUQ613" s="294"/>
      <c r="HUR613" s="294"/>
      <c r="HUS613" s="294"/>
      <c r="HUT613" s="294"/>
      <c r="HUU613" s="294"/>
      <c r="HUV613" s="294"/>
      <c r="HUW613" s="294"/>
      <c r="HUX613" s="294"/>
      <c r="HUY613" s="294"/>
      <c r="HUZ613" s="294"/>
      <c r="HVA613" s="294"/>
      <c r="HVB613" s="294"/>
      <c r="HVC613" s="294"/>
      <c r="HVD613" s="294"/>
      <c r="HVE613" s="294"/>
      <c r="HVF613" s="294"/>
      <c r="HVG613" s="294"/>
      <c r="HVH613" s="294"/>
      <c r="HVI613" s="294"/>
      <c r="HVJ613" s="294"/>
      <c r="HVK613" s="294"/>
      <c r="HVL613" s="294"/>
      <c r="HVM613" s="294"/>
      <c r="HVN613" s="294"/>
      <c r="HVO613" s="294"/>
      <c r="HVP613" s="294"/>
      <c r="HVQ613" s="294"/>
      <c r="HVR613" s="294"/>
      <c r="HVS613" s="294"/>
      <c r="HVT613" s="294"/>
      <c r="HVU613" s="294"/>
      <c r="HVV613" s="294"/>
      <c r="HVW613" s="294"/>
      <c r="HVX613" s="294"/>
      <c r="HVY613" s="294"/>
      <c r="HVZ613" s="294"/>
      <c r="HWA613" s="294"/>
      <c r="HWB613" s="294"/>
      <c r="HWC613" s="294"/>
      <c r="HWD613" s="294"/>
      <c r="HWE613" s="294"/>
      <c r="HWF613" s="294"/>
      <c r="HWG613" s="294"/>
      <c r="HWH613" s="294"/>
      <c r="HWI613" s="294"/>
      <c r="HWJ613" s="294"/>
      <c r="HWK613" s="294"/>
      <c r="HWL613" s="294"/>
      <c r="HWM613" s="294"/>
      <c r="HWN613" s="294"/>
      <c r="HWO613" s="294"/>
      <c r="HWP613" s="294"/>
      <c r="HWQ613" s="294"/>
      <c r="HWR613" s="294"/>
      <c r="HWS613" s="294"/>
      <c r="HWT613" s="294"/>
      <c r="HWU613" s="294"/>
      <c r="HWV613" s="294"/>
      <c r="HWW613" s="294"/>
      <c r="HWX613" s="294"/>
      <c r="HWY613" s="294"/>
      <c r="HWZ613" s="294"/>
      <c r="HXA613" s="294"/>
      <c r="HXB613" s="294"/>
      <c r="HXC613" s="294"/>
      <c r="HXD613" s="294"/>
      <c r="HXE613" s="294"/>
      <c r="HXF613" s="294"/>
      <c r="HXG613" s="294"/>
      <c r="HXH613" s="294"/>
      <c r="HXI613" s="294"/>
      <c r="HXJ613" s="294"/>
      <c r="HXK613" s="294"/>
      <c r="HXL613" s="294"/>
      <c r="HXM613" s="294"/>
      <c r="HXN613" s="294"/>
      <c r="HXO613" s="294"/>
      <c r="HXP613" s="294"/>
      <c r="HXQ613" s="294"/>
      <c r="HXR613" s="294"/>
      <c r="HXS613" s="294"/>
      <c r="HXT613" s="294"/>
      <c r="HXU613" s="294"/>
      <c r="HXV613" s="294"/>
      <c r="HXW613" s="294"/>
      <c r="HXX613" s="294"/>
      <c r="HXY613" s="294"/>
      <c r="HXZ613" s="294"/>
      <c r="HYA613" s="294"/>
      <c r="HYB613" s="294"/>
      <c r="HYC613" s="294"/>
      <c r="HYD613" s="294"/>
      <c r="HYE613" s="294"/>
      <c r="HYF613" s="294"/>
      <c r="HYG613" s="294"/>
      <c r="HYH613" s="294"/>
      <c r="HYI613" s="294"/>
      <c r="HYJ613" s="294"/>
      <c r="HYK613" s="294"/>
      <c r="HYL613" s="294"/>
      <c r="HYM613" s="294"/>
      <c r="HYN613" s="294"/>
      <c r="HYO613" s="294"/>
      <c r="HYP613" s="294"/>
      <c r="HYQ613" s="294"/>
      <c r="HYR613" s="294"/>
      <c r="HYS613" s="294"/>
      <c r="HYT613" s="294"/>
      <c r="HYU613" s="294"/>
      <c r="HYV613" s="294"/>
      <c r="HYW613" s="294"/>
      <c r="HYX613" s="294"/>
      <c r="HYY613" s="294"/>
      <c r="HYZ613" s="294"/>
      <c r="HZA613" s="294"/>
      <c r="HZB613" s="294"/>
      <c r="HZC613" s="294"/>
      <c r="HZD613" s="294"/>
      <c r="HZE613" s="294"/>
      <c r="HZF613" s="294"/>
      <c r="HZG613" s="294"/>
      <c r="HZH613" s="294"/>
      <c r="HZI613" s="294"/>
      <c r="HZJ613" s="294"/>
      <c r="HZK613" s="294"/>
      <c r="HZL613" s="294"/>
      <c r="HZM613" s="294"/>
      <c r="HZN613" s="294"/>
      <c r="HZO613" s="294"/>
      <c r="HZP613" s="294"/>
      <c r="HZQ613" s="294"/>
      <c r="HZR613" s="294"/>
      <c r="HZS613" s="294"/>
      <c r="HZT613" s="294"/>
      <c r="HZU613" s="294"/>
      <c r="HZV613" s="294"/>
      <c r="HZW613" s="294"/>
      <c r="HZX613" s="294"/>
      <c r="HZY613" s="294"/>
      <c r="HZZ613" s="294"/>
      <c r="IAA613" s="294"/>
      <c r="IAB613" s="294"/>
      <c r="IAC613" s="294"/>
      <c r="IAD613" s="294"/>
      <c r="IAE613" s="294"/>
      <c r="IAF613" s="294"/>
      <c r="IAG613" s="294"/>
      <c r="IAH613" s="294"/>
      <c r="IAI613" s="294"/>
      <c r="IAJ613" s="294"/>
      <c r="IAK613" s="294"/>
      <c r="IAL613" s="294"/>
      <c r="IAM613" s="294"/>
      <c r="IAN613" s="294"/>
      <c r="IAO613" s="294"/>
      <c r="IAP613" s="294"/>
      <c r="IAQ613" s="294"/>
      <c r="IAR613" s="294"/>
      <c r="IAS613" s="294"/>
      <c r="IAT613" s="294"/>
      <c r="IAU613" s="294"/>
      <c r="IAV613" s="294"/>
      <c r="IAW613" s="294"/>
      <c r="IAX613" s="294"/>
      <c r="IAY613" s="294"/>
      <c r="IAZ613" s="294"/>
      <c r="IBA613" s="294"/>
      <c r="IBB613" s="294"/>
      <c r="IBC613" s="294"/>
      <c r="IBD613" s="294"/>
      <c r="IBE613" s="294"/>
      <c r="IBF613" s="294"/>
      <c r="IBG613" s="294"/>
      <c r="IBH613" s="294"/>
      <c r="IBI613" s="294"/>
      <c r="IBJ613" s="294"/>
      <c r="IBK613" s="294"/>
      <c r="IBL613" s="294"/>
      <c r="IBM613" s="294"/>
      <c r="IBN613" s="294"/>
      <c r="IBO613" s="294"/>
      <c r="IBP613" s="294"/>
      <c r="IBQ613" s="294"/>
      <c r="IBR613" s="294"/>
      <c r="IBS613" s="294"/>
      <c r="IBT613" s="294"/>
      <c r="IBU613" s="294"/>
      <c r="IBV613" s="294"/>
      <c r="IBW613" s="294"/>
      <c r="IBX613" s="294"/>
      <c r="IBY613" s="294"/>
      <c r="IBZ613" s="294"/>
      <c r="ICA613" s="294"/>
      <c r="ICB613" s="294"/>
      <c r="ICC613" s="294"/>
      <c r="ICD613" s="294"/>
      <c r="ICE613" s="294"/>
      <c r="ICF613" s="294"/>
      <c r="ICG613" s="294"/>
      <c r="ICH613" s="294"/>
      <c r="ICI613" s="294"/>
      <c r="ICJ613" s="294"/>
      <c r="ICK613" s="294"/>
      <c r="ICL613" s="294"/>
      <c r="ICM613" s="294"/>
      <c r="ICN613" s="294"/>
      <c r="ICO613" s="294"/>
      <c r="ICP613" s="294"/>
      <c r="ICQ613" s="294"/>
      <c r="ICR613" s="294"/>
      <c r="ICS613" s="294"/>
      <c r="ICT613" s="294"/>
      <c r="ICU613" s="294"/>
      <c r="ICV613" s="294"/>
      <c r="ICW613" s="294"/>
      <c r="ICX613" s="294"/>
      <c r="ICY613" s="294"/>
      <c r="ICZ613" s="294"/>
      <c r="IDA613" s="294"/>
      <c r="IDB613" s="294"/>
      <c r="IDC613" s="294"/>
      <c r="IDD613" s="294"/>
      <c r="IDE613" s="294"/>
      <c r="IDF613" s="294"/>
      <c r="IDG613" s="294"/>
      <c r="IDH613" s="294"/>
      <c r="IDI613" s="294"/>
      <c r="IDJ613" s="294"/>
      <c r="IDK613" s="294"/>
      <c r="IDL613" s="294"/>
      <c r="IDM613" s="294"/>
      <c r="IDN613" s="294"/>
      <c r="IDO613" s="294"/>
      <c r="IDP613" s="294"/>
      <c r="IDQ613" s="294"/>
      <c r="IDR613" s="294"/>
      <c r="IDS613" s="294"/>
      <c r="IDT613" s="294"/>
      <c r="IDU613" s="294"/>
      <c r="IDV613" s="294"/>
      <c r="IDW613" s="294"/>
      <c r="IDX613" s="294"/>
      <c r="IDY613" s="294"/>
      <c r="IDZ613" s="294"/>
      <c r="IEA613" s="294"/>
      <c r="IEB613" s="294"/>
      <c r="IEC613" s="294"/>
      <c r="IED613" s="294"/>
      <c r="IEE613" s="294"/>
      <c r="IEF613" s="294"/>
      <c r="IEG613" s="294"/>
      <c r="IEH613" s="294"/>
      <c r="IEI613" s="294"/>
      <c r="IEJ613" s="294"/>
      <c r="IEK613" s="294"/>
      <c r="IEL613" s="294"/>
      <c r="IEM613" s="294"/>
      <c r="IEN613" s="294"/>
      <c r="IEO613" s="294"/>
      <c r="IEP613" s="294"/>
      <c r="IEQ613" s="294"/>
      <c r="IER613" s="294"/>
      <c r="IES613" s="294"/>
      <c r="IET613" s="294"/>
      <c r="IEU613" s="294"/>
      <c r="IEV613" s="294"/>
      <c r="IEW613" s="294"/>
      <c r="IEX613" s="294"/>
      <c r="IEY613" s="294"/>
      <c r="IEZ613" s="294"/>
      <c r="IFA613" s="294"/>
      <c r="IFB613" s="294"/>
      <c r="IFC613" s="294"/>
      <c r="IFD613" s="294"/>
      <c r="IFE613" s="294"/>
      <c r="IFF613" s="294"/>
      <c r="IFG613" s="294"/>
      <c r="IFH613" s="294"/>
      <c r="IFI613" s="294"/>
      <c r="IFJ613" s="294"/>
      <c r="IFK613" s="294"/>
      <c r="IFL613" s="294"/>
      <c r="IFM613" s="294"/>
      <c r="IFN613" s="294"/>
      <c r="IFO613" s="294"/>
      <c r="IFP613" s="294"/>
      <c r="IFQ613" s="294"/>
      <c r="IFR613" s="294"/>
      <c r="IFS613" s="294"/>
      <c r="IFT613" s="294"/>
      <c r="IFU613" s="294"/>
      <c r="IFV613" s="294"/>
      <c r="IFW613" s="294"/>
      <c r="IFX613" s="294"/>
      <c r="IFY613" s="294"/>
      <c r="IFZ613" s="294"/>
      <c r="IGA613" s="294"/>
      <c r="IGB613" s="294"/>
      <c r="IGC613" s="294"/>
      <c r="IGD613" s="294"/>
      <c r="IGE613" s="294"/>
      <c r="IGF613" s="294"/>
      <c r="IGG613" s="294"/>
      <c r="IGH613" s="294"/>
      <c r="IGI613" s="294"/>
      <c r="IGJ613" s="294"/>
      <c r="IGK613" s="294"/>
      <c r="IGL613" s="294"/>
      <c r="IGM613" s="294"/>
      <c r="IGN613" s="294"/>
      <c r="IGO613" s="294"/>
      <c r="IGP613" s="294"/>
      <c r="IGQ613" s="294"/>
      <c r="IGR613" s="294"/>
      <c r="IGS613" s="294"/>
      <c r="IGT613" s="294"/>
      <c r="IGU613" s="294"/>
      <c r="IGV613" s="294"/>
      <c r="IGW613" s="294"/>
      <c r="IGX613" s="294"/>
      <c r="IGY613" s="294"/>
      <c r="IGZ613" s="294"/>
      <c r="IHA613" s="294"/>
      <c r="IHB613" s="294"/>
      <c r="IHC613" s="294"/>
      <c r="IHD613" s="294"/>
      <c r="IHE613" s="294"/>
      <c r="IHF613" s="294"/>
      <c r="IHG613" s="294"/>
      <c r="IHH613" s="294"/>
      <c r="IHI613" s="294"/>
      <c r="IHJ613" s="294"/>
      <c r="IHK613" s="294"/>
      <c r="IHL613" s="294"/>
      <c r="IHM613" s="294"/>
      <c r="IHN613" s="294"/>
      <c r="IHO613" s="294"/>
      <c r="IHP613" s="294"/>
      <c r="IHQ613" s="294"/>
      <c r="IHR613" s="294"/>
      <c r="IHS613" s="294"/>
      <c r="IHT613" s="294"/>
      <c r="IHU613" s="294"/>
      <c r="IHV613" s="294"/>
      <c r="IHW613" s="294"/>
      <c r="IHX613" s="294"/>
      <c r="IHY613" s="294"/>
      <c r="IHZ613" s="294"/>
      <c r="IIA613" s="294"/>
      <c r="IIB613" s="294"/>
      <c r="IIC613" s="294"/>
      <c r="IID613" s="294"/>
      <c r="IIE613" s="294"/>
      <c r="IIF613" s="294"/>
      <c r="IIG613" s="294"/>
      <c r="IIH613" s="294"/>
      <c r="III613" s="294"/>
      <c r="IIJ613" s="294"/>
      <c r="IIK613" s="294"/>
      <c r="IIL613" s="294"/>
      <c r="IIM613" s="294"/>
      <c r="IIN613" s="294"/>
      <c r="IIO613" s="294"/>
      <c r="IIP613" s="294"/>
      <c r="IIQ613" s="294"/>
      <c r="IIR613" s="294"/>
      <c r="IIS613" s="294"/>
      <c r="IIT613" s="294"/>
      <c r="IIU613" s="294"/>
      <c r="IIV613" s="294"/>
      <c r="IIW613" s="294"/>
      <c r="IIX613" s="294"/>
      <c r="IIY613" s="294"/>
      <c r="IIZ613" s="294"/>
      <c r="IJA613" s="294"/>
      <c r="IJB613" s="294"/>
      <c r="IJC613" s="294"/>
      <c r="IJD613" s="294"/>
      <c r="IJE613" s="294"/>
      <c r="IJF613" s="294"/>
      <c r="IJG613" s="294"/>
      <c r="IJH613" s="294"/>
      <c r="IJI613" s="294"/>
      <c r="IJJ613" s="294"/>
      <c r="IJK613" s="294"/>
      <c r="IJL613" s="294"/>
      <c r="IJM613" s="294"/>
      <c r="IJN613" s="294"/>
      <c r="IJO613" s="294"/>
      <c r="IJP613" s="294"/>
      <c r="IJQ613" s="294"/>
      <c r="IJR613" s="294"/>
      <c r="IJS613" s="294"/>
      <c r="IJT613" s="294"/>
      <c r="IJU613" s="294"/>
      <c r="IJV613" s="294"/>
      <c r="IJW613" s="294"/>
      <c r="IJX613" s="294"/>
      <c r="IJY613" s="294"/>
      <c r="IJZ613" s="294"/>
      <c r="IKA613" s="294"/>
      <c r="IKB613" s="294"/>
      <c r="IKC613" s="294"/>
      <c r="IKD613" s="294"/>
      <c r="IKE613" s="294"/>
      <c r="IKF613" s="294"/>
      <c r="IKG613" s="294"/>
      <c r="IKH613" s="294"/>
      <c r="IKI613" s="294"/>
      <c r="IKJ613" s="294"/>
      <c r="IKK613" s="294"/>
      <c r="IKL613" s="294"/>
      <c r="IKM613" s="294"/>
      <c r="IKN613" s="294"/>
      <c r="IKO613" s="294"/>
      <c r="IKP613" s="294"/>
      <c r="IKQ613" s="294"/>
      <c r="IKR613" s="294"/>
      <c r="IKS613" s="294"/>
      <c r="IKT613" s="294"/>
      <c r="IKU613" s="294"/>
      <c r="IKV613" s="294"/>
      <c r="IKW613" s="294"/>
      <c r="IKX613" s="294"/>
      <c r="IKY613" s="294"/>
      <c r="IKZ613" s="294"/>
      <c r="ILA613" s="294"/>
      <c r="ILB613" s="294"/>
      <c r="ILC613" s="294"/>
      <c r="ILD613" s="294"/>
      <c r="ILE613" s="294"/>
      <c r="ILF613" s="294"/>
      <c r="ILG613" s="294"/>
      <c r="ILH613" s="294"/>
      <c r="ILI613" s="294"/>
      <c r="ILJ613" s="294"/>
      <c r="ILK613" s="294"/>
      <c r="ILL613" s="294"/>
      <c r="ILM613" s="294"/>
      <c r="ILN613" s="294"/>
      <c r="ILO613" s="294"/>
      <c r="ILP613" s="294"/>
      <c r="ILQ613" s="294"/>
      <c r="ILR613" s="294"/>
      <c r="ILS613" s="294"/>
      <c r="ILT613" s="294"/>
      <c r="ILU613" s="294"/>
      <c r="ILV613" s="294"/>
      <c r="ILW613" s="294"/>
      <c r="ILX613" s="294"/>
      <c r="ILY613" s="294"/>
      <c r="ILZ613" s="294"/>
      <c r="IMA613" s="294"/>
      <c r="IMB613" s="294"/>
      <c r="IMC613" s="294"/>
      <c r="IMD613" s="294"/>
      <c r="IME613" s="294"/>
      <c r="IMF613" s="294"/>
      <c r="IMG613" s="294"/>
      <c r="IMH613" s="294"/>
      <c r="IMI613" s="294"/>
      <c r="IMJ613" s="294"/>
      <c r="IMK613" s="294"/>
      <c r="IML613" s="294"/>
      <c r="IMM613" s="294"/>
      <c r="IMN613" s="294"/>
      <c r="IMO613" s="294"/>
      <c r="IMP613" s="294"/>
      <c r="IMQ613" s="294"/>
      <c r="IMR613" s="294"/>
      <c r="IMS613" s="294"/>
      <c r="IMT613" s="294"/>
      <c r="IMU613" s="294"/>
      <c r="IMV613" s="294"/>
      <c r="IMW613" s="294"/>
      <c r="IMX613" s="294"/>
      <c r="IMY613" s="294"/>
      <c r="IMZ613" s="294"/>
      <c r="INA613" s="294"/>
      <c r="INB613" s="294"/>
      <c r="INC613" s="294"/>
      <c r="IND613" s="294"/>
      <c r="INE613" s="294"/>
      <c r="INF613" s="294"/>
      <c r="ING613" s="294"/>
      <c r="INH613" s="294"/>
      <c r="INI613" s="294"/>
      <c r="INJ613" s="294"/>
      <c r="INK613" s="294"/>
      <c r="INL613" s="294"/>
      <c r="INM613" s="294"/>
      <c r="INN613" s="294"/>
      <c r="INO613" s="294"/>
      <c r="INP613" s="294"/>
      <c r="INQ613" s="294"/>
      <c r="INR613" s="294"/>
      <c r="INS613" s="294"/>
      <c r="INT613" s="294"/>
      <c r="INU613" s="294"/>
      <c r="INV613" s="294"/>
      <c r="INW613" s="294"/>
      <c r="INX613" s="294"/>
      <c r="INY613" s="294"/>
      <c r="INZ613" s="294"/>
      <c r="IOA613" s="294"/>
      <c r="IOB613" s="294"/>
      <c r="IOC613" s="294"/>
      <c r="IOD613" s="294"/>
      <c r="IOE613" s="294"/>
      <c r="IOF613" s="294"/>
      <c r="IOG613" s="294"/>
      <c r="IOH613" s="294"/>
      <c r="IOI613" s="294"/>
      <c r="IOJ613" s="294"/>
      <c r="IOK613" s="294"/>
      <c r="IOL613" s="294"/>
      <c r="IOM613" s="294"/>
      <c r="ION613" s="294"/>
      <c r="IOO613" s="294"/>
      <c r="IOP613" s="294"/>
      <c r="IOQ613" s="294"/>
      <c r="IOR613" s="294"/>
      <c r="IOS613" s="294"/>
      <c r="IOT613" s="294"/>
      <c r="IOU613" s="294"/>
      <c r="IOV613" s="294"/>
      <c r="IOW613" s="294"/>
      <c r="IOX613" s="294"/>
      <c r="IOY613" s="294"/>
      <c r="IOZ613" s="294"/>
      <c r="IPA613" s="294"/>
      <c r="IPB613" s="294"/>
      <c r="IPC613" s="294"/>
      <c r="IPD613" s="294"/>
      <c r="IPE613" s="294"/>
      <c r="IPF613" s="294"/>
      <c r="IPG613" s="294"/>
      <c r="IPH613" s="294"/>
      <c r="IPI613" s="294"/>
      <c r="IPJ613" s="294"/>
      <c r="IPK613" s="294"/>
      <c r="IPL613" s="294"/>
      <c r="IPM613" s="294"/>
      <c r="IPN613" s="294"/>
      <c r="IPO613" s="294"/>
      <c r="IPP613" s="294"/>
      <c r="IPQ613" s="294"/>
      <c r="IPR613" s="294"/>
      <c r="IPS613" s="294"/>
      <c r="IPT613" s="294"/>
      <c r="IPU613" s="294"/>
      <c r="IPV613" s="294"/>
      <c r="IPW613" s="294"/>
      <c r="IPX613" s="294"/>
      <c r="IPY613" s="294"/>
      <c r="IPZ613" s="294"/>
      <c r="IQA613" s="294"/>
      <c r="IQB613" s="294"/>
      <c r="IQC613" s="294"/>
      <c r="IQD613" s="294"/>
      <c r="IQE613" s="294"/>
      <c r="IQF613" s="294"/>
      <c r="IQG613" s="294"/>
      <c r="IQH613" s="294"/>
      <c r="IQI613" s="294"/>
      <c r="IQJ613" s="294"/>
      <c r="IQK613" s="294"/>
      <c r="IQL613" s="294"/>
      <c r="IQM613" s="294"/>
      <c r="IQN613" s="294"/>
      <c r="IQO613" s="294"/>
      <c r="IQP613" s="294"/>
      <c r="IQQ613" s="294"/>
      <c r="IQR613" s="294"/>
      <c r="IQS613" s="294"/>
      <c r="IQT613" s="294"/>
      <c r="IQU613" s="294"/>
      <c r="IQV613" s="294"/>
      <c r="IQW613" s="294"/>
      <c r="IQX613" s="294"/>
      <c r="IQY613" s="294"/>
      <c r="IQZ613" s="294"/>
      <c r="IRA613" s="294"/>
      <c r="IRB613" s="294"/>
      <c r="IRC613" s="294"/>
      <c r="IRD613" s="294"/>
      <c r="IRE613" s="294"/>
      <c r="IRF613" s="294"/>
      <c r="IRG613" s="294"/>
      <c r="IRH613" s="294"/>
      <c r="IRI613" s="294"/>
      <c r="IRJ613" s="294"/>
      <c r="IRK613" s="294"/>
      <c r="IRL613" s="294"/>
      <c r="IRM613" s="294"/>
      <c r="IRN613" s="294"/>
      <c r="IRO613" s="294"/>
      <c r="IRP613" s="294"/>
      <c r="IRQ613" s="294"/>
      <c r="IRR613" s="294"/>
      <c r="IRS613" s="294"/>
      <c r="IRT613" s="294"/>
      <c r="IRU613" s="294"/>
      <c r="IRV613" s="294"/>
      <c r="IRW613" s="294"/>
      <c r="IRX613" s="294"/>
      <c r="IRY613" s="294"/>
      <c r="IRZ613" s="294"/>
      <c r="ISA613" s="294"/>
      <c r="ISB613" s="294"/>
      <c r="ISC613" s="294"/>
      <c r="ISD613" s="294"/>
      <c r="ISE613" s="294"/>
      <c r="ISF613" s="294"/>
      <c r="ISG613" s="294"/>
      <c r="ISH613" s="294"/>
      <c r="ISI613" s="294"/>
      <c r="ISJ613" s="294"/>
      <c r="ISK613" s="294"/>
      <c r="ISL613" s="294"/>
      <c r="ISM613" s="294"/>
      <c r="ISN613" s="294"/>
      <c r="ISO613" s="294"/>
      <c r="ISP613" s="294"/>
      <c r="ISQ613" s="294"/>
      <c r="ISR613" s="294"/>
      <c r="ISS613" s="294"/>
      <c r="IST613" s="294"/>
      <c r="ISU613" s="294"/>
      <c r="ISV613" s="294"/>
      <c r="ISW613" s="294"/>
      <c r="ISX613" s="294"/>
      <c r="ISY613" s="294"/>
      <c r="ISZ613" s="294"/>
      <c r="ITA613" s="294"/>
      <c r="ITB613" s="294"/>
      <c r="ITC613" s="294"/>
      <c r="ITD613" s="294"/>
      <c r="ITE613" s="294"/>
      <c r="ITF613" s="294"/>
      <c r="ITG613" s="294"/>
      <c r="ITH613" s="294"/>
      <c r="ITI613" s="294"/>
      <c r="ITJ613" s="294"/>
      <c r="ITK613" s="294"/>
      <c r="ITL613" s="294"/>
      <c r="ITM613" s="294"/>
      <c r="ITN613" s="294"/>
      <c r="ITO613" s="294"/>
      <c r="ITP613" s="294"/>
      <c r="ITQ613" s="294"/>
      <c r="ITR613" s="294"/>
      <c r="ITS613" s="294"/>
      <c r="ITT613" s="294"/>
      <c r="ITU613" s="294"/>
      <c r="ITV613" s="294"/>
      <c r="ITW613" s="294"/>
      <c r="ITX613" s="294"/>
      <c r="ITY613" s="294"/>
      <c r="ITZ613" s="294"/>
      <c r="IUA613" s="294"/>
      <c r="IUB613" s="294"/>
      <c r="IUC613" s="294"/>
      <c r="IUD613" s="294"/>
      <c r="IUE613" s="294"/>
      <c r="IUF613" s="294"/>
      <c r="IUG613" s="294"/>
      <c r="IUH613" s="294"/>
      <c r="IUI613" s="294"/>
      <c r="IUJ613" s="294"/>
      <c r="IUK613" s="294"/>
      <c r="IUL613" s="294"/>
      <c r="IUM613" s="294"/>
      <c r="IUN613" s="294"/>
      <c r="IUO613" s="294"/>
      <c r="IUP613" s="294"/>
      <c r="IUQ613" s="294"/>
      <c r="IUR613" s="294"/>
      <c r="IUS613" s="294"/>
      <c r="IUT613" s="294"/>
      <c r="IUU613" s="294"/>
      <c r="IUV613" s="294"/>
      <c r="IUW613" s="294"/>
      <c r="IUX613" s="294"/>
      <c r="IUY613" s="294"/>
      <c r="IUZ613" s="294"/>
      <c r="IVA613" s="294"/>
      <c r="IVB613" s="294"/>
      <c r="IVC613" s="294"/>
      <c r="IVD613" s="294"/>
      <c r="IVE613" s="294"/>
      <c r="IVF613" s="294"/>
      <c r="IVG613" s="294"/>
      <c r="IVH613" s="294"/>
      <c r="IVI613" s="294"/>
      <c r="IVJ613" s="294"/>
      <c r="IVK613" s="294"/>
      <c r="IVL613" s="294"/>
      <c r="IVM613" s="294"/>
      <c r="IVN613" s="294"/>
      <c r="IVO613" s="294"/>
      <c r="IVP613" s="294"/>
      <c r="IVQ613" s="294"/>
      <c r="IVR613" s="294"/>
      <c r="IVS613" s="294"/>
      <c r="IVT613" s="294"/>
      <c r="IVU613" s="294"/>
      <c r="IVV613" s="294"/>
      <c r="IVW613" s="294"/>
      <c r="IVX613" s="294"/>
      <c r="IVY613" s="294"/>
      <c r="IVZ613" s="294"/>
      <c r="IWA613" s="294"/>
      <c r="IWB613" s="294"/>
      <c r="IWC613" s="294"/>
      <c r="IWD613" s="294"/>
      <c r="IWE613" s="294"/>
      <c r="IWF613" s="294"/>
      <c r="IWG613" s="294"/>
      <c r="IWH613" s="294"/>
      <c r="IWI613" s="294"/>
      <c r="IWJ613" s="294"/>
      <c r="IWK613" s="294"/>
      <c r="IWL613" s="294"/>
      <c r="IWM613" s="294"/>
      <c r="IWN613" s="294"/>
      <c r="IWO613" s="294"/>
      <c r="IWP613" s="294"/>
      <c r="IWQ613" s="294"/>
      <c r="IWR613" s="294"/>
      <c r="IWS613" s="294"/>
      <c r="IWT613" s="294"/>
      <c r="IWU613" s="294"/>
      <c r="IWV613" s="294"/>
      <c r="IWW613" s="294"/>
      <c r="IWX613" s="294"/>
      <c r="IWY613" s="294"/>
      <c r="IWZ613" s="294"/>
      <c r="IXA613" s="294"/>
      <c r="IXB613" s="294"/>
      <c r="IXC613" s="294"/>
      <c r="IXD613" s="294"/>
      <c r="IXE613" s="294"/>
      <c r="IXF613" s="294"/>
      <c r="IXG613" s="294"/>
      <c r="IXH613" s="294"/>
      <c r="IXI613" s="294"/>
      <c r="IXJ613" s="294"/>
      <c r="IXK613" s="294"/>
      <c r="IXL613" s="294"/>
      <c r="IXM613" s="294"/>
      <c r="IXN613" s="294"/>
      <c r="IXO613" s="294"/>
      <c r="IXP613" s="294"/>
      <c r="IXQ613" s="294"/>
      <c r="IXR613" s="294"/>
      <c r="IXS613" s="294"/>
      <c r="IXT613" s="294"/>
      <c r="IXU613" s="294"/>
      <c r="IXV613" s="294"/>
      <c r="IXW613" s="294"/>
      <c r="IXX613" s="294"/>
      <c r="IXY613" s="294"/>
      <c r="IXZ613" s="294"/>
      <c r="IYA613" s="294"/>
      <c r="IYB613" s="294"/>
      <c r="IYC613" s="294"/>
      <c r="IYD613" s="294"/>
      <c r="IYE613" s="294"/>
      <c r="IYF613" s="294"/>
      <c r="IYG613" s="294"/>
      <c r="IYH613" s="294"/>
      <c r="IYI613" s="294"/>
      <c r="IYJ613" s="294"/>
      <c r="IYK613" s="294"/>
      <c r="IYL613" s="294"/>
      <c r="IYM613" s="294"/>
      <c r="IYN613" s="294"/>
      <c r="IYO613" s="294"/>
      <c r="IYP613" s="294"/>
      <c r="IYQ613" s="294"/>
      <c r="IYR613" s="294"/>
      <c r="IYS613" s="294"/>
      <c r="IYT613" s="294"/>
      <c r="IYU613" s="294"/>
      <c r="IYV613" s="294"/>
      <c r="IYW613" s="294"/>
      <c r="IYX613" s="294"/>
      <c r="IYY613" s="294"/>
      <c r="IYZ613" s="294"/>
      <c r="IZA613" s="294"/>
      <c r="IZB613" s="294"/>
      <c r="IZC613" s="294"/>
      <c r="IZD613" s="294"/>
      <c r="IZE613" s="294"/>
      <c r="IZF613" s="294"/>
      <c r="IZG613" s="294"/>
      <c r="IZH613" s="294"/>
      <c r="IZI613" s="294"/>
      <c r="IZJ613" s="294"/>
      <c r="IZK613" s="294"/>
      <c r="IZL613" s="294"/>
      <c r="IZM613" s="294"/>
      <c r="IZN613" s="294"/>
      <c r="IZO613" s="294"/>
      <c r="IZP613" s="294"/>
      <c r="IZQ613" s="294"/>
      <c r="IZR613" s="294"/>
      <c r="IZS613" s="294"/>
      <c r="IZT613" s="294"/>
      <c r="IZU613" s="294"/>
      <c r="IZV613" s="294"/>
      <c r="IZW613" s="294"/>
      <c r="IZX613" s="294"/>
      <c r="IZY613" s="294"/>
      <c r="IZZ613" s="294"/>
      <c r="JAA613" s="294"/>
      <c r="JAB613" s="294"/>
      <c r="JAC613" s="294"/>
      <c r="JAD613" s="294"/>
      <c r="JAE613" s="294"/>
      <c r="JAF613" s="294"/>
      <c r="JAG613" s="294"/>
      <c r="JAH613" s="294"/>
      <c r="JAI613" s="294"/>
      <c r="JAJ613" s="294"/>
      <c r="JAK613" s="294"/>
      <c r="JAL613" s="294"/>
      <c r="JAM613" s="294"/>
      <c r="JAN613" s="294"/>
      <c r="JAO613" s="294"/>
      <c r="JAP613" s="294"/>
      <c r="JAQ613" s="294"/>
      <c r="JAR613" s="294"/>
      <c r="JAS613" s="294"/>
      <c r="JAT613" s="294"/>
      <c r="JAU613" s="294"/>
      <c r="JAV613" s="294"/>
      <c r="JAW613" s="294"/>
      <c r="JAX613" s="294"/>
      <c r="JAY613" s="294"/>
      <c r="JAZ613" s="294"/>
      <c r="JBA613" s="294"/>
      <c r="JBB613" s="294"/>
      <c r="JBC613" s="294"/>
      <c r="JBD613" s="294"/>
      <c r="JBE613" s="294"/>
      <c r="JBF613" s="294"/>
      <c r="JBG613" s="294"/>
      <c r="JBH613" s="294"/>
      <c r="JBI613" s="294"/>
      <c r="JBJ613" s="294"/>
      <c r="JBK613" s="294"/>
      <c r="JBL613" s="294"/>
      <c r="JBM613" s="294"/>
      <c r="JBN613" s="294"/>
      <c r="JBO613" s="294"/>
      <c r="JBP613" s="294"/>
      <c r="JBQ613" s="294"/>
      <c r="JBR613" s="294"/>
      <c r="JBS613" s="294"/>
      <c r="JBT613" s="294"/>
      <c r="JBU613" s="294"/>
      <c r="JBV613" s="294"/>
      <c r="JBW613" s="294"/>
      <c r="JBX613" s="294"/>
      <c r="JBY613" s="294"/>
      <c r="JBZ613" s="294"/>
      <c r="JCA613" s="294"/>
      <c r="JCB613" s="294"/>
      <c r="JCC613" s="294"/>
      <c r="JCD613" s="294"/>
      <c r="JCE613" s="294"/>
      <c r="JCF613" s="294"/>
      <c r="JCG613" s="294"/>
      <c r="JCH613" s="294"/>
      <c r="JCI613" s="294"/>
      <c r="JCJ613" s="294"/>
      <c r="JCK613" s="294"/>
      <c r="JCL613" s="294"/>
      <c r="JCM613" s="294"/>
      <c r="JCN613" s="294"/>
      <c r="JCO613" s="294"/>
      <c r="JCP613" s="294"/>
      <c r="JCQ613" s="294"/>
      <c r="JCR613" s="294"/>
      <c r="JCS613" s="294"/>
      <c r="JCT613" s="294"/>
      <c r="JCU613" s="294"/>
      <c r="JCV613" s="294"/>
      <c r="JCW613" s="294"/>
      <c r="JCX613" s="294"/>
      <c r="JCY613" s="294"/>
      <c r="JCZ613" s="294"/>
      <c r="JDA613" s="294"/>
      <c r="JDB613" s="294"/>
      <c r="JDC613" s="294"/>
      <c r="JDD613" s="294"/>
      <c r="JDE613" s="294"/>
      <c r="JDF613" s="294"/>
      <c r="JDG613" s="294"/>
      <c r="JDH613" s="294"/>
      <c r="JDI613" s="294"/>
      <c r="JDJ613" s="294"/>
      <c r="JDK613" s="294"/>
      <c r="JDL613" s="294"/>
      <c r="JDM613" s="294"/>
      <c r="JDN613" s="294"/>
      <c r="JDO613" s="294"/>
      <c r="JDP613" s="294"/>
      <c r="JDQ613" s="294"/>
      <c r="JDR613" s="294"/>
      <c r="JDS613" s="294"/>
      <c r="JDT613" s="294"/>
      <c r="JDU613" s="294"/>
      <c r="JDV613" s="294"/>
      <c r="JDW613" s="294"/>
      <c r="JDX613" s="294"/>
      <c r="JDY613" s="294"/>
      <c r="JDZ613" s="294"/>
      <c r="JEA613" s="294"/>
      <c r="JEB613" s="294"/>
      <c r="JEC613" s="294"/>
      <c r="JED613" s="294"/>
      <c r="JEE613" s="294"/>
      <c r="JEF613" s="294"/>
      <c r="JEG613" s="294"/>
      <c r="JEH613" s="294"/>
      <c r="JEI613" s="294"/>
      <c r="JEJ613" s="294"/>
      <c r="JEK613" s="294"/>
      <c r="JEL613" s="294"/>
      <c r="JEM613" s="294"/>
      <c r="JEN613" s="294"/>
      <c r="JEO613" s="294"/>
      <c r="JEP613" s="294"/>
      <c r="JEQ613" s="294"/>
      <c r="JER613" s="294"/>
      <c r="JES613" s="294"/>
      <c r="JET613" s="294"/>
      <c r="JEU613" s="294"/>
      <c r="JEV613" s="294"/>
      <c r="JEW613" s="294"/>
      <c r="JEX613" s="294"/>
      <c r="JEY613" s="294"/>
      <c r="JEZ613" s="294"/>
      <c r="JFA613" s="294"/>
      <c r="JFB613" s="294"/>
      <c r="JFC613" s="294"/>
      <c r="JFD613" s="294"/>
      <c r="JFE613" s="294"/>
      <c r="JFF613" s="294"/>
      <c r="JFG613" s="294"/>
      <c r="JFH613" s="294"/>
      <c r="JFI613" s="294"/>
      <c r="JFJ613" s="294"/>
      <c r="JFK613" s="294"/>
      <c r="JFL613" s="294"/>
      <c r="JFM613" s="294"/>
      <c r="JFN613" s="294"/>
      <c r="JFO613" s="294"/>
      <c r="JFP613" s="294"/>
      <c r="JFQ613" s="294"/>
      <c r="JFR613" s="294"/>
      <c r="JFS613" s="294"/>
      <c r="JFT613" s="294"/>
      <c r="JFU613" s="294"/>
      <c r="JFV613" s="294"/>
      <c r="JFW613" s="294"/>
      <c r="JFX613" s="294"/>
      <c r="JFY613" s="294"/>
      <c r="JFZ613" s="294"/>
      <c r="JGA613" s="294"/>
      <c r="JGB613" s="294"/>
      <c r="JGC613" s="294"/>
      <c r="JGD613" s="294"/>
      <c r="JGE613" s="294"/>
      <c r="JGF613" s="294"/>
      <c r="JGG613" s="294"/>
      <c r="JGH613" s="294"/>
      <c r="JGI613" s="294"/>
      <c r="JGJ613" s="294"/>
      <c r="JGK613" s="294"/>
      <c r="JGL613" s="294"/>
      <c r="JGM613" s="294"/>
      <c r="JGN613" s="294"/>
      <c r="JGO613" s="294"/>
      <c r="JGP613" s="294"/>
      <c r="JGQ613" s="294"/>
      <c r="JGR613" s="294"/>
      <c r="JGS613" s="294"/>
      <c r="JGT613" s="294"/>
      <c r="JGU613" s="294"/>
      <c r="JGV613" s="294"/>
      <c r="JGW613" s="294"/>
      <c r="JGX613" s="294"/>
      <c r="JGY613" s="294"/>
      <c r="JGZ613" s="294"/>
      <c r="JHA613" s="294"/>
      <c r="JHB613" s="294"/>
      <c r="JHC613" s="294"/>
      <c r="JHD613" s="294"/>
      <c r="JHE613" s="294"/>
      <c r="JHF613" s="294"/>
      <c r="JHG613" s="294"/>
      <c r="JHH613" s="294"/>
      <c r="JHI613" s="294"/>
      <c r="JHJ613" s="294"/>
      <c r="JHK613" s="294"/>
      <c r="JHL613" s="294"/>
      <c r="JHM613" s="294"/>
      <c r="JHN613" s="294"/>
      <c r="JHO613" s="294"/>
      <c r="JHP613" s="294"/>
      <c r="JHQ613" s="294"/>
      <c r="JHR613" s="294"/>
      <c r="JHS613" s="294"/>
      <c r="JHT613" s="294"/>
      <c r="JHU613" s="294"/>
      <c r="JHV613" s="294"/>
      <c r="JHW613" s="294"/>
      <c r="JHX613" s="294"/>
      <c r="JHY613" s="294"/>
      <c r="JHZ613" s="294"/>
      <c r="JIA613" s="294"/>
      <c r="JIB613" s="294"/>
      <c r="JIC613" s="294"/>
      <c r="JID613" s="294"/>
      <c r="JIE613" s="294"/>
      <c r="JIF613" s="294"/>
      <c r="JIG613" s="294"/>
      <c r="JIH613" s="294"/>
      <c r="JII613" s="294"/>
      <c r="JIJ613" s="294"/>
      <c r="JIK613" s="294"/>
      <c r="JIL613" s="294"/>
      <c r="JIM613" s="294"/>
      <c r="JIN613" s="294"/>
      <c r="JIO613" s="294"/>
      <c r="JIP613" s="294"/>
      <c r="JIQ613" s="294"/>
      <c r="JIR613" s="294"/>
      <c r="JIS613" s="294"/>
      <c r="JIT613" s="294"/>
      <c r="JIU613" s="294"/>
      <c r="JIV613" s="294"/>
      <c r="JIW613" s="294"/>
      <c r="JIX613" s="294"/>
      <c r="JIY613" s="294"/>
      <c r="JIZ613" s="294"/>
      <c r="JJA613" s="294"/>
      <c r="JJB613" s="294"/>
      <c r="JJC613" s="294"/>
      <c r="JJD613" s="294"/>
      <c r="JJE613" s="294"/>
      <c r="JJF613" s="294"/>
      <c r="JJG613" s="294"/>
      <c r="JJH613" s="294"/>
      <c r="JJI613" s="294"/>
      <c r="JJJ613" s="294"/>
      <c r="JJK613" s="294"/>
      <c r="JJL613" s="294"/>
      <c r="JJM613" s="294"/>
      <c r="JJN613" s="294"/>
      <c r="JJO613" s="294"/>
      <c r="JJP613" s="294"/>
      <c r="JJQ613" s="294"/>
      <c r="JJR613" s="294"/>
      <c r="JJS613" s="294"/>
      <c r="JJT613" s="294"/>
      <c r="JJU613" s="294"/>
      <c r="JJV613" s="294"/>
      <c r="JJW613" s="294"/>
      <c r="JJX613" s="294"/>
      <c r="JJY613" s="294"/>
      <c r="JJZ613" s="294"/>
      <c r="JKA613" s="294"/>
      <c r="JKB613" s="294"/>
      <c r="JKC613" s="294"/>
      <c r="JKD613" s="294"/>
      <c r="JKE613" s="294"/>
      <c r="JKF613" s="294"/>
      <c r="JKG613" s="294"/>
      <c r="JKH613" s="294"/>
      <c r="JKI613" s="294"/>
      <c r="JKJ613" s="294"/>
      <c r="JKK613" s="294"/>
      <c r="JKL613" s="294"/>
      <c r="JKM613" s="294"/>
      <c r="JKN613" s="294"/>
      <c r="JKO613" s="294"/>
      <c r="JKP613" s="294"/>
      <c r="JKQ613" s="294"/>
      <c r="JKR613" s="294"/>
      <c r="JKS613" s="294"/>
      <c r="JKT613" s="294"/>
      <c r="JKU613" s="294"/>
      <c r="JKV613" s="294"/>
      <c r="JKW613" s="294"/>
      <c r="JKX613" s="294"/>
      <c r="JKY613" s="294"/>
      <c r="JKZ613" s="294"/>
      <c r="JLA613" s="294"/>
      <c r="JLB613" s="294"/>
      <c r="JLC613" s="294"/>
      <c r="JLD613" s="294"/>
      <c r="JLE613" s="294"/>
      <c r="JLF613" s="294"/>
      <c r="JLG613" s="294"/>
      <c r="JLH613" s="294"/>
      <c r="JLI613" s="294"/>
      <c r="JLJ613" s="294"/>
      <c r="JLK613" s="294"/>
      <c r="JLL613" s="294"/>
      <c r="JLM613" s="294"/>
      <c r="JLN613" s="294"/>
      <c r="JLO613" s="294"/>
      <c r="JLP613" s="294"/>
      <c r="JLQ613" s="294"/>
      <c r="JLR613" s="294"/>
      <c r="JLS613" s="294"/>
      <c r="JLT613" s="294"/>
      <c r="JLU613" s="294"/>
      <c r="JLV613" s="294"/>
      <c r="JLW613" s="294"/>
      <c r="JLX613" s="294"/>
      <c r="JLY613" s="294"/>
      <c r="JLZ613" s="294"/>
      <c r="JMA613" s="294"/>
      <c r="JMB613" s="294"/>
      <c r="JMC613" s="294"/>
      <c r="JMD613" s="294"/>
      <c r="JME613" s="294"/>
      <c r="JMF613" s="294"/>
      <c r="JMG613" s="294"/>
      <c r="JMH613" s="294"/>
      <c r="JMI613" s="294"/>
      <c r="JMJ613" s="294"/>
      <c r="JMK613" s="294"/>
      <c r="JML613" s="294"/>
      <c r="JMM613" s="294"/>
      <c r="JMN613" s="294"/>
      <c r="JMO613" s="294"/>
      <c r="JMP613" s="294"/>
      <c r="JMQ613" s="294"/>
      <c r="JMR613" s="294"/>
      <c r="JMS613" s="294"/>
      <c r="JMT613" s="294"/>
      <c r="JMU613" s="294"/>
      <c r="JMV613" s="294"/>
      <c r="JMW613" s="294"/>
      <c r="JMX613" s="294"/>
      <c r="JMY613" s="294"/>
      <c r="JMZ613" s="294"/>
      <c r="JNA613" s="294"/>
      <c r="JNB613" s="294"/>
      <c r="JNC613" s="294"/>
      <c r="JND613" s="294"/>
      <c r="JNE613" s="294"/>
      <c r="JNF613" s="294"/>
      <c r="JNG613" s="294"/>
      <c r="JNH613" s="294"/>
      <c r="JNI613" s="294"/>
      <c r="JNJ613" s="294"/>
      <c r="JNK613" s="294"/>
      <c r="JNL613" s="294"/>
      <c r="JNM613" s="294"/>
      <c r="JNN613" s="294"/>
      <c r="JNO613" s="294"/>
      <c r="JNP613" s="294"/>
      <c r="JNQ613" s="294"/>
      <c r="JNR613" s="294"/>
      <c r="JNS613" s="294"/>
      <c r="JNT613" s="294"/>
      <c r="JNU613" s="294"/>
      <c r="JNV613" s="294"/>
      <c r="JNW613" s="294"/>
      <c r="JNX613" s="294"/>
      <c r="JNY613" s="294"/>
      <c r="JNZ613" s="294"/>
      <c r="JOA613" s="294"/>
      <c r="JOB613" s="294"/>
      <c r="JOC613" s="294"/>
      <c r="JOD613" s="294"/>
      <c r="JOE613" s="294"/>
      <c r="JOF613" s="294"/>
      <c r="JOG613" s="294"/>
      <c r="JOH613" s="294"/>
      <c r="JOI613" s="294"/>
      <c r="JOJ613" s="294"/>
      <c r="JOK613" s="294"/>
      <c r="JOL613" s="294"/>
      <c r="JOM613" s="294"/>
      <c r="JON613" s="294"/>
      <c r="JOO613" s="294"/>
      <c r="JOP613" s="294"/>
      <c r="JOQ613" s="294"/>
      <c r="JOR613" s="294"/>
      <c r="JOS613" s="294"/>
      <c r="JOT613" s="294"/>
      <c r="JOU613" s="294"/>
      <c r="JOV613" s="294"/>
      <c r="JOW613" s="294"/>
      <c r="JOX613" s="294"/>
      <c r="JOY613" s="294"/>
      <c r="JOZ613" s="294"/>
      <c r="JPA613" s="294"/>
      <c r="JPB613" s="294"/>
      <c r="JPC613" s="294"/>
      <c r="JPD613" s="294"/>
      <c r="JPE613" s="294"/>
      <c r="JPF613" s="294"/>
      <c r="JPG613" s="294"/>
      <c r="JPH613" s="294"/>
      <c r="JPI613" s="294"/>
      <c r="JPJ613" s="294"/>
      <c r="JPK613" s="294"/>
      <c r="JPL613" s="294"/>
      <c r="JPM613" s="294"/>
      <c r="JPN613" s="294"/>
      <c r="JPO613" s="294"/>
      <c r="JPP613" s="294"/>
      <c r="JPQ613" s="294"/>
      <c r="JPR613" s="294"/>
      <c r="JPS613" s="294"/>
      <c r="JPT613" s="294"/>
      <c r="JPU613" s="294"/>
      <c r="JPV613" s="294"/>
      <c r="JPW613" s="294"/>
      <c r="JPX613" s="294"/>
      <c r="JPY613" s="294"/>
      <c r="JPZ613" s="294"/>
      <c r="JQA613" s="294"/>
      <c r="JQB613" s="294"/>
      <c r="JQC613" s="294"/>
      <c r="JQD613" s="294"/>
      <c r="JQE613" s="294"/>
      <c r="JQF613" s="294"/>
      <c r="JQG613" s="294"/>
      <c r="JQH613" s="294"/>
      <c r="JQI613" s="294"/>
      <c r="JQJ613" s="294"/>
      <c r="JQK613" s="294"/>
      <c r="JQL613" s="294"/>
      <c r="JQM613" s="294"/>
      <c r="JQN613" s="294"/>
      <c r="JQO613" s="294"/>
      <c r="JQP613" s="294"/>
      <c r="JQQ613" s="294"/>
      <c r="JQR613" s="294"/>
      <c r="JQS613" s="294"/>
      <c r="JQT613" s="294"/>
      <c r="JQU613" s="294"/>
      <c r="JQV613" s="294"/>
      <c r="JQW613" s="294"/>
      <c r="JQX613" s="294"/>
      <c r="JQY613" s="294"/>
      <c r="JQZ613" s="294"/>
      <c r="JRA613" s="294"/>
      <c r="JRB613" s="294"/>
      <c r="JRC613" s="294"/>
      <c r="JRD613" s="294"/>
      <c r="JRE613" s="294"/>
      <c r="JRF613" s="294"/>
      <c r="JRG613" s="294"/>
      <c r="JRH613" s="294"/>
      <c r="JRI613" s="294"/>
      <c r="JRJ613" s="294"/>
      <c r="JRK613" s="294"/>
      <c r="JRL613" s="294"/>
      <c r="JRM613" s="294"/>
      <c r="JRN613" s="294"/>
      <c r="JRO613" s="294"/>
      <c r="JRP613" s="294"/>
      <c r="JRQ613" s="294"/>
      <c r="JRR613" s="294"/>
      <c r="JRS613" s="294"/>
      <c r="JRT613" s="294"/>
      <c r="JRU613" s="294"/>
      <c r="JRV613" s="294"/>
      <c r="JRW613" s="294"/>
      <c r="JRX613" s="294"/>
      <c r="JRY613" s="294"/>
      <c r="JRZ613" s="294"/>
      <c r="JSA613" s="294"/>
      <c r="JSB613" s="294"/>
      <c r="JSC613" s="294"/>
      <c r="JSD613" s="294"/>
      <c r="JSE613" s="294"/>
      <c r="JSF613" s="294"/>
      <c r="JSG613" s="294"/>
      <c r="JSH613" s="294"/>
      <c r="JSI613" s="294"/>
      <c r="JSJ613" s="294"/>
      <c r="JSK613" s="294"/>
      <c r="JSL613" s="294"/>
      <c r="JSM613" s="294"/>
      <c r="JSN613" s="294"/>
      <c r="JSO613" s="294"/>
      <c r="JSP613" s="294"/>
      <c r="JSQ613" s="294"/>
      <c r="JSR613" s="294"/>
      <c r="JSS613" s="294"/>
      <c r="JST613" s="294"/>
      <c r="JSU613" s="294"/>
      <c r="JSV613" s="294"/>
      <c r="JSW613" s="294"/>
      <c r="JSX613" s="294"/>
      <c r="JSY613" s="294"/>
      <c r="JSZ613" s="294"/>
      <c r="JTA613" s="294"/>
      <c r="JTB613" s="294"/>
      <c r="JTC613" s="294"/>
      <c r="JTD613" s="294"/>
      <c r="JTE613" s="294"/>
      <c r="JTF613" s="294"/>
      <c r="JTG613" s="294"/>
      <c r="JTH613" s="294"/>
      <c r="JTI613" s="294"/>
      <c r="JTJ613" s="294"/>
      <c r="JTK613" s="294"/>
      <c r="JTL613" s="294"/>
      <c r="JTM613" s="294"/>
      <c r="JTN613" s="294"/>
      <c r="JTO613" s="294"/>
      <c r="JTP613" s="294"/>
      <c r="JTQ613" s="294"/>
      <c r="JTR613" s="294"/>
      <c r="JTS613" s="294"/>
      <c r="JTT613" s="294"/>
      <c r="JTU613" s="294"/>
      <c r="JTV613" s="294"/>
      <c r="JTW613" s="294"/>
      <c r="JTX613" s="294"/>
      <c r="JTY613" s="294"/>
      <c r="JTZ613" s="294"/>
      <c r="JUA613" s="294"/>
      <c r="JUB613" s="294"/>
      <c r="JUC613" s="294"/>
      <c r="JUD613" s="294"/>
      <c r="JUE613" s="294"/>
      <c r="JUF613" s="294"/>
      <c r="JUG613" s="294"/>
      <c r="JUH613" s="294"/>
      <c r="JUI613" s="294"/>
      <c r="JUJ613" s="294"/>
      <c r="JUK613" s="294"/>
      <c r="JUL613" s="294"/>
      <c r="JUM613" s="294"/>
      <c r="JUN613" s="294"/>
      <c r="JUO613" s="294"/>
      <c r="JUP613" s="294"/>
      <c r="JUQ613" s="294"/>
      <c r="JUR613" s="294"/>
      <c r="JUS613" s="294"/>
      <c r="JUT613" s="294"/>
      <c r="JUU613" s="294"/>
      <c r="JUV613" s="294"/>
      <c r="JUW613" s="294"/>
      <c r="JUX613" s="294"/>
      <c r="JUY613" s="294"/>
      <c r="JUZ613" s="294"/>
      <c r="JVA613" s="294"/>
      <c r="JVB613" s="294"/>
      <c r="JVC613" s="294"/>
      <c r="JVD613" s="294"/>
      <c r="JVE613" s="294"/>
      <c r="JVF613" s="294"/>
      <c r="JVG613" s="294"/>
      <c r="JVH613" s="294"/>
      <c r="JVI613" s="294"/>
      <c r="JVJ613" s="294"/>
      <c r="JVK613" s="294"/>
      <c r="JVL613" s="294"/>
      <c r="JVM613" s="294"/>
      <c r="JVN613" s="294"/>
      <c r="JVO613" s="294"/>
      <c r="JVP613" s="294"/>
      <c r="JVQ613" s="294"/>
      <c r="JVR613" s="294"/>
      <c r="JVS613" s="294"/>
      <c r="JVT613" s="294"/>
      <c r="JVU613" s="294"/>
      <c r="JVV613" s="294"/>
      <c r="JVW613" s="294"/>
      <c r="JVX613" s="294"/>
      <c r="JVY613" s="294"/>
      <c r="JVZ613" s="294"/>
      <c r="JWA613" s="294"/>
      <c r="JWB613" s="294"/>
      <c r="JWC613" s="294"/>
      <c r="JWD613" s="294"/>
      <c r="JWE613" s="294"/>
      <c r="JWF613" s="294"/>
      <c r="JWG613" s="294"/>
      <c r="JWH613" s="294"/>
      <c r="JWI613" s="294"/>
      <c r="JWJ613" s="294"/>
      <c r="JWK613" s="294"/>
      <c r="JWL613" s="294"/>
      <c r="JWM613" s="294"/>
      <c r="JWN613" s="294"/>
      <c r="JWO613" s="294"/>
      <c r="JWP613" s="294"/>
      <c r="JWQ613" s="294"/>
      <c r="JWR613" s="294"/>
      <c r="JWS613" s="294"/>
      <c r="JWT613" s="294"/>
      <c r="JWU613" s="294"/>
      <c r="JWV613" s="294"/>
      <c r="JWW613" s="294"/>
      <c r="JWX613" s="294"/>
      <c r="JWY613" s="294"/>
      <c r="JWZ613" s="294"/>
      <c r="JXA613" s="294"/>
      <c r="JXB613" s="294"/>
      <c r="JXC613" s="294"/>
      <c r="JXD613" s="294"/>
      <c r="JXE613" s="294"/>
      <c r="JXF613" s="294"/>
      <c r="JXG613" s="294"/>
      <c r="JXH613" s="294"/>
      <c r="JXI613" s="294"/>
      <c r="JXJ613" s="294"/>
      <c r="JXK613" s="294"/>
      <c r="JXL613" s="294"/>
      <c r="JXM613" s="294"/>
      <c r="JXN613" s="294"/>
      <c r="JXO613" s="294"/>
      <c r="JXP613" s="294"/>
      <c r="JXQ613" s="294"/>
      <c r="JXR613" s="294"/>
      <c r="JXS613" s="294"/>
      <c r="JXT613" s="294"/>
      <c r="JXU613" s="294"/>
      <c r="JXV613" s="294"/>
      <c r="JXW613" s="294"/>
      <c r="JXX613" s="294"/>
      <c r="JXY613" s="294"/>
      <c r="JXZ613" s="294"/>
      <c r="JYA613" s="294"/>
      <c r="JYB613" s="294"/>
      <c r="JYC613" s="294"/>
      <c r="JYD613" s="294"/>
      <c r="JYE613" s="294"/>
      <c r="JYF613" s="294"/>
      <c r="JYG613" s="294"/>
      <c r="JYH613" s="294"/>
      <c r="JYI613" s="294"/>
      <c r="JYJ613" s="294"/>
      <c r="JYK613" s="294"/>
      <c r="JYL613" s="294"/>
      <c r="JYM613" s="294"/>
      <c r="JYN613" s="294"/>
      <c r="JYO613" s="294"/>
      <c r="JYP613" s="294"/>
      <c r="JYQ613" s="294"/>
      <c r="JYR613" s="294"/>
      <c r="JYS613" s="294"/>
      <c r="JYT613" s="294"/>
      <c r="JYU613" s="294"/>
      <c r="JYV613" s="294"/>
      <c r="JYW613" s="294"/>
      <c r="JYX613" s="294"/>
      <c r="JYY613" s="294"/>
      <c r="JYZ613" s="294"/>
      <c r="JZA613" s="294"/>
      <c r="JZB613" s="294"/>
      <c r="JZC613" s="294"/>
      <c r="JZD613" s="294"/>
      <c r="JZE613" s="294"/>
      <c r="JZF613" s="294"/>
      <c r="JZG613" s="294"/>
      <c r="JZH613" s="294"/>
      <c r="JZI613" s="294"/>
      <c r="JZJ613" s="294"/>
      <c r="JZK613" s="294"/>
      <c r="JZL613" s="294"/>
      <c r="JZM613" s="294"/>
      <c r="JZN613" s="294"/>
      <c r="JZO613" s="294"/>
      <c r="JZP613" s="294"/>
      <c r="JZQ613" s="294"/>
      <c r="JZR613" s="294"/>
      <c r="JZS613" s="294"/>
      <c r="JZT613" s="294"/>
      <c r="JZU613" s="294"/>
      <c r="JZV613" s="294"/>
      <c r="JZW613" s="294"/>
      <c r="JZX613" s="294"/>
      <c r="JZY613" s="294"/>
      <c r="JZZ613" s="294"/>
      <c r="KAA613" s="294"/>
      <c r="KAB613" s="294"/>
      <c r="KAC613" s="294"/>
      <c r="KAD613" s="294"/>
      <c r="KAE613" s="294"/>
      <c r="KAF613" s="294"/>
      <c r="KAG613" s="294"/>
      <c r="KAH613" s="294"/>
      <c r="KAI613" s="294"/>
      <c r="KAJ613" s="294"/>
      <c r="KAK613" s="294"/>
      <c r="KAL613" s="294"/>
      <c r="KAM613" s="294"/>
      <c r="KAN613" s="294"/>
      <c r="KAO613" s="294"/>
      <c r="KAP613" s="294"/>
      <c r="KAQ613" s="294"/>
      <c r="KAR613" s="294"/>
      <c r="KAS613" s="294"/>
      <c r="KAT613" s="294"/>
      <c r="KAU613" s="294"/>
      <c r="KAV613" s="294"/>
      <c r="KAW613" s="294"/>
      <c r="KAX613" s="294"/>
      <c r="KAY613" s="294"/>
      <c r="KAZ613" s="294"/>
      <c r="KBA613" s="294"/>
      <c r="KBB613" s="294"/>
      <c r="KBC613" s="294"/>
      <c r="KBD613" s="294"/>
      <c r="KBE613" s="294"/>
      <c r="KBF613" s="294"/>
      <c r="KBG613" s="294"/>
      <c r="KBH613" s="294"/>
      <c r="KBI613" s="294"/>
      <c r="KBJ613" s="294"/>
      <c r="KBK613" s="294"/>
      <c r="KBL613" s="294"/>
      <c r="KBM613" s="294"/>
      <c r="KBN613" s="294"/>
      <c r="KBO613" s="294"/>
      <c r="KBP613" s="294"/>
      <c r="KBQ613" s="294"/>
      <c r="KBR613" s="294"/>
      <c r="KBS613" s="294"/>
      <c r="KBT613" s="294"/>
      <c r="KBU613" s="294"/>
      <c r="KBV613" s="294"/>
      <c r="KBW613" s="294"/>
      <c r="KBX613" s="294"/>
      <c r="KBY613" s="294"/>
      <c r="KBZ613" s="294"/>
      <c r="KCA613" s="294"/>
      <c r="KCB613" s="294"/>
      <c r="KCC613" s="294"/>
      <c r="KCD613" s="294"/>
      <c r="KCE613" s="294"/>
      <c r="KCF613" s="294"/>
      <c r="KCG613" s="294"/>
      <c r="KCH613" s="294"/>
      <c r="KCI613" s="294"/>
      <c r="KCJ613" s="294"/>
      <c r="KCK613" s="294"/>
      <c r="KCL613" s="294"/>
      <c r="KCM613" s="294"/>
      <c r="KCN613" s="294"/>
      <c r="KCO613" s="294"/>
      <c r="KCP613" s="294"/>
      <c r="KCQ613" s="294"/>
      <c r="KCR613" s="294"/>
      <c r="KCS613" s="294"/>
      <c r="KCT613" s="294"/>
      <c r="KCU613" s="294"/>
      <c r="KCV613" s="294"/>
      <c r="KCW613" s="294"/>
      <c r="KCX613" s="294"/>
      <c r="KCY613" s="294"/>
      <c r="KCZ613" s="294"/>
      <c r="KDA613" s="294"/>
      <c r="KDB613" s="294"/>
      <c r="KDC613" s="294"/>
      <c r="KDD613" s="294"/>
      <c r="KDE613" s="294"/>
      <c r="KDF613" s="294"/>
      <c r="KDG613" s="294"/>
      <c r="KDH613" s="294"/>
      <c r="KDI613" s="294"/>
      <c r="KDJ613" s="294"/>
      <c r="KDK613" s="294"/>
      <c r="KDL613" s="294"/>
      <c r="KDM613" s="294"/>
      <c r="KDN613" s="294"/>
      <c r="KDO613" s="294"/>
      <c r="KDP613" s="294"/>
      <c r="KDQ613" s="294"/>
      <c r="KDR613" s="294"/>
      <c r="KDS613" s="294"/>
      <c r="KDT613" s="294"/>
      <c r="KDU613" s="294"/>
      <c r="KDV613" s="294"/>
      <c r="KDW613" s="294"/>
      <c r="KDX613" s="294"/>
      <c r="KDY613" s="294"/>
      <c r="KDZ613" s="294"/>
      <c r="KEA613" s="294"/>
      <c r="KEB613" s="294"/>
      <c r="KEC613" s="294"/>
      <c r="KED613" s="294"/>
      <c r="KEE613" s="294"/>
      <c r="KEF613" s="294"/>
      <c r="KEG613" s="294"/>
      <c r="KEH613" s="294"/>
      <c r="KEI613" s="294"/>
      <c r="KEJ613" s="294"/>
      <c r="KEK613" s="294"/>
      <c r="KEL613" s="294"/>
      <c r="KEM613" s="294"/>
      <c r="KEN613" s="294"/>
      <c r="KEO613" s="294"/>
      <c r="KEP613" s="294"/>
      <c r="KEQ613" s="294"/>
      <c r="KER613" s="294"/>
      <c r="KES613" s="294"/>
      <c r="KET613" s="294"/>
      <c r="KEU613" s="294"/>
      <c r="KEV613" s="294"/>
      <c r="KEW613" s="294"/>
      <c r="KEX613" s="294"/>
      <c r="KEY613" s="294"/>
      <c r="KEZ613" s="294"/>
      <c r="KFA613" s="294"/>
      <c r="KFB613" s="294"/>
      <c r="KFC613" s="294"/>
      <c r="KFD613" s="294"/>
      <c r="KFE613" s="294"/>
      <c r="KFF613" s="294"/>
      <c r="KFG613" s="294"/>
      <c r="KFH613" s="294"/>
      <c r="KFI613" s="294"/>
      <c r="KFJ613" s="294"/>
      <c r="KFK613" s="294"/>
      <c r="KFL613" s="294"/>
      <c r="KFM613" s="294"/>
      <c r="KFN613" s="294"/>
      <c r="KFO613" s="294"/>
      <c r="KFP613" s="294"/>
      <c r="KFQ613" s="294"/>
      <c r="KFR613" s="294"/>
      <c r="KFS613" s="294"/>
      <c r="KFT613" s="294"/>
      <c r="KFU613" s="294"/>
      <c r="KFV613" s="294"/>
      <c r="KFW613" s="294"/>
      <c r="KFX613" s="294"/>
      <c r="KFY613" s="294"/>
      <c r="KFZ613" s="294"/>
      <c r="KGA613" s="294"/>
      <c r="KGB613" s="294"/>
      <c r="KGC613" s="294"/>
      <c r="KGD613" s="294"/>
      <c r="KGE613" s="294"/>
      <c r="KGF613" s="294"/>
      <c r="KGG613" s="294"/>
      <c r="KGH613" s="294"/>
      <c r="KGI613" s="294"/>
      <c r="KGJ613" s="294"/>
      <c r="KGK613" s="294"/>
      <c r="KGL613" s="294"/>
      <c r="KGM613" s="294"/>
      <c r="KGN613" s="294"/>
      <c r="KGO613" s="294"/>
      <c r="KGP613" s="294"/>
      <c r="KGQ613" s="294"/>
      <c r="KGR613" s="294"/>
      <c r="KGS613" s="294"/>
      <c r="KGT613" s="294"/>
      <c r="KGU613" s="294"/>
      <c r="KGV613" s="294"/>
      <c r="KGW613" s="294"/>
      <c r="KGX613" s="294"/>
      <c r="KGY613" s="294"/>
      <c r="KGZ613" s="294"/>
      <c r="KHA613" s="294"/>
      <c r="KHB613" s="294"/>
      <c r="KHC613" s="294"/>
      <c r="KHD613" s="294"/>
      <c r="KHE613" s="294"/>
      <c r="KHF613" s="294"/>
      <c r="KHG613" s="294"/>
      <c r="KHH613" s="294"/>
      <c r="KHI613" s="294"/>
      <c r="KHJ613" s="294"/>
      <c r="KHK613" s="294"/>
      <c r="KHL613" s="294"/>
      <c r="KHM613" s="294"/>
      <c r="KHN613" s="294"/>
      <c r="KHO613" s="294"/>
      <c r="KHP613" s="294"/>
      <c r="KHQ613" s="294"/>
      <c r="KHR613" s="294"/>
      <c r="KHS613" s="294"/>
      <c r="KHT613" s="294"/>
      <c r="KHU613" s="294"/>
      <c r="KHV613" s="294"/>
      <c r="KHW613" s="294"/>
      <c r="KHX613" s="294"/>
      <c r="KHY613" s="294"/>
      <c r="KHZ613" s="294"/>
      <c r="KIA613" s="294"/>
      <c r="KIB613" s="294"/>
      <c r="KIC613" s="294"/>
      <c r="KID613" s="294"/>
      <c r="KIE613" s="294"/>
      <c r="KIF613" s="294"/>
      <c r="KIG613" s="294"/>
      <c r="KIH613" s="294"/>
      <c r="KII613" s="294"/>
      <c r="KIJ613" s="294"/>
      <c r="KIK613" s="294"/>
      <c r="KIL613" s="294"/>
      <c r="KIM613" s="294"/>
      <c r="KIN613" s="294"/>
      <c r="KIO613" s="294"/>
      <c r="KIP613" s="294"/>
      <c r="KIQ613" s="294"/>
      <c r="KIR613" s="294"/>
      <c r="KIS613" s="294"/>
      <c r="KIT613" s="294"/>
      <c r="KIU613" s="294"/>
      <c r="KIV613" s="294"/>
      <c r="KIW613" s="294"/>
      <c r="KIX613" s="294"/>
      <c r="KIY613" s="294"/>
      <c r="KIZ613" s="294"/>
      <c r="KJA613" s="294"/>
      <c r="KJB613" s="294"/>
      <c r="KJC613" s="294"/>
      <c r="KJD613" s="294"/>
      <c r="KJE613" s="294"/>
      <c r="KJF613" s="294"/>
      <c r="KJG613" s="294"/>
      <c r="KJH613" s="294"/>
      <c r="KJI613" s="294"/>
      <c r="KJJ613" s="294"/>
      <c r="KJK613" s="294"/>
      <c r="KJL613" s="294"/>
      <c r="KJM613" s="294"/>
      <c r="KJN613" s="294"/>
      <c r="KJO613" s="294"/>
      <c r="KJP613" s="294"/>
      <c r="KJQ613" s="294"/>
      <c r="KJR613" s="294"/>
      <c r="KJS613" s="294"/>
      <c r="KJT613" s="294"/>
      <c r="KJU613" s="294"/>
      <c r="KJV613" s="294"/>
      <c r="KJW613" s="294"/>
      <c r="KJX613" s="294"/>
      <c r="KJY613" s="294"/>
      <c r="KJZ613" s="294"/>
      <c r="KKA613" s="294"/>
      <c r="KKB613" s="294"/>
      <c r="KKC613" s="294"/>
      <c r="KKD613" s="294"/>
      <c r="KKE613" s="294"/>
      <c r="KKF613" s="294"/>
      <c r="KKG613" s="294"/>
      <c r="KKH613" s="294"/>
      <c r="KKI613" s="294"/>
      <c r="KKJ613" s="294"/>
      <c r="KKK613" s="294"/>
      <c r="KKL613" s="294"/>
      <c r="KKM613" s="294"/>
      <c r="KKN613" s="294"/>
      <c r="KKO613" s="294"/>
      <c r="KKP613" s="294"/>
      <c r="KKQ613" s="294"/>
      <c r="KKR613" s="294"/>
      <c r="KKS613" s="294"/>
      <c r="KKT613" s="294"/>
      <c r="KKU613" s="294"/>
      <c r="KKV613" s="294"/>
      <c r="KKW613" s="294"/>
      <c r="KKX613" s="294"/>
      <c r="KKY613" s="294"/>
      <c r="KKZ613" s="294"/>
      <c r="KLA613" s="294"/>
      <c r="KLB613" s="294"/>
      <c r="KLC613" s="294"/>
      <c r="KLD613" s="294"/>
      <c r="KLE613" s="294"/>
      <c r="KLF613" s="294"/>
      <c r="KLG613" s="294"/>
      <c r="KLH613" s="294"/>
      <c r="KLI613" s="294"/>
      <c r="KLJ613" s="294"/>
      <c r="KLK613" s="294"/>
      <c r="KLL613" s="294"/>
      <c r="KLM613" s="294"/>
      <c r="KLN613" s="294"/>
      <c r="KLO613" s="294"/>
      <c r="KLP613" s="294"/>
      <c r="KLQ613" s="294"/>
      <c r="KLR613" s="294"/>
      <c r="KLS613" s="294"/>
      <c r="KLT613" s="294"/>
      <c r="KLU613" s="294"/>
      <c r="KLV613" s="294"/>
      <c r="KLW613" s="294"/>
      <c r="KLX613" s="294"/>
      <c r="KLY613" s="294"/>
      <c r="KLZ613" s="294"/>
      <c r="KMA613" s="294"/>
      <c r="KMB613" s="294"/>
      <c r="KMC613" s="294"/>
      <c r="KMD613" s="294"/>
      <c r="KME613" s="294"/>
      <c r="KMF613" s="294"/>
      <c r="KMG613" s="294"/>
      <c r="KMH613" s="294"/>
      <c r="KMI613" s="294"/>
      <c r="KMJ613" s="294"/>
      <c r="KMK613" s="294"/>
      <c r="KML613" s="294"/>
      <c r="KMM613" s="294"/>
      <c r="KMN613" s="294"/>
      <c r="KMO613" s="294"/>
      <c r="KMP613" s="294"/>
      <c r="KMQ613" s="294"/>
      <c r="KMR613" s="294"/>
      <c r="KMS613" s="294"/>
      <c r="KMT613" s="294"/>
      <c r="KMU613" s="294"/>
      <c r="KMV613" s="294"/>
      <c r="KMW613" s="294"/>
      <c r="KMX613" s="294"/>
      <c r="KMY613" s="294"/>
      <c r="KMZ613" s="294"/>
      <c r="KNA613" s="294"/>
      <c r="KNB613" s="294"/>
      <c r="KNC613" s="294"/>
      <c r="KND613" s="294"/>
      <c r="KNE613" s="294"/>
      <c r="KNF613" s="294"/>
      <c r="KNG613" s="294"/>
      <c r="KNH613" s="294"/>
      <c r="KNI613" s="294"/>
      <c r="KNJ613" s="294"/>
      <c r="KNK613" s="294"/>
      <c r="KNL613" s="294"/>
      <c r="KNM613" s="294"/>
      <c r="KNN613" s="294"/>
      <c r="KNO613" s="294"/>
      <c r="KNP613" s="294"/>
      <c r="KNQ613" s="294"/>
      <c r="KNR613" s="294"/>
      <c r="KNS613" s="294"/>
      <c r="KNT613" s="294"/>
      <c r="KNU613" s="294"/>
      <c r="KNV613" s="294"/>
      <c r="KNW613" s="294"/>
      <c r="KNX613" s="294"/>
      <c r="KNY613" s="294"/>
      <c r="KNZ613" s="294"/>
      <c r="KOA613" s="294"/>
      <c r="KOB613" s="294"/>
      <c r="KOC613" s="294"/>
      <c r="KOD613" s="294"/>
      <c r="KOE613" s="294"/>
      <c r="KOF613" s="294"/>
      <c r="KOG613" s="294"/>
      <c r="KOH613" s="294"/>
      <c r="KOI613" s="294"/>
      <c r="KOJ613" s="294"/>
      <c r="KOK613" s="294"/>
      <c r="KOL613" s="294"/>
      <c r="KOM613" s="294"/>
      <c r="KON613" s="294"/>
      <c r="KOO613" s="294"/>
      <c r="KOP613" s="294"/>
      <c r="KOQ613" s="294"/>
      <c r="KOR613" s="294"/>
      <c r="KOS613" s="294"/>
      <c r="KOT613" s="294"/>
      <c r="KOU613" s="294"/>
      <c r="KOV613" s="294"/>
      <c r="KOW613" s="294"/>
      <c r="KOX613" s="294"/>
      <c r="KOY613" s="294"/>
      <c r="KOZ613" s="294"/>
      <c r="KPA613" s="294"/>
      <c r="KPB613" s="294"/>
      <c r="KPC613" s="294"/>
      <c r="KPD613" s="294"/>
      <c r="KPE613" s="294"/>
      <c r="KPF613" s="294"/>
      <c r="KPG613" s="294"/>
      <c r="KPH613" s="294"/>
      <c r="KPI613" s="294"/>
      <c r="KPJ613" s="294"/>
      <c r="KPK613" s="294"/>
      <c r="KPL613" s="294"/>
      <c r="KPM613" s="294"/>
      <c r="KPN613" s="294"/>
      <c r="KPO613" s="294"/>
      <c r="KPP613" s="294"/>
      <c r="KPQ613" s="294"/>
      <c r="KPR613" s="294"/>
      <c r="KPS613" s="294"/>
      <c r="KPT613" s="294"/>
      <c r="KPU613" s="294"/>
      <c r="KPV613" s="294"/>
      <c r="KPW613" s="294"/>
      <c r="KPX613" s="294"/>
      <c r="KPY613" s="294"/>
      <c r="KPZ613" s="294"/>
      <c r="KQA613" s="294"/>
      <c r="KQB613" s="294"/>
      <c r="KQC613" s="294"/>
      <c r="KQD613" s="294"/>
      <c r="KQE613" s="294"/>
      <c r="KQF613" s="294"/>
      <c r="KQG613" s="294"/>
      <c r="KQH613" s="294"/>
      <c r="KQI613" s="294"/>
      <c r="KQJ613" s="294"/>
      <c r="KQK613" s="294"/>
      <c r="KQL613" s="294"/>
      <c r="KQM613" s="294"/>
      <c r="KQN613" s="294"/>
      <c r="KQO613" s="294"/>
      <c r="KQP613" s="294"/>
      <c r="KQQ613" s="294"/>
      <c r="KQR613" s="294"/>
      <c r="KQS613" s="294"/>
      <c r="KQT613" s="294"/>
      <c r="KQU613" s="294"/>
      <c r="KQV613" s="294"/>
      <c r="KQW613" s="294"/>
      <c r="KQX613" s="294"/>
      <c r="KQY613" s="294"/>
      <c r="KQZ613" s="294"/>
      <c r="KRA613" s="294"/>
      <c r="KRB613" s="294"/>
      <c r="KRC613" s="294"/>
      <c r="KRD613" s="294"/>
      <c r="KRE613" s="294"/>
      <c r="KRF613" s="294"/>
      <c r="KRG613" s="294"/>
      <c r="KRH613" s="294"/>
      <c r="KRI613" s="294"/>
      <c r="KRJ613" s="294"/>
      <c r="KRK613" s="294"/>
      <c r="KRL613" s="294"/>
      <c r="KRM613" s="294"/>
      <c r="KRN613" s="294"/>
      <c r="KRO613" s="294"/>
      <c r="KRP613" s="294"/>
      <c r="KRQ613" s="294"/>
      <c r="KRR613" s="294"/>
      <c r="KRS613" s="294"/>
      <c r="KRT613" s="294"/>
      <c r="KRU613" s="294"/>
      <c r="KRV613" s="294"/>
      <c r="KRW613" s="294"/>
      <c r="KRX613" s="294"/>
      <c r="KRY613" s="294"/>
      <c r="KRZ613" s="294"/>
      <c r="KSA613" s="294"/>
      <c r="KSB613" s="294"/>
      <c r="KSC613" s="294"/>
      <c r="KSD613" s="294"/>
      <c r="KSE613" s="294"/>
      <c r="KSF613" s="294"/>
      <c r="KSG613" s="294"/>
      <c r="KSH613" s="294"/>
      <c r="KSI613" s="294"/>
      <c r="KSJ613" s="294"/>
      <c r="KSK613" s="294"/>
      <c r="KSL613" s="294"/>
      <c r="KSM613" s="294"/>
      <c r="KSN613" s="294"/>
      <c r="KSO613" s="294"/>
      <c r="KSP613" s="294"/>
      <c r="KSQ613" s="294"/>
      <c r="KSR613" s="294"/>
      <c r="KSS613" s="294"/>
      <c r="KST613" s="294"/>
      <c r="KSU613" s="294"/>
      <c r="KSV613" s="294"/>
      <c r="KSW613" s="294"/>
      <c r="KSX613" s="294"/>
      <c r="KSY613" s="294"/>
      <c r="KSZ613" s="294"/>
      <c r="KTA613" s="294"/>
      <c r="KTB613" s="294"/>
      <c r="KTC613" s="294"/>
      <c r="KTD613" s="294"/>
      <c r="KTE613" s="294"/>
      <c r="KTF613" s="294"/>
      <c r="KTG613" s="294"/>
      <c r="KTH613" s="294"/>
      <c r="KTI613" s="294"/>
      <c r="KTJ613" s="294"/>
      <c r="KTK613" s="294"/>
      <c r="KTL613" s="294"/>
      <c r="KTM613" s="294"/>
      <c r="KTN613" s="294"/>
      <c r="KTO613" s="294"/>
      <c r="KTP613" s="294"/>
      <c r="KTQ613" s="294"/>
      <c r="KTR613" s="294"/>
      <c r="KTS613" s="294"/>
      <c r="KTT613" s="294"/>
      <c r="KTU613" s="294"/>
      <c r="KTV613" s="294"/>
      <c r="KTW613" s="294"/>
      <c r="KTX613" s="294"/>
      <c r="KTY613" s="294"/>
      <c r="KTZ613" s="294"/>
      <c r="KUA613" s="294"/>
      <c r="KUB613" s="294"/>
      <c r="KUC613" s="294"/>
      <c r="KUD613" s="294"/>
      <c r="KUE613" s="294"/>
      <c r="KUF613" s="294"/>
      <c r="KUG613" s="294"/>
      <c r="KUH613" s="294"/>
      <c r="KUI613" s="294"/>
      <c r="KUJ613" s="294"/>
      <c r="KUK613" s="294"/>
      <c r="KUL613" s="294"/>
      <c r="KUM613" s="294"/>
      <c r="KUN613" s="294"/>
      <c r="KUO613" s="294"/>
      <c r="KUP613" s="294"/>
      <c r="KUQ613" s="294"/>
      <c r="KUR613" s="294"/>
      <c r="KUS613" s="294"/>
      <c r="KUT613" s="294"/>
      <c r="KUU613" s="294"/>
      <c r="KUV613" s="294"/>
      <c r="KUW613" s="294"/>
      <c r="KUX613" s="294"/>
      <c r="KUY613" s="294"/>
      <c r="KUZ613" s="294"/>
      <c r="KVA613" s="294"/>
      <c r="KVB613" s="294"/>
      <c r="KVC613" s="294"/>
      <c r="KVD613" s="294"/>
      <c r="KVE613" s="294"/>
      <c r="KVF613" s="294"/>
      <c r="KVG613" s="294"/>
      <c r="KVH613" s="294"/>
      <c r="KVI613" s="294"/>
      <c r="KVJ613" s="294"/>
      <c r="KVK613" s="294"/>
      <c r="KVL613" s="294"/>
      <c r="KVM613" s="294"/>
      <c r="KVN613" s="294"/>
      <c r="KVO613" s="294"/>
      <c r="KVP613" s="294"/>
      <c r="KVQ613" s="294"/>
      <c r="KVR613" s="294"/>
      <c r="KVS613" s="294"/>
      <c r="KVT613" s="294"/>
      <c r="KVU613" s="294"/>
      <c r="KVV613" s="294"/>
      <c r="KVW613" s="294"/>
      <c r="KVX613" s="294"/>
      <c r="KVY613" s="294"/>
      <c r="KVZ613" s="294"/>
      <c r="KWA613" s="294"/>
      <c r="KWB613" s="294"/>
      <c r="KWC613" s="294"/>
      <c r="KWD613" s="294"/>
      <c r="KWE613" s="294"/>
      <c r="KWF613" s="294"/>
      <c r="KWG613" s="294"/>
      <c r="KWH613" s="294"/>
      <c r="KWI613" s="294"/>
      <c r="KWJ613" s="294"/>
      <c r="KWK613" s="294"/>
      <c r="KWL613" s="294"/>
      <c r="KWM613" s="294"/>
      <c r="KWN613" s="294"/>
      <c r="KWO613" s="294"/>
      <c r="KWP613" s="294"/>
      <c r="KWQ613" s="294"/>
      <c r="KWR613" s="294"/>
      <c r="KWS613" s="294"/>
      <c r="KWT613" s="294"/>
      <c r="KWU613" s="294"/>
      <c r="KWV613" s="294"/>
      <c r="KWW613" s="294"/>
      <c r="KWX613" s="294"/>
      <c r="KWY613" s="294"/>
      <c r="KWZ613" s="294"/>
      <c r="KXA613" s="294"/>
      <c r="KXB613" s="294"/>
      <c r="KXC613" s="294"/>
      <c r="KXD613" s="294"/>
      <c r="KXE613" s="294"/>
      <c r="KXF613" s="294"/>
      <c r="KXG613" s="294"/>
      <c r="KXH613" s="294"/>
      <c r="KXI613" s="294"/>
      <c r="KXJ613" s="294"/>
      <c r="KXK613" s="294"/>
      <c r="KXL613" s="294"/>
      <c r="KXM613" s="294"/>
      <c r="KXN613" s="294"/>
      <c r="KXO613" s="294"/>
      <c r="KXP613" s="294"/>
      <c r="KXQ613" s="294"/>
      <c r="KXR613" s="294"/>
      <c r="KXS613" s="294"/>
      <c r="KXT613" s="294"/>
      <c r="KXU613" s="294"/>
      <c r="KXV613" s="294"/>
      <c r="KXW613" s="294"/>
      <c r="KXX613" s="294"/>
      <c r="KXY613" s="294"/>
      <c r="KXZ613" s="294"/>
      <c r="KYA613" s="294"/>
      <c r="KYB613" s="294"/>
      <c r="KYC613" s="294"/>
      <c r="KYD613" s="294"/>
      <c r="KYE613" s="294"/>
      <c r="KYF613" s="294"/>
      <c r="KYG613" s="294"/>
      <c r="KYH613" s="294"/>
      <c r="KYI613" s="294"/>
      <c r="KYJ613" s="294"/>
      <c r="KYK613" s="294"/>
      <c r="KYL613" s="294"/>
      <c r="KYM613" s="294"/>
      <c r="KYN613" s="294"/>
      <c r="KYO613" s="294"/>
      <c r="KYP613" s="294"/>
      <c r="KYQ613" s="294"/>
      <c r="KYR613" s="294"/>
      <c r="KYS613" s="294"/>
      <c r="KYT613" s="294"/>
      <c r="KYU613" s="294"/>
      <c r="KYV613" s="294"/>
      <c r="KYW613" s="294"/>
      <c r="KYX613" s="294"/>
      <c r="KYY613" s="294"/>
      <c r="KYZ613" s="294"/>
      <c r="KZA613" s="294"/>
      <c r="KZB613" s="294"/>
      <c r="KZC613" s="294"/>
      <c r="KZD613" s="294"/>
      <c r="KZE613" s="294"/>
      <c r="KZF613" s="294"/>
      <c r="KZG613" s="294"/>
      <c r="KZH613" s="294"/>
      <c r="KZI613" s="294"/>
      <c r="KZJ613" s="294"/>
      <c r="KZK613" s="294"/>
      <c r="KZL613" s="294"/>
      <c r="KZM613" s="294"/>
      <c r="KZN613" s="294"/>
      <c r="KZO613" s="294"/>
      <c r="KZP613" s="294"/>
      <c r="KZQ613" s="294"/>
      <c r="KZR613" s="294"/>
      <c r="KZS613" s="294"/>
      <c r="KZT613" s="294"/>
      <c r="KZU613" s="294"/>
      <c r="KZV613" s="294"/>
      <c r="KZW613" s="294"/>
      <c r="KZX613" s="294"/>
      <c r="KZY613" s="294"/>
      <c r="KZZ613" s="294"/>
      <c r="LAA613" s="294"/>
      <c r="LAB613" s="294"/>
      <c r="LAC613" s="294"/>
      <c r="LAD613" s="294"/>
      <c r="LAE613" s="294"/>
      <c r="LAF613" s="294"/>
      <c r="LAG613" s="294"/>
      <c r="LAH613" s="294"/>
      <c r="LAI613" s="294"/>
      <c r="LAJ613" s="294"/>
      <c r="LAK613" s="294"/>
      <c r="LAL613" s="294"/>
      <c r="LAM613" s="294"/>
      <c r="LAN613" s="294"/>
      <c r="LAO613" s="294"/>
      <c r="LAP613" s="294"/>
      <c r="LAQ613" s="294"/>
      <c r="LAR613" s="294"/>
      <c r="LAS613" s="294"/>
      <c r="LAT613" s="294"/>
      <c r="LAU613" s="294"/>
      <c r="LAV613" s="294"/>
      <c r="LAW613" s="294"/>
      <c r="LAX613" s="294"/>
      <c r="LAY613" s="294"/>
      <c r="LAZ613" s="294"/>
      <c r="LBA613" s="294"/>
      <c r="LBB613" s="294"/>
      <c r="LBC613" s="294"/>
      <c r="LBD613" s="294"/>
      <c r="LBE613" s="294"/>
      <c r="LBF613" s="294"/>
      <c r="LBG613" s="294"/>
      <c r="LBH613" s="294"/>
      <c r="LBI613" s="294"/>
      <c r="LBJ613" s="294"/>
      <c r="LBK613" s="294"/>
      <c r="LBL613" s="294"/>
      <c r="LBM613" s="294"/>
      <c r="LBN613" s="294"/>
      <c r="LBO613" s="294"/>
      <c r="LBP613" s="294"/>
      <c r="LBQ613" s="294"/>
      <c r="LBR613" s="294"/>
      <c r="LBS613" s="294"/>
      <c r="LBT613" s="294"/>
      <c r="LBU613" s="294"/>
      <c r="LBV613" s="294"/>
      <c r="LBW613" s="294"/>
      <c r="LBX613" s="294"/>
      <c r="LBY613" s="294"/>
      <c r="LBZ613" s="294"/>
      <c r="LCA613" s="294"/>
      <c r="LCB613" s="294"/>
      <c r="LCC613" s="294"/>
      <c r="LCD613" s="294"/>
      <c r="LCE613" s="294"/>
      <c r="LCF613" s="294"/>
      <c r="LCG613" s="294"/>
      <c r="LCH613" s="294"/>
      <c r="LCI613" s="294"/>
      <c r="LCJ613" s="294"/>
      <c r="LCK613" s="294"/>
      <c r="LCL613" s="294"/>
      <c r="LCM613" s="294"/>
      <c r="LCN613" s="294"/>
      <c r="LCO613" s="294"/>
      <c r="LCP613" s="294"/>
      <c r="LCQ613" s="294"/>
      <c r="LCR613" s="294"/>
      <c r="LCS613" s="294"/>
      <c r="LCT613" s="294"/>
      <c r="LCU613" s="294"/>
      <c r="LCV613" s="294"/>
      <c r="LCW613" s="294"/>
      <c r="LCX613" s="294"/>
      <c r="LCY613" s="294"/>
      <c r="LCZ613" s="294"/>
      <c r="LDA613" s="294"/>
      <c r="LDB613" s="294"/>
      <c r="LDC613" s="294"/>
      <c r="LDD613" s="294"/>
      <c r="LDE613" s="294"/>
      <c r="LDF613" s="294"/>
      <c r="LDG613" s="294"/>
      <c r="LDH613" s="294"/>
      <c r="LDI613" s="294"/>
      <c r="LDJ613" s="294"/>
      <c r="LDK613" s="294"/>
      <c r="LDL613" s="294"/>
      <c r="LDM613" s="294"/>
      <c r="LDN613" s="294"/>
      <c r="LDO613" s="294"/>
      <c r="LDP613" s="294"/>
      <c r="LDQ613" s="294"/>
      <c r="LDR613" s="294"/>
      <c r="LDS613" s="294"/>
      <c r="LDT613" s="294"/>
      <c r="LDU613" s="294"/>
      <c r="LDV613" s="294"/>
      <c r="LDW613" s="294"/>
      <c r="LDX613" s="294"/>
      <c r="LDY613" s="294"/>
      <c r="LDZ613" s="294"/>
      <c r="LEA613" s="294"/>
      <c r="LEB613" s="294"/>
      <c r="LEC613" s="294"/>
      <c r="LED613" s="294"/>
      <c r="LEE613" s="294"/>
      <c r="LEF613" s="294"/>
      <c r="LEG613" s="294"/>
      <c r="LEH613" s="294"/>
      <c r="LEI613" s="294"/>
      <c r="LEJ613" s="294"/>
      <c r="LEK613" s="294"/>
      <c r="LEL613" s="294"/>
      <c r="LEM613" s="294"/>
      <c r="LEN613" s="294"/>
      <c r="LEO613" s="294"/>
      <c r="LEP613" s="294"/>
      <c r="LEQ613" s="294"/>
      <c r="LER613" s="294"/>
      <c r="LES613" s="294"/>
      <c r="LET613" s="294"/>
      <c r="LEU613" s="294"/>
      <c r="LEV613" s="294"/>
      <c r="LEW613" s="294"/>
      <c r="LEX613" s="294"/>
      <c r="LEY613" s="294"/>
      <c r="LEZ613" s="294"/>
      <c r="LFA613" s="294"/>
      <c r="LFB613" s="294"/>
      <c r="LFC613" s="294"/>
      <c r="LFD613" s="294"/>
      <c r="LFE613" s="294"/>
      <c r="LFF613" s="294"/>
      <c r="LFG613" s="294"/>
      <c r="LFH613" s="294"/>
      <c r="LFI613" s="294"/>
      <c r="LFJ613" s="294"/>
      <c r="LFK613" s="294"/>
      <c r="LFL613" s="294"/>
      <c r="LFM613" s="294"/>
      <c r="LFN613" s="294"/>
      <c r="LFO613" s="294"/>
      <c r="LFP613" s="294"/>
      <c r="LFQ613" s="294"/>
      <c r="LFR613" s="294"/>
      <c r="LFS613" s="294"/>
      <c r="LFT613" s="294"/>
      <c r="LFU613" s="294"/>
      <c r="LFV613" s="294"/>
      <c r="LFW613" s="294"/>
      <c r="LFX613" s="294"/>
      <c r="LFY613" s="294"/>
      <c r="LFZ613" s="294"/>
      <c r="LGA613" s="294"/>
      <c r="LGB613" s="294"/>
      <c r="LGC613" s="294"/>
      <c r="LGD613" s="294"/>
      <c r="LGE613" s="294"/>
      <c r="LGF613" s="294"/>
      <c r="LGG613" s="294"/>
      <c r="LGH613" s="294"/>
      <c r="LGI613" s="294"/>
      <c r="LGJ613" s="294"/>
      <c r="LGK613" s="294"/>
      <c r="LGL613" s="294"/>
      <c r="LGM613" s="294"/>
      <c r="LGN613" s="294"/>
      <c r="LGO613" s="294"/>
      <c r="LGP613" s="294"/>
      <c r="LGQ613" s="294"/>
      <c r="LGR613" s="294"/>
      <c r="LGS613" s="294"/>
      <c r="LGT613" s="294"/>
      <c r="LGU613" s="294"/>
      <c r="LGV613" s="294"/>
      <c r="LGW613" s="294"/>
      <c r="LGX613" s="294"/>
      <c r="LGY613" s="294"/>
      <c r="LGZ613" s="294"/>
      <c r="LHA613" s="294"/>
      <c r="LHB613" s="294"/>
      <c r="LHC613" s="294"/>
      <c r="LHD613" s="294"/>
      <c r="LHE613" s="294"/>
      <c r="LHF613" s="294"/>
      <c r="LHG613" s="294"/>
      <c r="LHH613" s="294"/>
      <c r="LHI613" s="294"/>
      <c r="LHJ613" s="294"/>
      <c r="LHK613" s="294"/>
      <c r="LHL613" s="294"/>
      <c r="LHM613" s="294"/>
      <c r="LHN613" s="294"/>
      <c r="LHO613" s="294"/>
      <c r="LHP613" s="294"/>
      <c r="LHQ613" s="294"/>
      <c r="LHR613" s="294"/>
      <c r="LHS613" s="294"/>
      <c r="LHT613" s="294"/>
      <c r="LHU613" s="294"/>
      <c r="LHV613" s="294"/>
      <c r="LHW613" s="294"/>
      <c r="LHX613" s="294"/>
      <c r="LHY613" s="294"/>
      <c r="LHZ613" s="294"/>
      <c r="LIA613" s="294"/>
      <c r="LIB613" s="294"/>
      <c r="LIC613" s="294"/>
      <c r="LID613" s="294"/>
      <c r="LIE613" s="294"/>
      <c r="LIF613" s="294"/>
      <c r="LIG613" s="294"/>
      <c r="LIH613" s="294"/>
      <c r="LII613" s="294"/>
      <c r="LIJ613" s="294"/>
      <c r="LIK613" s="294"/>
      <c r="LIL613" s="294"/>
      <c r="LIM613" s="294"/>
      <c r="LIN613" s="294"/>
      <c r="LIO613" s="294"/>
      <c r="LIP613" s="294"/>
      <c r="LIQ613" s="294"/>
      <c r="LIR613" s="294"/>
      <c r="LIS613" s="294"/>
      <c r="LIT613" s="294"/>
      <c r="LIU613" s="294"/>
      <c r="LIV613" s="294"/>
      <c r="LIW613" s="294"/>
      <c r="LIX613" s="294"/>
      <c r="LIY613" s="294"/>
      <c r="LIZ613" s="294"/>
      <c r="LJA613" s="294"/>
      <c r="LJB613" s="294"/>
      <c r="LJC613" s="294"/>
      <c r="LJD613" s="294"/>
      <c r="LJE613" s="294"/>
      <c r="LJF613" s="294"/>
      <c r="LJG613" s="294"/>
      <c r="LJH613" s="294"/>
      <c r="LJI613" s="294"/>
      <c r="LJJ613" s="294"/>
      <c r="LJK613" s="294"/>
      <c r="LJL613" s="294"/>
      <c r="LJM613" s="294"/>
      <c r="LJN613" s="294"/>
      <c r="LJO613" s="294"/>
      <c r="LJP613" s="294"/>
      <c r="LJQ613" s="294"/>
      <c r="LJR613" s="294"/>
      <c r="LJS613" s="294"/>
      <c r="LJT613" s="294"/>
      <c r="LJU613" s="294"/>
      <c r="LJV613" s="294"/>
      <c r="LJW613" s="294"/>
      <c r="LJX613" s="294"/>
      <c r="LJY613" s="294"/>
      <c r="LJZ613" s="294"/>
      <c r="LKA613" s="294"/>
      <c r="LKB613" s="294"/>
      <c r="LKC613" s="294"/>
      <c r="LKD613" s="294"/>
      <c r="LKE613" s="294"/>
      <c r="LKF613" s="294"/>
      <c r="LKG613" s="294"/>
      <c r="LKH613" s="294"/>
      <c r="LKI613" s="294"/>
      <c r="LKJ613" s="294"/>
      <c r="LKK613" s="294"/>
      <c r="LKL613" s="294"/>
      <c r="LKM613" s="294"/>
      <c r="LKN613" s="294"/>
      <c r="LKO613" s="294"/>
      <c r="LKP613" s="294"/>
      <c r="LKQ613" s="294"/>
      <c r="LKR613" s="294"/>
      <c r="LKS613" s="294"/>
      <c r="LKT613" s="294"/>
      <c r="LKU613" s="294"/>
      <c r="LKV613" s="294"/>
      <c r="LKW613" s="294"/>
      <c r="LKX613" s="294"/>
      <c r="LKY613" s="294"/>
      <c r="LKZ613" s="294"/>
      <c r="LLA613" s="294"/>
      <c r="LLB613" s="294"/>
      <c r="LLC613" s="294"/>
      <c r="LLD613" s="294"/>
      <c r="LLE613" s="294"/>
      <c r="LLF613" s="294"/>
      <c r="LLG613" s="294"/>
      <c r="LLH613" s="294"/>
      <c r="LLI613" s="294"/>
      <c r="LLJ613" s="294"/>
      <c r="LLK613" s="294"/>
      <c r="LLL613" s="294"/>
      <c r="LLM613" s="294"/>
      <c r="LLN613" s="294"/>
      <c r="LLO613" s="294"/>
      <c r="LLP613" s="294"/>
      <c r="LLQ613" s="294"/>
      <c r="LLR613" s="294"/>
      <c r="LLS613" s="294"/>
      <c r="LLT613" s="294"/>
      <c r="LLU613" s="294"/>
      <c r="LLV613" s="294"/>
      <c r="LLW613" s="294"/>
      <c r="LLX613" s="294"/>
      <c r="LLY613" s="294"/>
      <c r="LLZ613" s="294"/>
      <c r="LMA613" s="294"/>
      <c r="LMB613" s="294"/>
      <c r="LMC613" s="294"/>
      <c r="LMD613" s="294"/>
      <c r="LME613" s="294"/>
      <c r="LMF613" s="294"/>
      <c r="LMG613" s="294"/>
      <c r="LMH613" s="294"/>
      <c r="LMI613" s="294"/>
      <c r="LMJ613" s="294"/>
      <c r="LMK613" s="294"/>
      <c r="LML613" s="294"/>
      <c r="LMM613" s="294"/>
      <c r="LMN613" s="294"/>
      <c r="LMO613" s="294"/>
      <c r="LMP613" s="294"/>
      <c r="LMQ613" s="294"/>
      <c r="LMR613" s="294"/>
      <c r="LMS613" s="294"/>
      <c r="LMT613" s="294"/>
      <c r="LMU613" s="294"/>
      <c r="LMV613" s="294"/>
      <c r="LMW613" s="294"/>
      <c r="LMX613" s="294"/>
      <c r="LMY613" s="294"/>
      <c r="LMZ613" s="294"/>
      <c r="LNA613" s="294"/>
      <c r="LNB613" s="294"/>
      <c r="LNC613" s="294"/>
      <c r="LND613" s="294"/>
      <c r="LNE613" s="294"/>
      <c r="LNF613" s="294"/>
      <c r="LNG613" s="294"/>
      <c r="LNH613" s="294"/>
      <c r="LNI613" s="294"/>
      <c r="LNJ613" s="294"/>
      <c r="LNK613" s="294"/>
      <c r="LNL613" s="294"/>
      <c r="LNM613" s="294"/>
      <c r="LNN613" s="294"/>
      <c r="LNO613" s="294"/>
      <c r="LNP613" s="294"/>
      <c r="LNQ613" s="294"/>
      <c r="LNR613" s="294"/>
      <c r="LNS613" s="294"/>
      <c r="LNT613" s="294"/>
      <c r="LNU613" s="294"/>
      <c r="LNV613" s="294"/>
      <c r="LNW613" s="294"/>
      <c r="LNX613" s="294"/>
      <c r="LNY613" s="294"/>
      <c r="LNZ613" s="294"/>
      <c r="LOA613" s="294"/>
      <c r="LOB613" s="294"/>
      <c r="LOC613" s="294"/>
      <c r="LOD613" s="294"/>
      <c r="LOE613" s="294"/>
      <c r="LOF613" s="294"/>
      <c r="LOG613" s="294"/>
      <c r="LOH613" s="294"/>
      <c r="LOI613" s="294"/>
      <c r="LOJ613" s="294"/>
      <c r="LOK613" s="294"/>
      <c r="LOL613" s="294"/>
      <c r="LOM613" s="294"/>
      <c r="LON613" s="294"/>
      <c r="LOO613" s="294"/>
      <c r="LOP613" s="294"/>
      <c r="LOQ613" s="294"/>
      <c r="LOR613" s="294"/>
      <c r="LOS613" s="294"/>
      <c r="LOT613" s="294"/>
      <c r="LOU613" s="294"/>
      <c r="LOV613" s="294"/>
      <c r="LOW613" s="294"/>
      <c r="LOX613" s="294"/>
      <c r="LOY613" s="294"/>
      <c r="LOZ613" s="294"/>
      <c r="LPA613" s="294"/>
      <c r="LPB613" s="294"/>
      <c r="LPC613" s="294"/>
      <c r="LPD613" s="294"/>
      <c r="LPE613" s="294"/>
      <c r="LPF613" s="294"/>
      <c r="LPG613" s="294"/>
      <c r="LPH613" s="294"/>
      <c r="LPI613" s="294"/>
      <c r="LPJ613" s="294"/>
      <c r="LPK613" s="294"/>
      <c r="LPL613" s="294"/>
      <c r="LPM613" s="294"/>
      <c r="LPN613" s="294"/>
      <c r="LPO613" s="294"/>
      <c r="LPP613" s="294"/>
      <c r="LPQ613" s="294"/>
      <c r="LPR613" s="294"/>
      <c r="LPS613" s="294"/>
      <c r="LPT613" s="294"/>
      <c r="LPU613" s="294"/>
      <c r="LPV613" s="294"/>
      <c r="LPW613" s="294"/>
      <c r="LPX613" s="294"/>
      <c r="LPY613" s="294"/>
      <c r="LPZ613" s="294"/>
      <c r="LQA613" s="294"/>
      <c r="LQB613" s="294"/>
      <c r="LQC613" s="294"/>
      <c r="LQD613" s="294"/>
      <c r="LQE613" s="294"/>
      <c r="LQF613" s="294"/>
      <c r="LQG613" s="294"/>
      <c r="LQH613" s="294"/>
      <c r="LQI613" s="294"/>
      <c r="LQJ613" s="294"/>
      <c r="LQK613" s="294"/>
      <c r="LQL613" s="294"/>
      <c r="LQM613" s="294"/>
      <c r="LQN613" s="294"/>
      <c r="LQO613" s="294"/>
      <c r="LQP613" s="294"/>
      <c r="LQQ613" s="294"/>
      <c r="LQR613" s="294"/>
      <c r="LQS613" s="294"/>
      <c r="LQT613" s="294"/>
      <c r="LQU613" s="294"/>
      <c r="LQV613" s="294"/>
      <c r="LQW613" s="294"/>
      <c r="LQX613" s="294"/>
      <c r="LQY613" s="294"/>
      <c r="LQZ613" s="294"/>
      <c r="LRA613" s="294"/>
      <c r="LRB613" s="294"/>
      <c r="LRC613" s="294"/>
      <c r="LRD613" s="294"/>
      <c r="LRE613" s="294"/>
      <c r="LRF613" s="294"/>
      <c r="LRG613" s="294"/>
      <c r="LRH613" s="294"/>
      <c r="LRI613" s="294"/>
      <c r="LRJ613" s="294"/>
      <c r="LRK613" s="294"/>
      <c r="LRL613" s="294"/>
      <c r="LRM613" s="294"/>
      <c r="LRN613" s="294"/>
      <c r="LRO613" s="294"/>
      <c r="LRP613" s="294"/>
      <c r="LRQ613" s="294"/>
      <c r="LRR613" s="294"/>
      <c r="LRS613" s="294"/>
      <c r="LRT613" s="294"/>
      <c r="LRU613" s="294"/>
      <c r="LRV613" s="294"/>
      <c r="LRW613" s="294"/>
      <c r="LRX613" s="294"/>
      <c r="LRY613" s="294"/>
      <c r="LRZ613" s="294"/>
      <c r="LSA613" s="294"/>
      <c r="LSB613" s="294"/>
      <c r="LSC613" s="294"/>
      <c r="LSD613" s="294"/>
      <c r="LSE613" s="294"/>
      <c r="LSF613" s="294"/>
      <c r="LSG613" s="294"/>
      <c r="LSH613" s="294"/>
      <c r="LSI613" s="294"/>
      <c r="LSJ613" s="294"/>
      <c r="LSK613" s="294"/>
      <c r="LSL613" s="294"/>
      <c r="LSM613" s="294"/>
      <c r="LSN613" s="294"/>
      <c r="LSO613" s="294"/>
      <c r="LSP613" s="294"/>
      <c r="LSQ613" s="294"/>
      <c r="LSR613" s="294"/>
      <c r="LSS613" s="294"/>
      <c r="LST613" s="294"/>
      <c r="LSU613" s="294"/>
      <c r="LSV613" s="294"/>
      <c r="LSW613" s="294"/>
      <c r="LSX613" s="294"/>
      <c r="LSY613" s="294"/>
      <c r="LSZ613" s="294"/>
      <c r="LTA613" s="294"/>
      <c r="LTB613" s="294"/>
      <c r="LTC613" s="294"/>
      <c r="LTD613" s="294"/>
      <c r="LTE613" s="294"/>
      <c r="LTF613" s="294"/>
      <c r="LTG613" s="294"/>
      <c r="LTH613" s="294"/>
      <c r="LTI613" s="294"/>
      <c r="LTJ613" s="294"/>
      <c r="LTK613" s="294"/>
      <c r="LTL613" s="294"/>
      <c r="LTM613" s="294"/>
      <c r="LTN613" s="294"/>
      <c r="LTO613" s="294"/>
      <c r="LTP613" s="294"/>
      <c r="LTQ613" s="294"/>
      <c r="LTR613" s="294"/>
      <c r="LTS613" s="294"/>
      <c r="LTT613" s="294"/>
      <c r="LTU613" s="294"/>
      <c r="LTV613" s="294"/>
      <c r="LTW613" s="294"/>
      <c r="LTX613" s="294"/>
      <c r="LTY613" s="294"/>
      <c r="LTZ613" s="294"/>
      <c r="LUA613" s="294"/>
      <c r="LUB613" s="294"/>
      <c r="LUC613" s="294"/>
      <c r="LUD613" s="294"/>
      <c r="LUE613" s="294"/>
      <c r="LUF613" s="294"/>
      <c r="LUG613" s="294"/>
      <c r="LUH613" s="294"/>
      <c r="LUI613" s="294"/>
      <c r="LUJ613" s="294"/>
      <c r="LUK613" s="294"/>
      <c r="LUL613" s="294"/>
      <c r="LUM613" s="294"/>
      <c r="LUN613" s="294"/>
      <c r="LUO613" s="294"/>
      <c r="LUP613" s="294"/>
      <c r="LUQ613" s="294"/>
      <c r="LUR613" s="294"/>
      <c r="LUS613" s="294"/>
      <c r="LUT613" s="294"/>
      <c r="LUU613" s="294"/>
      <c r="LUV613" s="294"/>
      <c r="LUW613" s="294"/>
      <c r="LUX613" s="294"/>
      <c r="LUY613" s="294"/>
      <c r="LUZ613" s="294"/>
      <c r="LVA613" s="294"/>
      <c r="LVB613" s="294"/>
      <c r="LVC613" s="294"/>
      <c r="LVD613" s="294"/>
      <c r="LVE613" s="294"/>
      <c r="LVF613" s="294"/>
      <c r="LVG613" s="294"/>
      <c r="LVH613" s="294"/>
      <c r="LVI613" s="294"/>
      <c r="LVJ613" s="294"/>
      <c r="LVK613" s="294"/>
      <c r="LVL613" s="294"/>
      <c r="LVM613" s="294"/>
      <c r="LVN613" s="294"/>
      <c r="LVO613" s="294"/>
      <c r="LVP613" s="294"/>
      <c r="LVQ613" s="294"/>
      <c r="LVR613" s="294"/>
      <c r="LVS613" s="294"/>
      <c r="LVT613" s="294"/>
      <c r="LVU613" s="294"/>
      <c r="LVV613" s="294"/>
      <c r="LVW613" s="294"/>
      <c r="LVX613" s="294"/>
      <c r="LVY613" s="294"/>
      <c r="LVZ613" s="294"/>
      <c r="LWA613" s="294"/>
      <c r="LWB613" s="294"/>
      <c r="LWC613" s="294"/>
      <c r="LWD613" s="294"/>
      <c r="LWE613" s="294"/>
      <c r="LWF613" s="294"/>
      <c r="LWG613" s="294"/>
      <c r="LWH613" s="294"/>
      <c r="LWI613" s="294"/>
      <c r="LWJ613" s="294"/>
      <c r="LWK613" s="294"/>
      <c r="LWL613" s="294"/>
      <c r="LWM613" s="294"/>
      <c r="LWN613" s="294"/>
      <c r="LWO613" s="294"/>
      <c r="LWP613" s="294"/>
      <c r="LWQ613" s="294"/>
      <c r="LWR613" s="294"/>
      <c r="LWS613" s="294"/>
      <c r="LWT613" s="294"/>
      <c r="LWU613" s="294"/>
      <c r="LWV613" s="294"/>
      <c r="LWW613" s="294"/>
      <c r="LWX613" s="294"/>
      <c r="LWY613" s="294"/>
      <c r="LWZ613" s="294"/>
      <c r="LXA613" s="294"/>
      <c r="LXB613" s="294"/>
      <c r="LXC613" s="294"/>
      <c r="LXD613" s="294"/>
      <c r="LXE613" s="294"/>
      <c r="LXF613" s="294"/>
      <c r="LXG613" s="294"/>
      <c r="LXH613" s="294"/>
      <c r="LXI613" s="294"/>
      <c r="LXJ613" s="294"/>
      <c r="LXK613" s="294"/>
      <c r="LXL613" s="294"/>
      <c r="LXM613" s="294"/>
      <c r="LXN613" s="294"/>
      <c r="LXO613" s="294"/>
      <c r="LXP613" s="294"/>
      <c r="LXQ613" s="294"/>
      <c r="LXR613" s="294"/>
      <c r="LXS613" s="294"/>
      <c r="LXT613" s="294"/>
      <c r="LXU613" s="294"/>
      <c r="LXV613" s="294"/>
      <c r="LXW613" s="294"/>
      <c r="LXX613" s="294"/>
      <c r="LXY613" s="294"/>
      <c r="LXZ613" s="294"/>
      <c r="LYA613" s="294"/>
      <c r="LYB613" s="294"/>
      <c r="LYC613" s="294"/>
      <c r="LYD613" s="294"/>
      <c r="LYE613" s="294"/>
      <c r="LYF613" s="294"/>
      <c r="LYG613" s="294"/>
      <c r="LYH613" s="294"/>
      <c r="LYI613" s="294"/>
      <c r="LYJ613" s="294"/>
      <c r="LYK613" s="294"/>
      <c r="LYL613" s="294"/>
      <c r="LYM613" s="294"/>
      <c r="LYN613" s="294"/>
      <c r="LYO613" s="294"/>
      <c r="LYP613" s="294"/>
      <c r="LYQ613" s="294"/>
      <c r="LYR613" s="294"/>
      <c r="LYS613" s="294"/>
      <c r="LYT613" s="294"/>
      <c r="LYU613" s="294"/>
      <c r="LYV613" s="294"/>
      <c r="LYW613" s="294"/>
      <c r="LYX613" s="294"/>
      <c r="LYY613" s="294"/>
      <c r="LYZ613" s="294"/>
      <c r="LZA613" s="294"/>
      <c r="LZB613" s="294"/>
      <c r="LZC613" s="294"/>
      <c r="LZD613" s="294"/>
      <c r="LZE613" s="294"/>
      <c r="LZF613" s="294"/>
      <c r="LZG613" s="294"/>
      <c r="LZH613" s="294"/>
      <c r="LZI613" s="294"/>
      <c r="LZJ613" s="294"/>
      <c r="LZK613" s="294"/>
      <c r="LZL613" s="294"/>
      <c r="LZM613" s="294"/>
      <c r="LZN613" s="294"/>
      <c r="LZO613" s="294"/>
      <c r="LZP613" s="294"/>
      <c r="LZQ613" s="294"/>
      <c r="LZR613" s="294"/>
      <c r="LZS613" s="294"/>
      <c r="LZT613" s="294"/>
      <c r="LZU613" s="294"/>
      <c r="LZV613" s="294"/>
      <c r="LZW613" s="294"/>
      <c r="LZX613" s="294"/>
      <c r="LZY613" s="294"/>
      <c r="LZZ613" s="294"/>
      <c r="MAA613" s="294"/>
      <c r="MAB613" s="294"/>
      <c r="MAC613" s="294"/>
      <c r="MAD613" s="294"/>
      <c r="MAE613" s="294"/>
      <c r="MAF613" s="294"/>
      <c r="MAG613" s="294"/>
      <c r="MAH613" s="294"/>
      <c r="MAI613" s="294"/>
      <c r="MAJ613" s="294"/>
      <c r="MAK613" s="294"/>
      <c r="MAL613" s="294"/>
      <c r="MAM613" s="294"/>
      <c r="MAN613" s="294"/>
      <c r="MAO613" s="294"/>
      <c r="MAP613" s="294"/>
      <c r="MAQ613" s="294"/>
      <c r="MAR613" s="294"/>
      <c r="MAS613" s="294"/>
      <c r="MAT613" s="294"/>
      <c r="MAU613" s="294"/>
      <c r="MAV613" s="294"/>
      <c r="MAW613" s="294"/>
      <c r="MAX613" s="294"/>
      <c r="MAY613" s="294"/>
      <c r="MAZ613" s="294"/>
      <c r="MBA613" s="294"/>
      <c r="MBB613" s="294"/>
      <c r="MBC613" s="294"/>
      <c r="MBD613" s="294"/>
      <c r="MBE613" s="294"/>
      <c r="MBF613" s="294"/>
      <c r="MBG613" s="294"/>
      <c r="MBH613" s="294"/>
      <c r="MBI613" s="294"/>
      <c r="MBJ613" s="294"/>
      <c r="MBK613" s="294"/>
      <c r="MBL613" s="294"/>
      <c r="MBM613" s="294"/>
      <c r="MBN613" s="294"/>
      <c r="MBO613" s="294"/>
      <c r="MBP613" s="294"/>
      <c r="MBQ613" s="294"/>
      <c r="MBR613" s="294"/>
      <c r="MBS613" s="294"/>
      <c r="MBT613" s="294"/>
      <c r="MBU613" s="294"/>
      <c r="MBV613" s="294"/>
      <c r="MBW613" s="294"/>
      <c r="MBX613" s="294"/>
      <c r="MBY613" s="294"/>
      <c r="MBZ613" s="294"/>
      <c r="MCA613" s="294"/>
      <c r="MCB613" s="294"/>
      <c r="MCC613" s="294"/>
      <c r="MCD613" s="294"/>
      <c r="MCE613" s="294"/>
      <c r="MCF613" s="294"/>
      <c r="MCG613" s="294"/>
      <c r="MCH613" s="294"/>
      <c r="MCI613" s="294"/>
      <c r="MCJ613" s="294"/>
      <c r="MCK613" s="294"/>
      <c r="MCL613" s="294"/>
      <c r="MCM613" s="294"/>
      <c r="MCN613" s="294"/>
      <c r="MCO613" s="294"/>
      <c r="MCP613" s="294"/>
      <c r="MCQ613" s="294"/>
      <c r="MCR613" s="294"/>
      <c r="MCS613" s="294"/>
      <c r="MCT613" s="294"/>
      <c r="MCU613" s="294"/>
      <c r="MCV613" s="294"/>
      <c r="MCW613" s="294"/>
      <c r="MCX613" s="294"/>
      <c r="MCY613" s="294"/>
      <c r="MCZ613" s="294"/>
      <c r="MDA613" s="294"/>
      <c r="MDB613" s="294"/>
      <c r="MDC613" s="294"/>
      <c r="MDD613" s="294"/>
      <c r="MDE613" s="294"/>
      <c r="MDF613" s="294"/>
      <c r="MDG613" s="294"/>
      <c r="MDH613" s="294"/>
      <c r="MDI613" s="294"/>
      <c r="MDJ613" s="294"/>
      <c r="MDK613" s="294"/>
      <c r="MDL613" s="294"/>
      <c r="MDM613" s="294"/>
      <c r="MDN613" s="294"/>
      <c r="MDO613" s="294"/>
      <c r="MDP613" s="294"/>
      <c r="MDQ613" s="294"/>
      <c r="MDR613" s="294"/>
      <c r="MDS613" s="294"/>
      <c r="MDT613" s="294"/>
      <c r="MDU613" s="294"/>
      <c r="MDV613" s="294"/>
      <c r="MDW613" s="294"/>
      <c r="MDX613" s="294"/>
      <c r="MDY613" s="294"/>
      <c r="MDZ613" s="294"/>
      <c r="MEA613" s="294"/>
      <c r="MEB613" s="294"/>
      <c r="MEC613" s="294"/>
      <c r="MED613" s="294"/>
      <c r="MEE613" s="294"/>
      <c r="MEF613" s="294"/>
      <c r="MEG613" s="294"/>
      <c r="MEH613" s="294"/>
      <c r="MEI613" s="294"/>
      <c r="MEJ613" s="294"/>
      <c r="MEK613" s="294"/>
      <c r="MEL613" s="294"/>
      <c r="MEM613" s="294"/>
      <c r="MEN613" s="294"/>
      <c r="MEO613" s="294"/>
      <c r="MEP613" s="294"/>
      <c r="MEQ613" s="294"/>
      <c r="MER613" s="294"/>
      <c r="MES613" s="294"/>
      <c r="MET613" s="294"/>
      <c r="MEU613" s="294"/>
      <c r="MEV613" s="294"/>
      <c r="MEW613" s="294"/>
      <c r="MEX613" s="294"/>
      <c r="MEY613" s="294"/>
      <c r="MEZ613" s="294"/>
      <c r="MFA613" s="294"/>
      <c r="MFB613" s="294"/>
      <c r="MFC613" s="294"/>
      <c r="MFD613" s="294"/>
      <c r="MFE613" s="294"/>
      <c r="MFF613" s="294"/>
      <c r="MFG613" s="294"/>
      <c r="MFH613" s="294"/>
      <c r="MFI613" s="294"/>
      <c r="MFJ613" s="294"/>
      <c r="MFK613" s="294"/>
      <c r="MFL613" s="294"/>
      <c r="MFM613" s="294"/>
      <c r="MFN613" s="294"/>
      <c r="MFO613" s="294"/>
      <c r="MFP613" s="294"/>
      <c r="MFQ613" s="294"/>
      <c r="MFR613" s="294"/>
      <c r="MFS613" s="294"/>
      <c r="MFT613" s="294"/>
      <c r="MFU613" s="294"/>
      <c r="MFV613" s="294"/>
      <c r="MFW613" s="294"/>
      <c r="MFX613" s="294"/>
      <c r="MFY613" s="294"/>
      <c r="MFZ613" s="294"/>
      <c r="MGA613" s="294"/>
      <c r="MGB613" s="294"/>
      <c r="MGC613" s="294"/>
      <c r="MGD613" s="294"/>
      <c r="MGE613" s="294"/>
      <c r="MGF613" s="294"/>
      <c r="MGG613" s="294"/>
      <c r="MGH613" s="294"/>
      <c r="MGI613" s="294"/>
      <c r="MGJ613" s="294"/>
      <c r="MGK613" s="294"/>
      <c r="MGL613" s="294"/>
      <c r="MGM613" s="294"/>
      <c r="MGN613" s="294"/>
      <c r="MGO613" s="294"/>
      <c r="MGP613" s="294"/>
      <c r="MGQ613" s="294"/>
      <c r="MGR613" s="294"/>
      <c r="MGS613" s="294"/>
      <c r="MGT613" s="294"/>
      <c r="MGU613" s="294"/>
      <c r="MGV613" s="294"/>
      <c r="MGW613" s="294"/>
      <c r="MGX613" s="294"/>
      <c r="MGY613" s="294"/>
      <c r="MGZ613" s="294"/>
      <c r="MHA613" s="294"/>
      <c r="MHB613" s="294"/>
      <c r="MHC613" s="294"/>
      <c r="MHD613" s="294"/>
      <c r="MHE613" s="294"/>
      <c r="MHF613" s="294"/>
      <c r="MHG613" s="294"/>
      <c r="MHH613" s="294"/>
      <c r="MHI613" s="294"/>
      <c r="MHJ613" s="294"/>
      <c r="MHK613" s="294"/>
      <c r="MHL613" s="294"/>
      <c r="MHM613" s="294"/>
      <c r="MHN613" s="294"/>
      <c r="MHO613" s="294"/>
      <c r="MHP613" s="294"/>
      <c r="MHQ613" s="294"/>
      <c r="MHR613" s="294"/>
      <c r="MHS613" s="294"/>
      <c r="MHT613" s="294"/>
      <c r="MHU613" s="294"/>
      <c r="MHV613" s="294"/>
      <c r="MHW613" s="294"/>
      <c r="MHX613" s="294"/>
      <c r="MHY613" s="294"/>
      <c r="MHZ613" s="294"/>
      <c r="MIA613" s="294"/>
      <c r="MIB613" s="294"/>
      <c r="MIC613" s="294"/>
      <c r="MID613" s="294"/>
      <c r="MIE613" s="294"/>
      <c r="MIF613" s="294"/>
      <c r="MIG613" s="294"/>
      <c r="MIH613" s="294"/>
      <c r="MII613" s="294"/>
      <c r="MIJ613" s="294"/>
      <c r="MIK613" s="294"/>
      <c r="MIL613" s="294"/>
      <c r="MIM613" s="294"/>
      <c r="MIN613" s="294"/>
      <c r="MIO613" s="294"/>
      <c r="MIP613" s="294"/>
      <c r="MIQ613" s="294"/>
      <c r="MIR613" s="294"/>
      <c r="MIS613" s="294"/>
      <c r="MIT613" s="294"/>
      <c r="MIU613" s="294"/>
      <c r="MIV613" s="294"/>
      <c r="MIW613" s="294"/>
      <c r="MIX613" s="294"/>
      <c r="MIY613" s="294"/>
      <c r="MIZ613" s="294"/>
      <c r="MJA613" s="294"/>
      <c r="MJB613" s="294"/>
      <c r="MJC613" s="294"/>
      <c r="MJD613" s="294"/>
      <c r="MJE613" s="294"/>
      <c r="MJF613" s="294"/>
      <c r="MJG613" s="294"/>
      <c r="MJH613" s="294"/>
      <c r="MJI613" s="294"/>
      <c r="MJJ613" s="294"/>
      <c r="MJK613" s="294"/>
      <c r="MJL613" s="294"/>
      <c r="MJM613" s="294"/>
      <c r="MJN613" s="294"/>
      <c r="MJO613" s="294"/>
      <c r="MJP613" s="294"/>
      <c r="MJQ613" s="294"/>
      <c r="MJR613" s="294"/>
      <c r="MJS613" s="294"/>
      <c r="MJT613" s="294"/>
      <c r="MJU613" s="294"/>
      <c r="MJV613" s="294"/>
      <c r="MJW613" s="294"/>
      <c r="MJX613" s="294"/>
      <c r="MJY613" s="294"/>
      <c r="MJZ613" s="294"/>
      <c r="MKA613" s="294"/>
      <c r="MKB613" s="294"/>
      <c r="MKC613" s="294"/>
      <c r="MKD613" s="294"/>
      <c r="MKE613" s="294"/>
      <c r="MKF613" s="294"/>
      <c r="MKG613" s="294"/>
      <c r="MKH613" s="294"/>
      <c r="MKI613" s="294"/>
      <c r="MKJ613" s="294"/>
      <c r="MKK613" s="294"/>
      <c r="MKL613" s="294"/>
      <c r="MKM613" s="294"/>
      <c r="MKN613" s="294"/>
      <c r="MKO613" s="294"/>
      <c r="MKP613" s="294"/>
      <c r="MKQ613" s="294"/>
      <c r="MKR613" s="294"/>
      <c r="MKS613" s="294"/>
      <c r="MKT613" s="294"/>
      <c r="MKU613" s="294"/>
      <c r="MKV613" s="294"/>
      <c r="MKW613" s="294"/>
      <c r="MKX613" s="294"/>
      <c r="MKY613" s="294"/>
      <c r="MKZ613" s="294"/>
      <c r="MLA613" s="294"/>
      <c r="MLB613" s="294"/>
      <c r="MLC613" s="294"/>
      <c r="MLD613" s="294"/>
      <c r="MLE613" s="294"/>
      <c r="MLF613" s="294"/>
      <c r="MLG613" s="294"/>
      <c r="MLH613" s="294"/>
      <c r="MLI613" s="294"/>
      <c r="MLJ613" s="294"/>
      <c r="MLK613" s="294"/>
      <c r="MLL613" s="294"/>
      <c r="MLM613" s="294"/>
      <c r="MLN613" s="294"/>
      <c r="MLO613" s="294"/>
      <c r="MLP613" s="294"/>
      <c r="MLQ613" s="294"/>
      <c r="MLR613" s="294"/>
      <c r="MLS613" s="294"/>
      <c r="MLT613" s="294"/>
      <c r="MLU613" s="294"/>
      <c r="MLV613" s="294"/>
      <c r="MLW613" s="294"/>
      <c r="MLX613" s="294"/>
      <c r="MLY613" s="294"/>
      <c r="MLZ613" s="294"/>
      <c r="MMA613" s="294"/>
      <c r="MMB613" s="294"/>
      <c r="MMC613" s="294"/>
      <c r="MMD613" s="294"/>
      <c r="MME613" s="294"/>
      <c r="MMF613" s="294"/>
      <c r="MMG613" s="294"/>
      <c r="MMH613" s="294"/>
      <c r="MMI613" s="294"/>
      <c r="MMJ613" s="294"/>
      <c r="MMK613" s="294"/>
      <c r="MML613" s="294"/>
      <c r="MMM613" s="294"/>
      <c r="MMN613" s="294"/>
      <c r="MMO613" s="294"/>
      <c r="MMP613" s="294"/>
      <c r="MMQ613" s="294"/>
      <c r="MMR613" s="294"/>
      <c r="MMS613" s="294"/>
      <c r="MMT613" s="294"/>
      <c r="MMU613" s="294"/>
      <c r="MMV613" s="294"/>
      <c r="MMW613" s="294"/>
      <c r="MMX613" s="294"/>
      <c r="MMY613" s="294"/>
      <c r="MMZ613" s="294"/>
      <c r="MNA613" s="294"/>
      <c r="MNB613" s="294"/>
      <c r="MNC613" s="294"/>
      <c r="MND613" s="294"/>
      <c r="MNE613" s="294"/>
      <c r="MNF613" s="294"/>
      <c r="MNG613" s="294"/>
      <c r="MNH613" s="294"/>
      <c r="MNI613" s="294"/>
      <c r="MNJ613" s="294"/>
      <c r="MNK613" s="294"/>
      <c r="MNL613" s="294"/>
      <c r="MNM613" s="294"/>
      <c r="MNN613" s="294"/>
      <c r="MNO613" s="294"/>
      <c r="MNP613" s="294"/>
      <c r="MNQ613" s="294"/>
      <c r="MNR613" s="294"/>
      <c r="MNS613" s="294"/>
      <c r="MNT613" s="294"/>
      <c r="MNU613" s="294"/>
      <c r="MNV613" s="294"/>
      <c r="MNW613" s="294"/>
      <c r="MNX613" s="294"/>
      <c r="MNY613" s="294"/>
      <c r="MNZ613" s="294"/>
      <c r="MOA613" s="294"/>
      <c r="MOB613" s="294"/>
      <c r="MOC613" s="294"/>
      <c r="MOD613" s="294"/>
      <c r="MOE613" s="294"/>
      <c r="MOF613" s="294"/>
      <c r="MOG613" s="294"/>
      <c r="MOH613" s="294"/>
      <c r="MOI613" s="294"/>
      <c r="MOJ613" s="294"/>
      <c r="MOK613" s="294"/>
      <c r="MOL613" s="294"/>
      <c r="MOM613" s="294"/>
      <c r="MON613" s="294"/>
      <c r="MOO613" s="294"/>
      <c r="MOP613" s="294"/>
      <c r="MOQ613" s="294"/>
      <c r="MOR613" s="294"/>
      <c r="MOS613" s="294"/>
      <c r="MOT613" s="294"/>
      <c r="MOU613" s="294"/>
      <c r="MOV613" s="294"/>
      <c r="MOW613" s="294"/>
      <c r="MOX613" s="294"/>
      <c r="MOY613" s="294"/>
      <c r="MOZ613" s="294"/>
      <c r="MPA613" s="294"/>
      <c r="MPB613" s="294"/>
      <c r="MPC613" s="294"/>
      <c r="MPD613" s="294"/>
      <c r="MPE613" s="294"/>
      <c r="MPF613" s="294"/>
      <c r="MPG613" s="294"/>
      <c r="MPH613" s="294"/>
      <c r="MPI613" s="294"/>
      <c r="MPJ613" s="294"/>
      <c r="MPK613" s="294"/>
      <c r="MPL613" s="294"/>
      <c r="MPM613" s="294"/>
      <c r="MPN613" s="294"/>
      <c r="MPO613" s="294"/>
      <c r="MPP613" s="294"/>
      <c r="MPQ613" s="294"/>
      <c r="MPR613" s="294"/>
      <c r="MPS613" s="294"/>
      <c r="MPT613" s="294"/>
      <c r="MPU613" s="294"/>
      <c r="MPV613" s="294"/>
      <c r="MPW613" s="294"/>
      <c r="MPX613" s="294"/>
      <c r="MPY613" s="294"/>
      <c r="MPZ613" s="294"/>
      <c r="MQA613" s="294"/>
      <c r="MQB613" s="294"/>
      <c r="MQC613" s="294"/>
      <c r="MQD613" s="294"/>
      <c r="MQE613" s="294"/>
      <c r="MQF613" s="294"/>
      <c r="MQG613" s="294"/>
      <c r="MQH613" s="294"/>
      <c r="MQI613" s="294"/>
      <c r="MQJ613" s="294"/>
      <c r="MQK613" s="294"/>
      <c r="MQL613" s="294"/>
      <c r="MQM613" s="294"/>
      <c r="MQN613" s="294"/>
      <c r="MQO613" s="294"/>
      <c r="MQP613" s="294"/>
      <c r="MQQ613" s="294"/>
      <c r="MQR613" s="294"/>
      <c r="MQS613" s="294"/>
      <c r="MQT613" s="294"/>
      <c r="MQU613" s="294"/>
      <c r="MQV613" s="294"/>
      <c r="MQW613" s="294"/>
      <c r="MQX613" s="294"/>
      <c r="MQY613" s="294"/>
      <c r="MQZ613" s="294"/>
      <c r="MRA613" s="294"/>
      <c r="MRB613" s="294"/>
      <c r="MRC613" s="294"/>
      <c r="MRD613" s="294"/>
      <c r="MRE613" s="294"/>
      <c r="MRF613" s="294"/>
      <c r="MRG613" s="294"/>
      <c r="MRH613" s="294"/>
      <c r="MRI613" s="294"/>
      <c r="MRJ613" s="294"/>
      <c r="MRK613" s="294"/>
      <c r="MRL613" s="294"/>
      <c r="MRM613" s="294"/>
      <c r="MRN613" s="294"/>
      <c r="MRO613" s="294"/>
      <c r="MRP613" s="294"/>
      <c r="MRQ613" s="294"/>
      <c r="MRR613" s="294"/>
      <c r="MRS613" s="294"/>
      <c r="MRT613" s="294"/>
      <c r="MRU613" s="294"/>
      <c r="MRV613" s="294"/>
      <c r="MRW613" s="294"/>
      <c r="MRX613" s="294"/>
      <c r="MRY613" s="294"/>
      <c r="MRZ613" s="294"/>
      <c r="MSA613" s="294"/>
      <c r="MSB613" s="294"/>
      <c r="MSC613" s="294"/>
      <c r="MSD613" s="294"/>
      <c r="MSE613" s="294"/>
      <c r="MSF613" s="294"/>
      <c r="MSG613" s="294"/>
      <c r="MSH613" s="294"/>
      <c r="MSI613" s="294"/>
      <c r="MSJ613" s="294"/>
      <c r="MSK613" s="294"/>
      <c r="MSL613" s="294"/>
      <c r="MSM613" s="294"/>
      <c r="MSN613" s="294"/>
      <c r="MSO613" s="294"/>
      <c r="MSP613" s="294"/>
      <c r="MSQ613" s="294"/>
      <c r="MSR613" s="294"/>
      <c r="MSS613" s="294"/>
      <c r="MST613" s="294"/>
      <c r="MSU613" s="294"/>
      <c r="MSV613" s="294"/>
      <c r="MSW613" s="294"/>
      <c r="MSX613" s="294"/>
      <c r="MSY613" s="294"/>
      <c r="MSZ613" s="294"/>
      <c r="MTA613" s="294"/>
      <c r="MTB613" s="294"/>
      <c r="MTC613" s="294"/>
      <c r="MTD613" s="294"/>
      <c r="MTE613" s="294"/>
      <c r="MTF613" s="294"/>
      <c r="MTG613" s="294"/>
      <c r="MTH613" s="294"/>
      <c r="MTI613" s="294"/>
      <c r="MTJ613" s="294"/>
      <c r="MTK613" s="294"/>
      <c r="MTL613" s="294"/>
      <c r="MTM613" s="294"/>
      <c r="MTN613" s="294"/>
      <c r="MTO613" s="294"/>
      <c r="MTP613" s="294"/>
      <c r="MTQ613" s="294"/>
      <c r="MTR613" s="294"/>
      <c r="MTS613" s="294"/>
      <c r="MTT613" s="294"/>
      <c r="MTU613" s="294"/>
      <c r="MTV613" s="294"/>
      <c r="MTW613" s="294"/>
      <c r="MTX613" s="294"/>
      <c r="MTY613" s="294"/>
      <c r="MTZ613" s="294"/>
      <c r="MUA613" s="294"/>
      <c r="MUB613" s="294"/>
      <c r="MUC613" s="294"/>
      <c r="MUD613" s="294"/>
      <c r="MUE613" s="294"/>
      <c r="MUF613" s="294"/>
      <c r="MUG613" s="294"/>
      <c r="MUH613" s="294"/>
      <c r="MUI613" s="294"/>
      <c r="MUJ613" s="294"/>
      <c r="MUK613" s="294"/>
      <c r="MUL613" s="294"/>
      <c r="MUM613" s="294"/>
      <c r="MUN613" s="294"/>
      <c r="MUO613" s="294"/>
      <c r="MUP613" s="294"/>
      <c r="MUQ613" s="294"/>
      <c r="MUR613" s="294"/>
      <c r="MUS613" s="294"/>
      <c r="MUT613" s="294"/>
      <c r="MUU613" s="294"/>
      <c r="MUV613" s="294"/>
      <c r="MUW613" s="294"/>
      <c r="MUX613" s="294"/>
      <c r="MUY613" s="294"/>
      <c r="MUZ613" s="294"/>
      <c r="MVA613" s="294"/>
      <c r="MVB613" s="294"/>
      <c r="MVC613" s="294"/>
      <c r="MVD613" s="294"/>
      <c r="MVE613" s="294"/>
      <c r="MVF613" s="294"/>
      <c r="MVG613" s="294"/>
      <c r="MVH613" s="294"/>
      <c r="MVI613" s="294"/>
      <c r="MVJ613" s="294"/>
      <c r="MVK613" s="294"/>
      <c r="MVL613" s="294"/>
      <c r="MVM613" s="294"/>
      <c r="MVN613" s="294"/>
      <c r="MVO613" s="294"/>
      <c r="MVP613" s="294"/>
      <c r="MVQ613" s="294"/>
      <c r="MVR613" s="294"/>
      <c r="MVS613" s="294"/>
      <c r="MVT613" s="294"/>
      <c r="MVU613" s="294"/>
      <c r="MVV613" s="294"/>
      <c r="MVW613" s="294"/>
      <c r="MVX613" s="294"/>
      <c r="MVY613" s="294"/>
      <c r="MVZ613" s="294"/>
      <c r="MWA613" s="294"/>
      <c r="MWB613" s="294"/>
      <c r="MWC613" s="294"/>
      <c r="MWD613" s="294"/>
      <c r="MWE613" s="294"/>
      <c r="MWF613" s="294"/>
      <c r="MWG613" s="294"/>
      <c r="MWH613" s="294"/>
      <c r="MWI613" s="294"/>
      <c r="MWJ613" s="294"/>
      <c r="MWK613" s="294"/>
      <c r="MWL613" s="294"/>
      <c r="MWM613" s="294"/>
      <c r="MWN613" s="294"/>
      <c r="MWO613" s="294"/>
      <c r="MWP613" s="294"/>
      <c r="MWQ613" s="294"/>
      <c r="MWR613" s="294"/>
      <c r="MWS613" s="294"/>
      <c r="MWT613" s="294"/>
      <c r="MWU613" s="294"/>
      <c r="MWV613" s="294"/>
      <c r="MWW613" s="294"/>
      <c r="MWX613" s="294"/>
      <c r="MWY613" s="294"/>
      <c r="MWZ613" s="294"/>
      <c r="MXA613" s="294"/>
      <c r="MXB613" s="294"/>
      <c r="MXC613" s="294"/>
      <c r="MXD613" s="294"/>
      <c r="MXE613" s="294"/>
      <c r="MXF613" s="294"/>
      <c r="MXG613" s="294"/>
      <c r="MXH613" s="294"/>
      <c r="MXI613" s="294"/>
      <c r="MXJ613" s="294"/>
      <c r="MXK613" s="294"/>
      <c r="MXL613" s="294"/>
      <c r="MXM613" s="294"/>
      <c r="MXN613" s="294"/>
      <c r="MXO613" s="294"/>
      <c r="MXP613" s="294"/>
      <c r="MXQ613" s="294"/>
      <c r="MXR613" s="294"/>
      <c r="MXS613" s="294"/>
      <c r="MXT613" s="294"/>
      <c r="MXU613" s="294"/>
      <c r="MXV613" s="294"/>
      <c r="MXW613" s="294"/>
      <c r="MXX613" s="294"/>
      <c r="MXY613" s="294"/>
      <c r="MXZ613" s="294"/>
      <c r="MYA613" s="294"/>
      <c r="MYB613" s="294"/>
      <c r="MYC613" s="294"/>
      <c r="MYD613" s="294"/>
      <c r="MYE613" s="294"/>
      <c r="MYF613" s="294"/>
      <c r="MYG613" s="294"/>
      <c r="MYH613" s="294"/>
      <c r="MYI613" s="294"/>
      <c r="MYJ613" s="294"/>
      <c r="MYK613" s="294"/>
      <c r="MYL613" s="294"/>
      <c r="MYM613" s="294"/>
      <c r="MYN613" s="294"/>
      <c r="MYO613" s="294"/>
      <c r="MYP613" s="294"/>
      <c r="MYQ613" s="294"/>
      <c r="MYR613" s="294"/>
      <c r="MYS613" s="294"/>
      <c r="MYT613" s="294"/>
      <c r="MYU613" s="294"/>
      <c r="MYV613" s="294"/>
      <c r="MYW613" s="294"/>
      <c r="MYX613" s="294"/>
      <c r="MYY613" s="294"/>
      <c r="MYZ613" s="294"/>
      <c r="MZA613" s="294"/>
      <c r="MZB613" s="294"/>
      <c r="MZC613" s="294"/>
      <c r="MZD613" s="294"/>
      <c r="MZE613" s="294"/>
      <c r="MZF613" s="294"/>
      <c r="MZG613" s="294"/>
      <c r="MZH613" s="294"/>
      <c r="MZI613" s="294"/>
      <c r="MZJ613" s="294"/>
      <c r="MZK613" s="294"/>
      <c r="MZL613" s="294"/>
      <c r="MZM613" s="294"/>
      <c r="MZN613" s="294"/>
      <c r="MZO613" s="294"/>
      <c r="MZP613" s="294"/>
      <c r="MZQ613" s="294"/>
      <c r="MZR613" s="294"/>
      <c r="MZS613" s="294"/>
      <c r="MZT613" s="294"/>
      <c r="MZU613" s="294"/>
      <c r="MZV613" s="294"/>
      <c r="MZW613" s="294"/>
      <c r="MZX613" s="294"/>
      <c r="MZY613" s="294"/>
      <c r="MZZ613" s="294"/>
      <c r="NAA613" s="294"/>
      <c r="NAB613" s="294"/>
      <c r="NAC613" s="294"/>
      <c r="NAD613" s="294"/>
      <c r="NAE613" s="294"/>
      <c r="NAF613" s="294"/>
      <c r="NAG613" s="294"/>
      <c r="NAH613" s="294"/>
      <c r="NAI613" s="294"/>
      <c r="NAJ613" s="294"/>
      <c r="NAK613" s="294"/>
      <c r="NAL613" s="294"/>
      <c r="NAM613" s="294"/>
      <c r="NAN613" s="294"/>
      <c r="NAO613" s="294"/>
      <c r="NAP613" s="294"/>
      <c r="NAQ613" s="294"/>
      <c r="NAR613" s="294"/>
      <c r="NAS613" s="294"/>
      <c r="NAT613" s="294"/>
      <c r="NAU613" s="294"/>
      <c r="NAV613" s="294"/>
      <c r="NAW613" s="294"/>
      <c r="NAX613" s="294"/>
      <c r="NAY613" s="294"/>
      <c r="NAZ613" s="294"/>
      <c r="NBA613" s="294"/>
      <c r="NBB613" s="294"/>
      <c r="NBC613" s="294"/>
      <c r="NBD613" s="294"/>
      <c r="NBE613" s="294"/>
      <c r="NBF613" s="294"/>
      <c r="NBG613" s="294"/>
      <c r="NBH613" s="294"/>
      <c r="NBI613" s="294"/>
      <c r="NBJ613" s="294"/>
      <c r="NBK613" s="294"/>
      <c r="NBL613" s="294"/>
      <c r="NBM613" s="294"/>
      <c r="NBN613" s="294"/>
      <c r="NBO613" s="294"/>
      <c r="NBP613" s="294"/>
      <c r="NBQ613" s="294"/>
      <c r="NBR613" s="294"/>
      <c r="NBS613" s="294"/>
      <c r="NBT613" s="294"/>
      <c r="NBU613" s="294"/>
      <c r="NBV613" s="294"/>
      <c r="NBW613" s="294"/>
      <c r="NBX613" s="294"/>
      <c r="NBY613" s="294"/>
      <c r="NBZ613" s="294"/>
      <c r="NCA613" s="294"/>
      <c r="NCB613" s="294"/>
      <c r="NCC613" s="294"/>
      <c r="NCD613" s="294"/>
      <c r="NCE613" s="294"/>
      <c r="NCF613" s="294"/>
      <c r="NCG613" s="294"/>
      <c r="NCH613" s="294"/>
      <c r="NCI613" s="294"/>
      <c r="NCJ613" s="294"/>
      <c r="NCK613" s="294"/>
      <c r="NCL613" s="294"/>
      <c r="NCM613" s="294"/>
      <c r="NCN613" s="294"/>
      <c r="NCO613" s="294"/>
      <c r="NCP613" s="294"/>
      <c r="NCQ613" s="294"/>
      <c r="NCR613" s="294"/>
      <c r="NCS613" s="294"/>
      <c r="NCT613" s="294"/>
      <c r="NCU613" s="294"/>
      <c r="NCV613" s="294"/>
      <c r="NCW613" s="294"/>
      <c r="NCX613" s="294"/>
      <c r="NCY613" s="294"/>
      <c r="NCZ613" s="294"/>
      <c r="NDA613" s="294"/>
      <c r="NDB613" s="294"/>
      <c r="NDC613" s="294"/>
      <c r="NDD613" s="294"/>
      <c r="NDE613" s="294"/>
      <c r="NDF613" s="294"/>
      <c r="NDG613" s="294"/>
      <c r="NDH613" s="294"/>
      <c r="NDI613" s="294"/>
      <c r="NDJ613" s="294"/>
      <c r="NDK613" s="294"/>
      <c r="NDL613" s="294"/>
      <c r="NDM613" s="294"/>
      <c r="NDN613" s="294"/>
      <c r="NDO613" s="294"/>
      <c r="NDP613" s="294"/>
      <c r="NDQ613" s="294"/>
      <c r="NDR613" s="294"/>
      <c r="NDS613" s="294"/>
      <c r="NDT613" s="294"/>
      <c r="NDU613" s="294"/>
      <c r="NDV613" s="294"/>
      <c r="NDW613" s="294"/>
      <c r="NDX613" s="294"/>
      <c r="NDY613" s="294"/>
      <c r="NDZ613" s="294"/>
      <c r="NEA613" s="294"/>
      <c r="NEB613" s="294"/>
      <c r="NEC613" s="294"/>
      <c r="NED613" s="294"/>
      <c r="NEE613" s="294"/>
      <c r="NEF613" s="294"/>
      <c r="NEG613" s="294"/>
      <c r="NEH613" s="294"/>
      <c r="NEI613" s="294"/>
      <c r="NEJ613" s="294"/>
      <c r="NEK613" s="294"/>
      <c r="NEL613" s="294"/>
      <c r="NEM613" s="294"/>
      <c r="NEN613" s="294"/>
      <c r="NEO613" s="294"/>
      <c r="NEP613" s="294"/>
      <c r="NEQ613" s="294"/>
      <c r="NER613" s="294"/>
      <c r="NES613" s="294"/>
      <c r="NET613" s="294"/>
      <c r="NEU613" s="294"/>
      <c r="NEV613" s="294"/>
      <c r="NEW613" s="294"/>
      <c r="NEX613" s="294"/>
      <c r="NEY613" s="294"/>
      <c r="NEZ613" s="294"/>
      <c r="NFA613" s="294"/>
      <c r="NFB613" s="294"/>
      <c r="NFC613" s="294"/>
      <c r="NFD613" s="294"/>
      <c r="NFE613" s="294"/>
      <c r="NFF613" s="294"/>
      <c r="NFG613" s="294"/>
      <c r="NFH613" s="294"/>
      <c r="NFI613" s="294"/>
      <c r="NFJ613" s="294"/>
      <c r="NFK613" s="294"/>
      <c r="NFL613" s="294"/>
      <c r="NFM613" s="294"/>
      <c r="NFN613" s="294"/>
      <c r="NFO613" s="294"/>
      <c r="NFP613" s="294"/>
      <c r="NFQ613" s="294"/>
      <c r="NFR613" s="294"/>
      <c r="NFS613" s="294"/>
      <c r="NFT613" s="294"/>
      <c r="NFU613" s="294"/>
      <c r="NFV613" s="294"/>
      <c r="NFW613" s="294"/>
      <c r="NFX613" s="294"/>
      <c r="NFY613" s="294"/>
      <c r="NFZ613" s="294"/>
      <c r="NGA613" s="294"/>
      <c r="NGB613" s="294"/>
      <c r="NGC613" s="294"/>
      <c r="NGD613" s="294"/>
      <c r="NGE613" s="294"/>
      <c r="NGF613" s="294"/>
      <c r="NGG613" s="294"/>
      <c r="NGH613" s="294"/>
      <c r="NGI613" s="294"/>
      <c r="NGJ613" s="294"/>
      <c r="NGK613" s="294"/>
      <c r="NGL613" s="294"/>
      <c r="NGM613" s="294"/>
      <c r="NGN613" s="294"/>
      <c r="NGO613" s="294"/>
      <c r="NGP613" s="294"/>
      <c r="NGQ613" s="294"/>
      <c r="NGR613" s="294"/>
      <c r="NGS613" s="294"/>
      <c r="NGT613" s="294"/>
      <c r="NGU613" s="294"/>
      <c r="NGV613" s="294"/>
      <c r="NGW613" s="294"/>
      <c r="NGX613" s="294"/>
      <c r="NGY613" s="294"/>
      <c r="NGZ613" s="294"/>
      <c r="NHA613" s="294"/>
      <c r="NHB613" s="294"/>
      <c r="NHC613" s="294"/>
      <c r="NHD613" s="294"/>
      <c r="NHE613" s="294"/>
      <c r="NHF613" s="294"/>
      <c r="NHG613" s="294"/>
      <c r="NHH613" s="294"/>
      <c r="NHI613" s="294"/>
      <c r="NHJ613" s="294"/>
      <c r="NHK613" s="294"/>
      <c r="NHL613" s="294"/>
      <c r="NHM613" s="294"/>
      <c r="NHN613" s="294"/>
      <c r="NHO613" s="294"/>
      <c r="NHP613" s="294"/>
      <c r="NHQ613" s="294"/>
      <c r="NHR613" s="294"/>
      <c r="NHS613" s="294"/>
      <c r="NHT613" s="294"/>
      <c r="NHU613" s="294"/>
      <c r="NHV613" s="294"/>
      <c r="NHW613" s="294"/>
      <c r="NHX613" s="294"/>
      <c r="NHY613" s="294"/>
      <c r="NHZ613" s="294"/>
      <c r="NIA613" s="294"/>
      <c r="NIB613" s="294"/>
      <c r="NIC613" s="294"/>
      <c r="NID613" s="294"/>
      <c r="NIE613" s="294"/>
      <c r="NIF613" s="294"/>
      <c r="NIG613" s="294"/>
      <c r="NIH613" s="294"/>
      <c r="NII613" s="294"/>
      <c r="NIJ613" s="294"/>
      <c r="NIK613" s="294"/>
      <c r="NIL613" s="294"/>
      <c r="NIM613" s="294"/>
      <c r="NIN613" s="294"/>
      <c r="NIO613" s="294"/>
      <c r="NIP613" s="294"/>
      <c r="NIQ613" s="294"/>
      <c r="NIR613" s="294"/>
      <c r="NIS613" s="294"/>
      <c r="NIT613" s="294"/>
      <c r="NIU613" s="294"/>
      <c r="NIV613" s="294"/>
      <c r="NIW613" s="294"/>
      <c r="NIX613" s="294"/>
      <c r="NIY613" s="294"/>
      <c r="NIZ613" s="294"/>
      <c r="NJA613" s="294"/>
      <c r="NJB613" s="294"/>
      <c r="NJC613" s="294"/>
      <c r="NJD613" s="294"/>
      <c r="NJE613" s="294"/>
      <c r="NJF613" s="294"/>
      <c r="NJG613" s="294"/>
      <c r="NJH613" s="294"/>
      <c r="NJI613" s="294"/>
      <c r="NJJ613" s="294"/>
      <c r="NJK613" s="294"/>
      <c r="NJL613" s="294"/>
      <c r="NJM613" s="294"/>
      <c r="NJN613" s="294"/>
      <c r="NJO613" s="294"/>
      <c r="NJP613" s="294"/>
      <c r="NJQ613" s="294"/>
      <c r="NJR613" s="294"/>
      <c r="NJS613" s="294"/>
      <c r="NJT613" s="294"/>
      <c r="NJU613" s="294"/>
      <c r="NJV613" s="294"/>
      <c r="NJW613" s="294"/>
      <c r="NJX613" s="294"/>
      <c r="NJY613" s="294"/>
      <c r="NJZ613" s="294"/>
      <c r="NKA613" s="294"/>
      <c r="NKB613" s="294"/>
      <c r="NKC613" s="294"/>
      <c r="NKD613" s="294"/>
      <c r="NKE613" s="294"/>
      <c r="NKF613" s="294"/>
      <c r="NKG613" s="294"/>
      <c r="NKH613" s="294"/>
      <c r="NKI613" s="294"/>
      <c r="NKJ613" s="294"/>
      <c r="NKK613" s="294"/>
      <c r="NKL613" s="294"/>
      <c r="NKM613" s="294"/>
      <c r="NKN613" s="294"/>
      <c r="NKO613" s="294"/>
      <c r="NKP613" s="294"/>
      <c r="NKQ613" s="294"/>
      <c r="NKR613" s="294"/>
      <c r="NKS613" s="294"/>
      <c r="NKT613" s="294"/>
      <c r="NKU613" s="294"/>
      <c r="NKV613" s="294"/>
      <c r="NKW613" s="294"/>
      <c r="NKX613" s="294"/>
      <c r="NKY613" s="294"/>
      <c r="NKZ613" s="294"/>
      <c r="NLA613" s="294"/>
      <c r="NLB613" s="294"/>
      <c r="NLC613" s="294"/>
      <c r="NLD613" s="294"/>
      <c r="NLE613" s="294"/>
      <c r="NLF613" s="294"/>
      <c r="NLG613" s="294"/>
      <c r="NLH613" s="294"/>
      <c r="NLI613" s="294"/>
      <c r="NLJ613" s="294"/>
      <c r="NLK613" s="294"/>
      <c r="NLL613" s="294"/>
      <c r="NLM613" s="294"/>
      <c r="NLN613" s="294"/>
      <c r="NLO613" s="294"/>
      <c r="NLP613" s="294"/>
      <c r="NLQ613" s="294"/>
      <c r="NLR613" s="294"/>
      <c r="NLS613" s="294"/>
      <c r="NLT613" s="294"/>
      <c r="NLU613" s="294"/>
      <c r="NLV613" s="294"/>
      <c r="NLW613" s="294"/>
      <c r="NLX613" s="294"/>
      <c r="NLY613" s="294"/>
      <c r="NLZ613" s="294"/>
      <c r="NMA613" s="294"/>
      <c r="NMB613" s="294"/>
      <c r="NMC613" s="294"/>
      <c r="NMD613" s="294"/>
      <c r="NME613" s="294"/>
      <c r="NMF613" s="294"/>
      <c r="NMG613" s="294"/>
      <c r="NMH613" s="294"/>
      <c r="NMI613" s="294"/>
      <c r="NMJ613" s="294"/>
      <c r="NMK613" s="294"/>
      <c r="NML613" s="294"/>
      <c r="NMM613" s="294"/>
      <c r="NMN613" s="294"/>
      <c r="NMO613" s="294"/>
      <c r="NMP613" s="294"/>
      <c r="NMQ613" s="294"/>
      <c r="NMR613" s="294"/>
      <c r="NMS613" s="294"/>
      <c r="NMT613" s="294"/>
      <c r="NMU613" s="294"/>
      <c r="NMV613" s="294"/>
      <c r="NMW613" s="294"/>
      <c r="NMX613" s="294"/>
      <c r="NMY613" s="294"/>
      <c r="NMZ613" s="294"/>
      <c r="NNA613" s="294"/>
      <c r="NNB613" s="294"/>
      <c r="NNC613" s="294"/>
      <c r="NND613" s="294"/>
      <c r="NNE613" s="294"/>
      <c r="NNF613" s="294"/>
      <c r="NNG613" s="294"/>
      <c r="NNH613" s="294"/>
      <c r="NNI613" s="294"/>
      <c r="NNJ613" s="294"/>
      <c r="NNK613" s="294"/>
      <c r="NNL613" s="294"/>
      <c r="NNM613" s="294"/>
      <c r="NNN613" s="294"/>
      <c r="NNO613" s="294"/>
      <c r="NNP613" s="294"/>
      <c r="NNQ613" s="294"/>
      <c r="NNR613" s="294"/>
      <c r="NNS613" s="294"/>
      <c r="NNT613" s="294"/>
      <c r="NNU613" s="294"/>
      <c r="NNV613" s="294"/>
      <c r="NNW613" s="294"/>
      <c r="NNX613" s="294"/>
      <c r="NNY613" s="294"/>
      <c r="NNZ613" s="294"/>
      <c r="NOA613" s="294"/>
      <c r="NOB613" s="294"/>
      <c r="NOC613" s="294"/>
      <c r="NOD613" s="294"/>
      <c r="NOE613" s="294"/>
      <c r="NOF613" s="294"/>
      <c r="NOG613" s="294"/>
      <c r="NOH613" s="294"/>
      <c r="NOI613" s="294"/>
      <c r="NOJ613" s="294"/>
      <c r="NOK613" s="294"/>
      <c r="NOL613" s="294"/>
      <c r="NOM613" s="294"/>
      <c r="NON613" s="294"/>
      <c r="NOO613" s="294"/>
      <c r="NOP613" s="294"/>
      <c r="NOQ613" s="294"/>
      <c r="NOR613" s="294"/>
      <c r="NOS613" s="294"/>
      <c r="NOT613" s="294"/>
      <c r="NOU613" s="294"/>
      <c r="NOV613" s="294"/>
      <c r="NOW613" s="294"/>
      <c r="NOX613" s="294"/>
      <c r="NOY613" s="294"/>
      <c r="NOZ613" s="294"/>
      <c r="NPA613" s="294"/>
      <c r="NPB613" s="294"/>
      <c r="NPC613" s="294"/>
      <c r="NPD613" s="294"/>
      <c r="NPE613" s="294"/>
      <c r="NPF613" s="294"/>
      <c r="NPG613" s="294"/>
      <c r="NPH613" s="294"/>
      <c r="NPI613" s="294"/>
      <c r="NPJ613" s="294"/>
      <c r="NPK613" s="294"/>
      <c r="NPL613" s="294"/>
      <c r="NPM613" s="294"/>
      <c r="NPN613" s="294"/>
      <c r="NPO613" s="294"/>
      <c r="NPP613" s="294"/>
      <c r="NPQ613" s="294"/>
      <c r="NPR613" s="294"/>
      <c r="NPS613" s="294"/>
      <c r="NPT613" s="294"/>
      <c r="NPU613" s="294"/>
      <c r="NPV613" s="294"/>
      <c r="NPW613" s="294"/>
      <c r="NPX613" s="294"/>
      <c r="NPY613" s="294"/>
      <c r="NPZ613" s="294"/>
      <c r="NQA613" s="294"/>
      <c r="NQB613" s="294"/>
      <c r="NQC613" s="294"/>
      <c r="NQD613" s="294"/>
      <c r="NQE613" s="294"/>
      <c r="NQF613" s="294"/>
      <c r="NQG613" s="294"/>
      <c r="NQH613" s="294"/>
      <c r="NQI613" s="294"/>
      <c r="NQJ613" s="294"/>
      <c r="NQK613" s="294"/>
      <c r="NQL613" s="294"/>
      <c r="NQM613" s="294"/>
      <c r="NQN613" s="294"/>
      <c r="NQO613" s="294"/>
      <c r="NQP613" s="294"/>
      <c r="NQQ613" s="294"/>
      <c r="NQR613" s="294"/>
      <c r="NQS613" s="294"/>
      <c r="NQT613" s="294"/>
      <c r="NQU613" s="294"/>
      <c r="NQV613" s="294"/>
      <c r="NQW613" s="294"/>
      <c r="NQX613" s="294"/>
      <c r="NQY613" s="294"/>
      <c r="NQZ613" s="294"/>
      <c r="NRA613" s="294"/>
      <c r="NRB613" s="294"/>
      <c r="NRC613" s="294"/>
      <c r="NRD613" s="294"/>
      <c r="NRE613" s="294"/>
      <c r="NRF613" s="294"/>
      <c r="NRG613" s="294"/>
      <c r="NRH613" s="294"/>
      <c r="NRI613" s="294"/>
      <c r="NRJ613" s="294"/>
      <c r="NRK613" s="294"/>
      <c r="NRL613" s="294"/>
      <c r="NRM613" s="294"/>
      <c r="NRN613" s="294"/>
      <c r="NRO613" s="294"/>
      <c r="NRP613" s="294"/>
      <c r="NRQ613" s="294"/>
      <c r="NRR613" s="294"/>
      <c r="NRS613" s="294"/>
      <c r="NRT613" s="294"/>
      <c r="NRU613" s="294"/>
      <c r="NRV613" s="294"/>
      <c r="NRW613" s="294"/>
      <c r="NRX613" s="294"/>
      <c r="NRY613" s="294"/>
      <c r="NRZ613" s="294"/>
      <c r="NSA613" s="294"/>
      <c r="NSB613" s="294"/>
      <c r="NSC613" s="294"/>
      <c r="NSD613" s="294"/>
      <c r="NSE613" s="294"/>
      <c r="NSF613" s="294"/>
      <c r="NSG613" s="294"/>
      <c r="NSH613" s="294"/>
      <c r="NSI613" s="294"/>
      <c r="NSJ613" s="294"/>
      <c r="NSK613" s="294"/>
      <c r="NSL613" s="294"/>
      <c r="NSM613" s="294"/>
      <c r="NSN613" s="294"/>
      <c r="NSO613" s="294"/>
      <c r="NSP613" s="294"/>
      <c r="NSQ613" s="294"/>
      <c r="NSR613" s="294"/>
      <c r="NSS613" s="294"/>
      <c r="NST613" s="294"/>
      <c r="NSU613" s="294"/>
      <c r="NSV613" s="294"/>
      <c r="NSW613" s="294"/>
      <c r="NSX613" s="294"/>
      <c r="NSY613" s="294"/>
      <c r="NSZ613" s="294"/>
      <c r="NTA613" s="294"/>
      <c r="NTB613" s="294"/>
      <c r="NTC613" s="294"/>
      <c r="NTD613" s="294"/>
      <c r="NTE613" s="294"/>
      <c r="NTF613" s="294"/>
      <c r="NTG613" s="294"/>
      <c r="NTH613" s="294"/>
      <c r="NTI613" s="294"/>
      <c r="NTJ613" s="294"/>
      <c r="NTK613" s="294"/>
      <c r="NTL613" s="294"/>
      <c r="NTM613" s="294"/>
      <c r="NTN613" s="294"/>
      <c r="NTO613" s="294"/>
      <c r="NTP613" s="294"/>
      <c r="NTQ613" s="294"/>
      <c r="NTR613" s="294"/>
      <c r="NTS613" s="294"/>
      <c r="NTT613" s="294"/>
      <c r="NTU613" s="294"/>
      <c r="NTV613" s="294"/>
      <c r="NTW613" s="294"/>
      <c r="NTX613" s="294"/>
      <c r="NTY613" s="294"/>
      <c r="NTZ613" s="294"/>
      <c r="NUA613" s="294"/>
      <c r="NUB613" s="294"/>
      <c r="NUC613" s="294"/>
      <c r="NUD613" s="294"/>
      <c r="NUE613" s="294"/>
      <c r="NUF613" s="294"/>
      <c r="NUG613" s="294"/>
      <c r="NUH613" s="294"/>
      <c r="NUI613" s="294"/>
      <c r="NUJ613" s="294"/>
      <c r="NUK613" s="294"/>
      <c r="NUL613" s="294"/>
      <c r="NUM613" s="294"/>
      <c r="NUN613" s="294"/>
      <c r="NUO613" s="294"/>
      <c r="NUP613" s="294"/>
      <c r="NUQ613" s="294"/>
      <c r="NUR613" s="294"/>
      <c r="NUS613" s="294"/>
      <c r="NUT613" s="294"/>
      <c r="NUU613" s="294"/>
      <c r="NUV613" s="294"/>
      <c r="NUW613" s="294"/>
      <c r="NUX613" s="294"/>
      <c r="NUY613" s="294"/>
      <c r="NUZ613" s="294"/>
      <c r="NVA613" s="294"/>
      <c r="NVB613" s="294"/>
      <c r="NVC613" s="294"/>
      <c r="NVD613" s="294"/>
      <c r="NVE613" s="294"/>
      <c r="NVF613" s="294"/>
      <c r="NVG613" s="294"/>
      <c r="NVH613" s="294"/>
      <c r="NVI613" s="294"/>
      <c r="NVJ613" s="294"/>
      <c r="NVK613" s="294"/>
      <c r="NVL613" s="294"/>
      <c r="NVM613" s="294"/>
      <c r="NVN613" s="294"/>
      <c r="NVO613" s="294"/>
      <c r="NVP613" s="294"/>
      <c r="NVQ613" s="294"/>
      <c r="NVR613" s="294"/>
      <c r="NVS613" s="294"/>
      <c r="NVT613" s="294"/>
      <c r="NVU613" s="294"/>
      <c r="NVV613" s="294"/>
      <c r="NVW613" s="294"/>
      <c r="NVX613" s="294"/>
      <c r="NVY613" s="294"/>
      <c r="NVZ613" s="294"/>
      <c r="NWA613" s="294"/>
      <c r="NWB613" s="294"/>
      <c r="NWC613" s="294"/>
      <c r="NWD613" s="294"/>
      <c r="NWE613" s="294"/>
      <c r="NWF613" s="294"/>
      <c r="NWG613" s="294"/>
      <c r="NWH613" s="294"/>
      <c r="NWI613" s="294"/>
      <c r="NWJ613" s="294"/>
      <c r="NWK613" s="294"/>
      <c r="NWL613" s="294"/>
      <c r="NWM613" s="294"/>
      <c r="NWN613" s="294"/>
      <c r="NWO613" s="294"/>
      <c r="NWP613" s="294"/>
      <c r="NWQ613" s="294"/>
      <c r="NWR613" s="294"/>
      <c r="NWS613" s="294"/>
      <c r="NWT613" s="294"/>
      <c r="NWU613" s="294"/>
      <c r="NWV613" s="294"/>
      <c r="NWW613" s="294"/>
      <c r="NWX613" s="294"/>
      <c r="NWY613" s="294"/>
      <c r="NWZ613" s="294"/>
      <c r="NXA613" s="294"/>
      <c r="NXB613" s="294"/>
      <c r="NXC613" s="294"/>
      <c r="NXD613" s="294"/>
      <c r="NXE613" s="294"/>
      <c r="NXF613" s="294"/>
      <c r="NXG613" s="294"/>
      <c r="NXH613" s="294"/>
      <c r="NXI613" s="294"/>
      <c r="NXJ613" s="294"/>
      <c r="NXK613" s="294"/>
      <c r="NXL613" s="294"/>
      <c r="NXM613" s="294"/>
      <c r="NXN613" s="294"/>
      <c r="NXO613" s="294"/>
      <c r="NXP613" s="294"/>
      <c r="NXQ613" s="294"/>
      <c r="NXR613" s="294"/>
      <c r="NXS613" s="294"/>
      <c r="NXT613" s="294"/>
      <c r="NXU613" s="294"/>
      <c r="NXV613" s="294"/>
      <c r="NXW613" s="294"/>
      <c r="NXX613" s="294"/>
      <c r="NXY613" s="294"/>
      <c r="NXZ613" s="294"/>
      <c r="NYA613" s="294"/>
      <c r="NYB613" s="294"/>
      <c r="NYC613" s="294"/>
      <c r="NYD613" s="294"/>
      <c r="NYE613" s="294"/>
      <c r="NYF613" s="294"/>
      <c r="NYG613" s="294"/>
      <c r="NYH613" s="294"/>
      <c r="NYI613" s="294"/>
      <c r="NYJ613" s="294"/>
      <c r="NYK613" s="294"/>
      <c r="NYL613" s="294"/>
      <c r="NYM613" s="294"/>
      <c r="NYN613" s="294"/>
      <c r="NYO613" s="294"/>
      <c r="NYP613" s="294"/>
      <c r="NYQ613" s="294"/>
      <c r="NYR613" s="294"/>
      <c r="NYS613" s="294"/>
      <c r="NYT613" s="294"/>
      <c r="NYU613" s="294"/>
      <c r="NYV613" s="294"/>
      <c r="NYW613" s="294"/>
      <c r="NYX613" s="294"/>
      <c r="NYY613" s="294"/>
      <c r="NYZ613" s="294"/>
      <c r="NZA613" s="294"/>
      <c r="NZB613" s="294"/>
      <c r="NZC613" s="294"/>
      <c r="NZD613" s="294"/>
      <c r="NZE613" s="294"/>
      <c r="NZF613" s="294"/>
      <c r="NZG613" s="294"/>
      <c r="NZH613" s="294"/>
      <c r="NZI613" s="294"/>
      <c r="NZJ613" s="294"/>
      <c r="NZK613" s="294"/>
      <c r="NZL613" s="294"/>
      <c r="NZM613" s="294"/>
      <c r="NZN613" s="294"/>
      <c r="NZO613" s="294"/>
      <c r="NZP613" s="294"/>
      <c r="NZQ613" s="294"/>
      <c r="NZR613" s="294"/>
      <c r="NZS613" s="294"/>
      <c r="NZT613" s="294"/>
      <c r="NZU613" s="294"/>
      <c r="NZV613" s="294"/>
      <c r="NZW613" s="294"/>
      <c r="NZX613" s="294"/>
      <c r="NZY613" s="294"/>
      <c r="NZZ613" s="294"/>
      <c r="OAA613" s="294"/>
      <c r="OAB613" s="294"/>
      <c r="OAC613" s="294"/>
      <c r="OAD613" s="294"/>
      <c r="OAE613" s="294"/>
      <c r="OAF613" s="294"/>
      <c r="OAG613" s="294"/>
      <c r="OAH613" s="294"/>
      <c r="OAI613" s="294"/>
      <c r="OAJ613" s="294"/>
      <c r="OAK613" s="294"/>
      <c r="OAL613" s="294"/>
      <c r="OAM613" s="294"/>
      <c r="OAN613" s="294"/>
      <c r="OAO613" s="294"/>
      <c r="OAP613" s="294"/>
      <c r="OAQ613" s="294"/>
      <c r="OAR613" s="294"/>
      <c r="OAS613" s="294"/>
      <c r="OAT613" s="294"/>
      <c r="OAU613" s="294"/>
      <c r="OAV613" s="294"/>
      <c r="OAW613" s="294"/>
      <c r="OAX613" s="294"/>
      <c r="OAY613" s="294"/>
      <c r="OAZ613" s="294"/>
      <c r="OBA613" s="294"/>
      <c r="OBB613" s="294"/>
      <c r="OBC613" s="294"/>
      <c r="OBD613" s="294"/>
      <c r="OBE613" s="294"/>
      <c r="OBF613" s="294"/>
      <c r="OBG613" s="294"/>
      <c r="OBH613" s="294"/>
      <c r="OBI613" s="294"/>
      <c r="OBJ613" s="294"/>
      <c r="OBK613" s="294"/>
      <c r="OBL613" s="294"/>
      <c r="OBM613" s="294"/>
      <c r="OBN613" s="294"/>
      <c r="OBO613" s="294"/>
      <c r="OBP613" s="294"/>
      <c r="OBQ613" s="294"/>
      <c r="OBR613" s="294"/>
      <c r="OBS613" s="294"/>
      <c r="OBT613" s="294"/>
      <c r="OBU613" s="294"/>
      <c r="OBV613" s="294"/>
      <c r="OBW613" s="294"/>
      <c r="OBX613" s="294"/>
      <c r="OBY613" s="294"/>
      <c r="OBZ613" s="294"/>
      <c r="OCA613" s="294"/>
      <c r="OCB613" s="294"/>
      <c r="OCC613" s="294"/>
      <c r="OCD613" s="294"/>
      <c r="OCE613" s="294"/>
      <c r="OCF613" s="294"/>
      <c r="OCG613" s="294"/>
      <c r="OCH613" s="294"/>
      <c r="OCI613" s="294"/>
      <c r="OCJ613" s="294"/>
      <c r="OCK613" s="294"/>
      <c r="OCL613" s="294"/>
      <c r="OCM613" s="294"/>
      <c r="OCN613" s="294"/>
      <c r="OCO613" s="294"/>
      <c r="OCP613" s="294"/>
      <c r="OCQ613" s="294"/>
      <c r="OCR613" s="294"/>
      <c r="OCS613" s="294"/>
      <c r="OCT613" s="294"/>
      <c r="OCU613" s="294"/>
      <c r="OCV613" s="294"/>
      <c r="OCW613" s="294"/>
      <c r="OCX613" s="294"/>
      <c r="OCY613" s="294"/>
      <c r="OCZ613" s="294"/>
      <c r="ODA613" s="294"/>
      <c r="ODB613" s="294"/>
      <c r="ODC613" s="294"/>
      <c r="ODD613" s="294"/>
      <c r="ODE613" s="294"/>
      <c r="ODF613" s="294"/>
      <c r="ODG613" s="294"/>
      <c r="ODH613" s="294"/>
      <c r="ODI613" s="294"/>
      <c r="ODJ613" s="294"/>
      <c r="ODK613" s="294"/>
      <c r="ODL613" s="294"/>
      <c r="ODM613" s="294"/>
      <c r="ODN613" s="294"/>
      <c r="ODO613" s="294"/>
      <c r="ODP613" s="294"/>
      <c r="ODQ613" s="294"/>
      <c r="ODR613" s="294"/>
      <c r="ODS613" s="294"/>
      <c r="ODT613" s="294"/>
      <c r="ODU613" s="294"/>
      <c r="ODV613" s="294"/>
      <c r="ODW613" s="294"/>
      <c r="ODX613" s="294"/>
      <c r="ODY613" s="294"/>
      <c r="ODZ613" s="294"/>
      <c r="OEA613" s="294"/>
      <c r="OEB613" s="294"/>
      <c r="OEC613" s="294"/>
      <c r="OED613" s="294"/>
      <c r="OEE613" s="294"/>
      <c r="OEF613" s="294"/>
      <c r="OEG613" s="294"/>
      <c r="OEH613" s="294"/>
      <c r="OEI613" s="294"/>
      <c r="OEJ613" s="294"/>
      <c r="OEK613" s="294"/>
      <c r="OEL613" s="294"/>
      <c r="OEM613" s="294"/>
      <c r="OEN613" s="294"/>
      <c r="OEO613" s="294"/>
      <c r="OEP613" s="294"/>
      <c r="OEQ613" s="294"/>
      <c r="OER613" s="294"/>
      <c r="OES613" s="294"/>
      <c r="OET613" s="294"/>
      <c r="OEU613" s="294"/>
      <c r="OEV613" s="294"/>
      <c r="OEW613" s="294"/>
      <c r="OEX613" s="294"/>
      <c r="OEY613" s="294"/>
      <c r="OEZ613" s="294"/>
      <c r="OFA613" s="294"/>
      <c r="OFB613" s="294"/>
      <c r="OFC613" s="294"/>
      <c r="OFD613" s="294"/>
      <c r="OFE613" s="294"/>
      <c r="OFF613" s="294"/>
      <c r="OFG613" s="294"/>
      <c r="OFH613" s="294"/>
      <c r="OFI613" s="294"/>
      <c r="OFJ613" s="294"/>
      <c r="OFK613" s="294"/>
      <c r="OFL613" s="294"/>
      <c r="OFM613" s="294"/>
      <c r="OFN613" s="294"/>
      <c r="OFO613" s="294"/>
      <c r="OFP613" s="294"/>
      <c r="OFQ613" s="294"/>
      <c r="OFR613" s="294"/>
      <c r="OFS613" s="294"/>
      <c r="OFT613" s="294"/>
      <c r="OFU613" s="294"/>
      <c r="OFV613" s="294"/>
      <c r="OFW613" s="294"/>
      <c r="OFX613" s="294"/>
      <c r="OFY613" s="294"/>
      <c r="OFZ613" s="294"/>
      <c r="OGA613" s="294"/>
      <c r="OGB613" s="294"/>
      <c r="OGC613" s="294"/>
      <c r="OGD613" s="294"/>
      <c r="OGE613" s="294"/>
      <c r="OGF613" s="294"/>
      <c r="OGG613" s="294"/>
      <c r="OGH613" s="294"/>
      <c r="OGI613" s="294"/>
      <c r="OGJ613" s="294"/>
      <c r="OGK613" s="294"/>
      <c r="OGL613" s="294"/>
      <c r="OGM613" s="294"/>
      <c r="OGN613" s="294"/>
      <c r="OGO613" s="294"/>
      <c r="OGP613" s="294"/>
      <c r="OGQ613" s="294"/>
      <c r="OGR613" s="294"/>
      <c r="OGS613" s="294"/>
      <c r="OGT613" s="294"/>
      <c r="OGU613" s="294"/>
      <c r="OGV613" s="294"/>
      <c r="OGW613" s="294"/>
      <c r="OGX613" s="294"/>
      <c r="OGY613" s="294"/>
      <c r="OGZ613" s="294"/>
      <c r="OHA613" s="294"/>
      <c r="OHB613" s="294"/>
      <c r="OHC613" s="294"/>
      <c r="OHD613" s="294"/>
      <c r="OHE613" s="294"/>
      <c r="OHF613" s="294"/>
      <c r="OHG613" s="294"/>
      <c r="OHH613" s="294"/>
      <c r="OHI613" s="294"/>
      <c r="OHJ613" s="294"/>
      <c r="OHK613" s="294"/>
      <c r="OHL613" s="294"/>
      <c r="OHM613" s="294"/>
      <c r="OHN613" s="294"/>
      <c r="OHO613" s="294"/>
      <c r="OHP613" s="294"/>
      <c r="OHQ613" s="294"/>
      <c r="OHR613" s="294"/>
      <c r="OHS613" s="294"/>
      <c r="OHT613" s="294"/>
      <c r="OHU613" s="294"/>
      <c r="OHV613" s="294"/>
      <c r="OHW613" s="294"/>
      <c r="OHX613" s="294"/>
      <c r="OHY613" s="294"/>
      <c r="OHZ613" s="294"/>
      <c r="OIA613" s="294"/>
      <c r="OIB613" s="294"/>
      <c r="OIC613" s="294"/>
      <c r="OID613" s="294"/>
      <c r="OIE613" s="294"/>
      <c r="OIF613" s="294"/>
      <c r="OIG613" s="294"/>
      <c r="OIH613" s="294"/>
      <c r="OII613" s="294"/>
      <c r="OIJ613" s="294"/>
      <c r="OIK613" s="294"/>
      <c r="OIL613" s="294"/>
      <c r="OIM613" s="294"/>
      <c r="OIN613" s="294"/>
      <c r="OIO613" s="294"/>
      <c r="OIP613" s="294"/>
      <c r="OIQ613" s="294"/>
      <c r="OIR613" s="294"/>
      <c r="OIS613" s="294"/>
      <c r="OIT613" s="294"/>
      <c r="OIU613" s="294"/>
      <c r="OIV613" s="294"/>
      <c r="OIW613" s="294"/>
      <c r="OIX613" s="294"/>
      <c r="OIY613" s="294"/>
      <c r="OIZ613" s="294"/>
      <c r="OJA613" s="294"/>
      <c r="OJB613" s="294"/>
      <c r="OJC613" s="294"/>
      <c r="OJD613" s="294"/>
      <c r="OJE613" s="294"/>
      <c r="OJF613" s="294"/>
      <c r="OJG613" s="294"/>
      <c r="OJH613" s="294"/>
      <c r="OJI613" s="294"/>
      <c r="OJJ613" s="294"/>
      <c r="OJK613" s="294"/>
      <c r="OJL613" s="294"/>
      <c r="OJM613" s="294"/>
      <c r="OJN613" s="294"/>
      <c r="OJO613" s="294"/>
      <c r="OJP613" s="294"/>
      <c r="OJQ613" s="294"/>
      <c r="OJR613" s="294"/>
      <c r="OJS613" s="294"/>
      <c r="OJT613" s="294"/>
      <c r="OJU613" s="294"/>
      <c r="OJV613" s="294"/>
      <c r="OJW613" s="294"/>
      <c r="OJX613" s="294"/>
      <c r="OJY613" s="294"/>
      <c r="OJZ613" s="294"/>
      <c r="OKA613" s="294"/>
      <c r="OKB613" s="294"/>
      <c r="OKC613" s="294"/>
      <c r="OKD613" s="294"/>
      <c r="OKE613" s="294"/>
      <c r="OKF613" s="294"/>
      <c r="OKG613" s="294"/>
      <c r="OKH613" s="294"/>
      <c r="OKI613" s="294"/>
      <c r="OKJ613" s="294"/>
      <c r="OKK613" s="294"/>
      <c r="OKL613" s="294"/>
      <c r="OKM613" s="294"/>
      <c r="OKN613" s="294"/>
      <c r="OKO613" s="294"/>
      <c r="OKP613" s="294"/>
      <c r="OKQ613" s="294"/>
      <c r="OKR613" s="294"/>
      <c r="OKS613" s="294"/>
      <c r="OKT613" s="294"/>
      <c r="OKU613" s="294"/>
      <c r="OKV613" s="294"/>
      <c r="OKW613" s="294"/>
      <c r="OKX613" s="294"/>
      <c r="OKY613" s="294"/>
      <c r="OKZ613" s="294"/>
      <c r="OLA613" s="294"/>
      <c r="OLB613" s="294"/>
      <c r="OLC613" s="294"/>
      <c r="OLD613" s="294"/>
      <c r="OLE613" s="294"/>
      <c r="OLF613" s="294"/>
      <c r="OLG613" s="294"/>
      <c r="OLH613" s="294"/>
      <c r="OLI613" s="294"/>
      <c r="OLJ613" s="294"/>
      <c r="OLK613" s="294"/>
      <c r="OLL613" s="294"/>
      <c r="OLM613" s="294"/>
      <c r="OLN613" s="294"/>
      <c r="OLO613" s="294"/>
      <c r="OLP613" s="294"/>
      <c r="OLQ613" s="294"/>
      <c r="OLR613" s="294"/>
      <c r="OLS613" s="294"/>
      <c r="OLT613" s="294"/>
      <c r="OLU613" s="294"/>
      <c r="OLV613" s="294"/>
      <c r="OLW613" s="294"/>
      <c r="OLX613" s="294"/>
      <c r="OLY613" s="294"/>
      <c r="OLZ613" s="294"/>
      <c r="OMA613" s="294"/>
      <c r="OMB613" s="294"/>
      <c r="OMC613" s="294"/>
      <c r="OMD613" s="294"/>
      <c r="OME613" s="294"/>
      <c r="OMF613" s="294"/>
      <c r="OMG613" s="294"/>
      <c r="OMH613" s="294"/>
      <c r="OMI613" s="294"/>
      <c r="OMJ613" s="294"/>
      <c r="OMK613" s="294"/>
      <c r="OML613" s="294"/>
      <c r="OMM613" s="294"/>
      <c r="OMN613" s="294"/>
      <c r="OMO613" s="294"/>
      <c r="OMP613" s="294"/>
      <c r="OMQ613" s="294"/>
      <c r="OMR613" s="294"/>
      <c r="OMS613" s="294"/>
      <c r="OMT613" s="294"/>
      <c r="OMU613" s="294"/>
      <c r="OMV613" s="294"/>
      <c r="OMW613" s="294"/>
      <c r="OMX613" s="294"/>
      <c r="OMY613" s="294"/>
      <c r="OMZ613" s="294"/>
      <c r="ONA613" s="294"/>
      <c r="ONB613" s="294"/>
      <c r="ONC613" s="294"/>
      <c r="OND613" s="294"/>
      <c r="ONE613" s="294"/>
      <c r="ONF613" s="294"/>
      <c r="ONG613" s="294"/>
      <c r="ONH613" s="294"/>
      <c r="ONI613" s="294"/>
      <c r="ONJ613" s="294"/>
      <c r="ONK613" s="294"/>
      <c r="ONL613" s="294"/>
      <c r="ONM613" s="294"/>
      <c r="ONN613" s="294"/>
      <c r="ONO613" s="294"/>
      <c r="ONP613" s="294"/>
      <c r="ONQ613" s="294"/>
      <c r="ONR613" s="294"/>
      <c r="ONS613" s="294"/>
      <c r="ONT613" s="294"/>
      <c r="ONU613" s="294"/>
      <c r="ONV613" s="294"/>
      <c r="ONW613" s="294"/>
      <c r="ONX613" s="294"/>
      <c r="ONY613" s="294"/>
      <c r="ONZ613" s="294"/>
      <c r="OOA613" s="294"/>
      <c r="OOB613" s="294"/>
      <c r="OOC613" s="294"/>
      <c r="OOD613" s="294"/>
      <c r="OOE613" s="294"/>
      <c r="OOF613" s="294"/>
      <c r="OOG613" s="294"/>
      <c r="OOH613" s="294"/>
      <c r="OOI613" s="294"/>
      <c r="OOJ613" s="294"/>
      <c r="OOK613" s="294"/>
      <c r="OOL613" s="294"/>
      <c r="OOM613" s="294"/>
      <c r="OON613" s="294"/>
      <c r="OOO613" s="294"/>
      <c r="OOP613" s="294"/>
      <c r="OOQ613" s="294"/>
      <c r="OOR613" s="294"/>
      <c r="OOS613" s="294"/>
      <c r="OOT613" s="294"/>
      <c r="OOU613" s="294"/>
      <c r="OOV613" s="294"/>
      <c r="OOW613" s="294"/>
      <c r="OOX613" s="294"/>
      <c r="OOY613" s="294"/>
      <c r="OOZ613" s="294"/>
      <c r="OPA613" s="294"/>
      <c r="OPB613" s="294"/>
      <c r="OPC613" s="294"/>
      <c r="OPD613" s="294"/>
      <c r="OPE613" s="294"/>
      <c r="OPF613" s="294"/>
      <c r="OPG613" s="294"/>
      <c r="OPH613" s="294"/>
      <c r="OPI613" s="294"/>
      <c r="OPJ613" s="294"/>
      <c r="OPK613" s="294"/>
      <c r="OPL613" s="294"/>
      <c r="OPM613" s="294"/>
      <c r="OPN613" s="294"/>
      <c r="OPO613" s="294"/>
      <c r="OPP613" s="294"/>
      <c r="OPQ613" s="294"/>
      <c r="OPR613" s="294"/>
      <c r="OPS613" s="294"/>
      <c r="OPT613" s="294"/>
      <c r="OPU613" s="294"/>
      <c r="OPV613" s="294"/>
      <c r="OPW613" s="294"/>
      <c r="OPX613" s="294"/>
      <c r="OPY613" s="294"/>
      <c r="OPZ613" s="294"/>
      <c r="OQA613" s="294"/>
      <c r="OQB613" s="294"/>
      <c r="OQC613" s="294"/>
      <c r="OQD613" s="294"/>
      <c r="OQE613" s="294"/>
      <c r="OQF613" s="294"/>
      <c r="OQG613" s="294"/>
      <c r="OQH613" s="294"/>
      <c r="OQI613" s="294"/>
      <c r="OQJ613" s="294"/>
      <c r="OQK613" s="294"/>
      <c r="OQL613" s="294"/>
      <c r="OQM613" s="294"/>
      <c r="OQN613" s="294"/>
      <c r="OQO613" s="294"/>
      <c r="OQP613" s="294"/>
      <c r="OQQ613" s="294"/>
      <c r="OQR613" s="294"/>
      <c r="OQS613" s="294"/>
      <c r="OQT613" s="294"/>
      <c r="OQU613" s="294"/>
      <c r="OQV613" s="294"/>
      <c r="OQW613" s="294"/>
      <c r="OQX613" s="294"/>
      <c r="OQY613" s="294"/>
      <c r="OQZ613" s="294"/>
      <c r="ORA613" s="294"/>
      <c r="ORB613" s="294"/>
      <c r="ORC613" s="294"/>
      <c r="ORD613" s="294"/>
      <c r="ORE613" s="294"/>
      <c r="ORF613" s="294"/>
      <c r="ORG613" s="294"/>
      <c r="ORH613" s="294"/>
      <c r="ORI613" s="294"/>
      <c r="ORJ613" s="294"/>
      <c r="ORK613" s="294"/>
      <c r="ORL613" s="294"/>
      <c r="ORM613" s="294"/>
      <c r="ORN613" s="294"/>
      <c r="ORO613" s="294"/>
      <c r="ORP613" s="294"/>
      <c r="ORQ613" s="294"/>
      <c r="ORR613" s="294"/>
      <c r="ORS613" s="294"/>
      <c r="ORT613" s="294"/>
      <c r="ORU613" s="294"/>
      <c r="ORV613" s="294"/>
      <c r="ORW613" s="294"/>
      <c r="ORX613" s="294"/>
      <c r="ORY613" s="294"/>
      <c r="ORZ613" s="294"/>
      <c r="OSA613" s="294"/>
      <c r="OSB613" s="294"/>
      <c r="OSC613" s="294"/>
      <c r="OSD613" s="294"/>
      <c r="OSE613" s="294"/>
      <c r="OSF613" s="294"/>
      <c r="OSG613" s="294"/>
      <c r="OSH613" s="294"/>
      <c r="OSI613" s="294"/>
      <c r="OSJ613" s="294"/>
      <c r="OSK613" s="294"/>
      <c r="OSL613" s="294"/>
      <c r="OSM613" s="294"/>
      <c r="OSN613" s="294"/>
      <c r="OSO613" s="294"/>
      <c r="OSP613" s="294"/>
      <c r="OSQ613" s="294"/>
      <c r="OSR613" s="294"/>
      <c r="OSS613" s="294"/>
      <c r="OST613" s="294"/>
      <c r="OSU613" s="294"/>
      <c r="OSV613" s="294"/>
      <c r="OSW613" s="294"/>
      <c r="OSX613" s="294"/>
      <c r="OSY613" s="294"/>
      <c r="OSZ613" s="294"/>
      <c r="OTA613" s="294"/>
      <c r="OTB613" s="294"/>
      <c r="OTC613" s="294"/>
      <c r="OTD613" s="294"/>
      <c r="OTE613" s="294"/>
      <c r="OTF613" s="294"/>
      <c r="OTG613" s="294"/>
      <c r="OTH613" s="294"/>
      <c r="OTI613" s="294"/>
      <c r="OTJ613" s="294"/>
      <c r="OTK613" s="294"/>
      <c r="OTL613" s="294"/>
      <c r="OTM613" s="294"/>
      <c r="OTN613" s="294"/>
      <c r="OTO613" s="294"/>
      <c r="OTP613" s="294"/>
      <c r="OTQ613" s="294"/>
      <c r="OTR613" s="294"/>
      <c r="OTS613" s="294"/>
      <c r="OTT613" s="294"/>
      <c r="OTU613" s="294"/>
      <c r="OTV613" s="294"/>
      <c r="OTW613" s="294"/>
      <c r="OTX613" s="294"/>
      <c r="OTY613" s="294"/>
      <c r="OTZ613" s="294"/>
      <c r="OUA613" s="294"/>
      <c r="OUB613" s="294"/>
      <c r="OUC613" s="294"/>
      <c r="OUD613" s="294"/>
      <c r="OUE613" s="294"/>
      <c r="OUF613" s="294"/>
      <c r="OUG613" s="294"/>
      <c r="OUH613" s="294"/>
      <c r="OUI613" s="294"/>
      <c r="OUJ613" s="294"/>
      <c r="OUK613" s="294"/>
      <c r="OUL613" s="294"/>
      <c r="OUM613" s="294"/>
      <c r="OUN613" s="294"/>
      <c r="OUO613" s="294"/>
      <c r="OUP613" s="294"/>
      <c r="OUQ613" s="294"/>
      <c r="OUR613" s="294"/>
      <c r="OUS613" s="294"/>
      <c r="OUT613" s="294"/>
      <c r="OUU613" s="294"/>
      <c r="OUV613" s="294"/>
      <c r="OUW613" s="294"/>
      <c r="OUX613" s="294"/>
      <c r="OUY613" s="294"/>
      <c r="OUZ613" s="294"/>
      <c r="OVA613" s="294"/>
      <c r="OVB613" s="294"/>
      <c r="OVC613" s="294"/>
      <c r="OVD613" s="294"/>
      <c r="OVE613" s="294"/>
      <c r="OVF613" s="294"/>
      <c r="OVG613" s="294"/>
      <c r="OVH613" s="294"/>
      <c r="OVI613" s="294"/>
      <c r="OVJ613" s="294"/>
      <c r="OVK613" s="294"/>
      <c r="OVL613" s="294"/>
      <c r="OVM613" s="294"/>
      <c r="OVN613" s="294"/>
      <c r="OVO613" s="294"/>
      <c r="OVP613" s="294"/>
      <c r="OVQ613" s="294"/>
      <c r="OVR613" s="294"/>
      <c r="OVS613" s="294"/>
      <c r="OVT613" s="294"/>
      <c r="OVU613" s="294"/>
      <c r="OVV613" s="294"/>
      <c r="OVW613" s="294"/>
      <c r="OVX613" s="294"/>
      <c r="OVY613" s="294"/>
      <c r="OVZ613" s="294"/>
      <c r="OWA613" s="294"/>
      <c r="OWB613" s="294"/>
      <c r="OWC613" s="294"/>
      <c r="OWD613" s="294"/>
      <c r="OWE613" s="294"/>
      <c r="OWF613" s="294"/>
      <c r="OWG613" s="294"/>
      <c r="OWH613" s="294"/>
      <c r="OWI613" s="294"/>
      <c r="OWJ613" s="294"/>
      <c r="OWK613" s="294"/>
      <c r="OWL613" s="294"/>
      <c r="OWM613" s="294"/>
      <c r="OWN613" s="294"/>
      <c r="OWO613" s="294"/>
      <c r="OWP613" s="294"/>
      <c r="OWQ613" s="294"/>
      <c r="OWR613" s="294"/>
      <c r="OWS613" s="294"/>
      <c r="OWT613" s="294"/>
      <c r="OWU613" s="294"/>
      <c r="OWV613" s="294"/>
      <c r="OWW613" s="294"/>
      <c r="OWX613" s="294"/>
      <c r="OWY613" s="294"/>
      <c r="OWZ613" s="294"/>
      <c r="OXA613" s="294"/>
      <c r="OXB613" s="294"/>
      <c r="OXC613" s="294"/>
      <c r="OXD613" s="294"/>
      <c r="OXE613" s="294"/>
      <c r="OXF613" s="294"/>
      <c r="OXG613" s="294"/>
      <c r="OXH613" s="294"/>
      <c r="OXI613" s="294"/>
      <c r="OXJ613" s="294"/>
      <c r="OXK613" s="294"/>
      <c r="OXL613" s="294"/>
      <c r="OXM613" s="294"/>
      <c r="OXN613" s="294"/>
      <c r="OXO613" s="294"/>
      <c r="OXP613" s="294"/>
      <c r="OXQ613" s="294"/>
      <c r="OXR613" s="294"/>
      <c r="OXS613" s="294"/>
      <c r="OXT613" s="294"/>
      <c r="OXU613" s="294"/>
      <c r="OXV613" s="294"/>
      <c r="OXW613" s="294"/>
      <c r="OXX613" s="294"/>
      <c r="OXY613" s="294"/>
      <c r="OXZ613" s="294"/>
      <c r="OYA613" s="294"/>
      <c r="OYB613" s="294"/>
      <c r="OYC613" s="294"/>
      <c r="OYD613" s="294"/>
      <c r="OYE613" s="294"/>
      <c r="OYF613" s="294"/>
      <c r="OYG613" s="294"/>
      <c r="OYH613" s="294"/>
      <c r="OYI613" s="294"/>
      <c r="OYJ613" s="294"/>
      <c r="OYK613" s="294"/>
      <c r="OYL613" s="294"/>
      <c r="OYM613" s="294"/>
      <c r="OYN613" s="294"/>
      <c r="OYO613" s="294"/>
      <c r="OYP613" s="294"/>
      <c r="OYQ613" s="294"/>
      <c r="OYR613" s="294"/>
      <c r="OYS613" s="294"/>
      <c r="OYT613" s="294"/>
      <c r="OYU613" s="294"/>
      <c r="OYV613" s="294"/>
      <c r="OYW613" s="294"/>
      <c r="OYX613" s="294"/>
      <c r="OYY613" s="294"/>
      <c r="OYZ613" s="294"/>
      <c r="OZA613" s="294"/>
      <c r="OZB613" s="294"/>
      <c r="OZC613" s="294"/>
      <c r="OZD613" s="294"/>
      <c r="OZE613" s="294"/>
      <c r="OZF613" s="294"/>
      <c r="OZG613" s="294"/>
      <c r="OZH613" s="294"/>
      <c r="OZI613" s="294"/>
      <c r="OZJ613" s="294"/>
      <c r="OZK613" s="294"/>
      <c r="OZL613" s="294"/>
      <c r="OZM613" s="294"/>
      <c r="OZN613" s="294"/>
      <c r="OZO613" s="294"/>
      <c r="OZP613" s="294"/>
      <c r="OZQ613" s="294"/>
      <c r="OZR613" s="294"/>
      <c r="OZS613" s="294"/>
      <c r="OZT613" s="294"/>
      <c r="OZU613" s="294"/>
      <c r="OZV613" s="294"/>
      <c r="OZW613" s="294"/>
      <c r="OZX613" s="294"/>
      <c r="OZY613" s="294"/>
      <c r="OZZ613" s="294"/>
      <c r="PAA613" s="294"/>
      <c r="PAB613" s="294"/>
      <c r="PAC613" s="294"/>
      <c r="PAD613" s="294"/>
      <c r="PAE613" s="294"/>
      <c r="PAF613" s="294"/>
      <c r="PAG613" s="294"/>
      <c r="PAH613" s="294"/>
      <c r="PAI613" s="294"/>
      <c r="PAJ613" s="294"/>
      <c r="PAK613" s="294"/>
      <c r="PAL613" s="294"/>
      <c r="PAM613" s="294"/>
      <c r="PAN613" s="294"/>
      <c r="PAO613" s="294"/>
      <c r="PAP613" s="294"/>
      <c r="PAQ613" s="294"/>
      <c r="PAR613" s="294"/>
      <c r="PAS613" s="294"/>
      <c r="PAT613" s="294"/>
      <c r="PAU613" s="294"/>
      <c r="PAV613" s="294"/>
      <c r="PAW613" s="294"/>
      <c r="PAX613" s="294"/>
      <c r="PAY613" s="294"/>
      <c r="PAZ613" s="294"/>
      <c r="PBA613" s="294"/>
      <c r="PBB613" s="294"/>
      <c r="PBC613" s="294"/>
      <c r="PBD613" s="294"/>
      <c r="PBE613" s="294"/>
      <c r="PBF613" s="294"/>
      <c r="PBG613" s="294"/>
      <c r="PBH613" s="294"/>
      <c r="PBI613" s="294"/>
      <c r="PBJ613" s="294"/>
      <c r="PBK613" s="294"/>
      <c r="PBL613" s="294"/>
      <c r="PBM613" s="294"/>
      <c r="PBN613" s="294"/>
      <c r="PBO613" s="294"/>
      <c r="PBP613" s="294"/>
      <c r="PBQ613" s="294"/>
      <c r="PBR613" s="294"/>
      <c r="PBS613" s="294"/>
      <c r="PBT613" s="294"/>
      <c r="PBU613" s="294"/>
      <c r="PBV613" s="294"/>
      <c r="PBW613" s="294"/>
      <c r="PBX613" s="294"/>
      <c r="PBY613" s="294"/>
      <c r="PBZ613" s="294"/>
      <c r="PCA613" s="294"/>
      <c r="PCB613" s="294"/>
      <c r="PCC613" s="294"/>
      <c r="PCD613" s="294"/>
      <c r="PCE613" s="294"/>
      <c r="PCF613" s="294"/>
      <c r="PCG613" s="294"/>
      <c r="PCH613" s="294"/>
      <c r="PCI613" s="294"/>
      <c r="PCJ613" s="294"/>
      <c r="PCK613" s="294"/>
      <c r="PCL613" s="294"/>
      <c r="PCM613" s="294"/>
      <c r="PCN613" s="294"/>
      <c r="PCO613" s="294"/>
      <c r="PCP613" s="294"/>
      <c r="PCQ613" s="294"/>
      <c r="PCR613" s="294"/>
      <c r="PCS613" s="294"/>
      <c r="PCT613" s="294"/>
      <c r="PCU613" s="294"/>
      <c r="PCV613" s="294"/>
      <c r="PCW613" s="294"/>
      <c r="PCX613" s="294"/>
      <c r="PCY613" s="294"/>
      <c r="PCZ613" s="294"/>
      <c r="PDA613" s="294"/>
      <c r="PDB613" s="294"/>
      <c r="PDC613" s="294"/>
      <c r="PDD613" s="294"/>
      <c r="PDE613" s="294"/>
      <c r="PDF613" s="294"/>
      <c r="PDG613" s="294"/>
      <c r="PDH613" s="294"/>
      <c r="PDI613" s="294"/>
      <c r="PDJ613" s="294"/>
      <c r="PDK613" s="294"/>
      <c r="PDL613" s="294"/>
      <c r="PDM613" s="294"/>
      <c r="PDN613" s="294"/>
      <c r="PDO613" s="294"/>
      <c r="PDP613" s="294"/>
      <c r="PDQ613" s="294"/>
      <c r="PDR613" s="294"/>
      <c r="PDS613" s="294"/>
      <c r="PDT613" s="294"/>
      <c r="PDU613" s="294"/>
      <c r="PDV613" s="294"/>
      <c r="PDW613" s="294"/>
      <c r="PDX613" s="294"/>
      <c r="PDY613" s="294"/>
      <c r="PDZ613" s="294"/>
      <c r="PEA613" s="294"/>
      <c r="PEB613" s="294"/>
      <c r="PEC613" s="294"/>
      <c r="PED613" s="294"/>
      <c r="PEE613" s="294"/>
      <c r="PEF613" s="294"/>
      <c r="PEG613" s="294"/>
      <c r="PEH613" s="294"/>
      <c r="PEI613" s="294"/>
      <c r="PEJ613" s="294"/>
      <c r="PEK613" s="294"/>
      <c r="PEL613" s="294"/>
      <c r="PEM613" s="294"/>
      <c r="PEN613" s="294"/>
      <c r="PEO613" s="294"/>
      <c r="PEP613" s="294"/>
      <c r="PEQ613" s="294"/>
      <c r="PER613" s="294"/>
      <c r="PES613" s="294"/>
      <c r="PET613" s="294"/>
      <c r="PEU613" s="294"/>
      <c r="PEV613" s="294"/>
      <c r="PEW613" s="294"/>
      <c r="PEX613" s="294"/>
      <c r="PEY613" s="294"/>
      <c r="PEZ613" s="294"/>
      <c r="PFA613" s="294"/>
      <c r="PFB613" s="294"/>
      <c r="PFC613" s="294"/>
      <c r="PFD613" s="294"/>
      <c r="PFE613" s="294"/>
      <c r="PFF613" s="294"/>
      <c r="PFG613" s="294"/>
      <c r="PFH613" s="294"/>
      <c r="PFI613" s="294"/>
      <c r="PFJ613" s="294"/>
      <c r="PFK613" s="294"/>
      <c r="PFL613" s="294"/>
      <c r="PFM613" s="294"/>
      <c r="PFN613" s="294"/>
      <c r="PFO613" s="294"/>
      <c r="PFP613" s="294"/>
      <c r="PFQ613" s="294"/>
      <c r="PFR613" s="294"/>
      <c r="PFS613" s="294"/>
      <c r="PFT613" s="294"/>
      <c r="PFU613" s="294"/>
      <c r="PFV613" s="294"/>
      <c r="PFW613" s="294"/>
      <c r="PFX613" s="294"/>
      <c r="PFY613" s="294"/>
      <c r="PFZ613" s="294"/>
      <c r="PGA613" s="294"/>
      <c r="PGB613" s="294"/>
      <c r="PGC613" s="294"/>
      <c r="PGD613" s="294"/>
      <c r="PGE613" s="294"/>
      <c r="PGF613" s="294"/>
      <c r="PGG613" s="294"/>
      <c r="PGH613" s="294"/>
      <c r="PGI613" s="294"/>
      <c r="PGJ613" s="294"/>
      <c r="PGK613" s="294"/>
      <c r="PGL613" s="294"/>
      <c r="PGM613" s="294"/>
      <c r="PGN613" s="294"/>
      <c r="PGO613" s="294"/>
      <c r="PGP613" s="294"/>
      <c r="PGQ613" s="294"/>
      <c r="PGR613" s="294"/>
      <c r="PGS613" s="294"/>
      <c r="PGT613" s="294"/>
      <c r="PGU613" s="294"/>
      <c r="PGV613" s="294"/>
      <c r="PGW613" s="294"/>
      <c r="PGX613" s="294"/>
      <c r="PGY613" s="294"/>
      <c r="PGZ613" s="294"/>
      <c r="PHA613" s="294"/>
      <c r="PHB613" s="294"/>
      <c r="PHC613" s="294"/>
      <c r="PHD613" s="294"/>
      <c r="PHE613" s="294"/>
      <c r="PHF613" s="294"/>
      <c r="PHG613" s="294"/>
      <c r="PHH613" s="294"/>
      <c r="PHI613" s="294"/>
      <c r="PHJ613" s="294"/>
      <c r="PHK613" s="294"/>
      <c r="PHL613" s="294"/>
      <c r="PHM613" s="294"/>
      <c r="PHN613" s="294"/>
      <c r="PHO613" s="294"/>
      <c r="PHP613" s="294"/>
      <c r="PHQ613" s="294"/>
      <c r="PHR613" s="294"/>
      <c r="PHS613" s="294"/>
      <c r="PHT613" s="294"/>
      <c r="PHU613" s="294"/>
      <c r="PHV613" s="294"/>
      <c r="PHW613" s="294"/>
      <c r="PHX613" s="294"/>
      <c r="PHY613" s="294"/>
      <c r="PHZ613" s="294"/>
      <c r="PIA613" s="294"/>
      <c r="PIB613" s="294"/>
      <c r="PIC613" s="294"/>
      <c r="PID613" s="294"/>
      <c r="PIE613" s="294"/>
      <c r="PIF613" s="294"/>
      <c r="PIG613" s="294"/>
      <c r="PIH613" s="294"/>
      <c r="PII613" s="294"/>
      <c r="PIJ613" s="294"/>
      <c r="PIK613" s="294"/>
      <c r="PIL613" s="294"/>
      <c r="PIM613" s="294"/>
      <c r="PIN613" s="294"/>
      <c r="PIO613" s="294"/>
      <c r="PIP613" s="294"/>
      <c r="PIQ613" s="294"/>
      <c r="PIR613" s="294"/>
      <c r="PIS613" s="294"/>
      <c r="PIT613" s="294"/>
      <c r="PIU613" s="294"/>
      <c r="PIV613" s="294"/>
      <c r="PIW613" s="294"/>
      <c r="PIX613" s="294"/>
      <c r="PIY613" s="294"/>
      <c r="PIZ613" s="294"/>
      <c r="PJA613" s="294"/>
      <c r="PJB613" s="294"/>
      <c r="PJC613" s="294"/>
      <c r="PJD613" s="294"/>
      <c r="PJE613" s="294"/>
      <c r="PJF613" s="294"/>
      <c r="PJG613" s="294"/>
      <c r="PJH613" s="294"/>
      <c r="PJI613" s="294"/>
      <c r="PJJ613" s="294"/>
      <c r="PJK613" s="294"/>
      <c r="PJL613" s="294"/>
      <c r="PJM613" s="294"/>
      <c r="PJN613" s="294"/>
      <c r="PJO613" s="294"/>
      <c r="PJP613" s="294"/>
      <c r="PJQ613" s="294"/>
      <c r="PJR613" s="294"/>
      <c r="PJS613" s="294"/>
      <c r="PJT613" s="294"/>
      <c r="PJU613" s="294"/>
      <c r="PJV613" s="294"/>
      <c r="PJW613" s="294"/>
      <c r="PJX613" s="294"/>
      <c r="PJY613" s="294"/>
      <c r="PJZ613" s="294"/>
      <c r="PKA613" s="294"/>
      <c r="PKB613" s="294"/>
      <c r="PKC613" s="294"/>
      <c r="PKD613" s="294"/>
      <c r="PKE613" s="294"/>
      <c r="PKF613" s="294"/>
      <c r="PKG613" s="294"/>
      <c r="PKH613" s="294"/>
      <c r="PKI613" s="294"/>
      <c r="PKJ613" s="294"/>
      <c r="PKK613" s="294"/>
      <c r="PKL613" s="294"/>
      <c r="PKM613" s="294"/>
      <c r="PKN613" s="294"/>
      <c r="PKO613" s="294"/>
      <c r="PKP613" s="294"/>
      <c r="PKQ613" s="294"/>
      <c r="PKR613" s="294"/>
      <c r="PKS613" s="294"/>
      <c r="PKT613" s="294"/>
      <c r="PKU613" s="294"/>
      <c r="PKV613" s="294"/>
      <c r="PKW613" s="294"/>
      <c r="PKX613" s="294"/>
      <c r="PKY613" s="294"/>
      <c r="PKZ613" s="294"/>
      <c r="PLA613" s="294"/>
      <c r="PLB613" s="294"/>
      <c r="PLC613" s="294"/>
      <c r="PLD613" s="294"/>
      <c r="PLE613" s="294"/>
      <c r="PLF613" s="294"/>
      <c r="PLG613" s="294"/>
      <c r="PLH613" s="294"/>
      <c r="PLI613" s="294"/>
      <c r="PLJ613" s="294"/>
      <c r="PLK613" s="294"/>
      <c r="PLL613" s="294"/>
      <c r="PLM613" s="294"/>
      <c r="PLN613" s="294"/>
      <c r="PLO613" s="294"/>
      <c r="PLP613" s="294"/>
      <c r="PLQ613" s="294"/>
      <c r="PLR613" s="294"/>
      <c r="PLS613" s="294"/>
      <c r="PLT613" s="294"/>
      <c r="PLU613" s="294"/>
      <c r="PLV613" s="294"/>
      <c r="PLW613" s="294"/>
      <c r="PLX613" s="294"/>
      <c r="PLY613" s="294"/>
      <c r="PLZ613" s="294"/>
      <c r="PMA613" s="294"/>
      <c r="PMB613" s="294"/>
      <c r="PMC613" s="294"/>
      <c r="PMD613" s="294"/>
      <c r="PME613" s="294"/>
      <c r="PMF613" s="294"/>
      <c r="PMG613" s="294"/>
      <c r="PMH613" s="294"/>
      <c r="PMI613" s="294"/>
      <c r="PMJ613" s="294"/>
      <c r="PMK613" s="294"/>
      <c r="PML613" s="294"/>
      <c r="PMM613" s="294"/>
      <c r="PMN613" s="294"/>
      <c r="PMO613" s="294"/>
      <c r="PMP613" s="294"/>
      <c r="PMQ613" s="294"/>
      <c r="PMR613" s="294"/>
      <c r="PMS613" s="294"/>
      <c r="PMT613" s="294"/>
      <c r="PMU613" s="294"/>
      <c r="PMV613" s="294"/>
      <c r="PMW613" s="294"/>
      <c r="PMX613" s="294"/>
      <c r="PMY613" s="294"/>
      <c r="PMZ613" s="294"/>
      <c r="PNA613" s="294"/>
      <c r="PNB613" s="294"/>
      <c r="PNC613" s="294"/>
      <c r="PND613" s="294"/>
      <c r="PNE613" s="294"/>
      <c r="PNF613" s="294"/>
      <c r="PNG613" s="294"/>
      <c r="PNH613" s="294"/>
      <c r="PNI613" s="294"/>
      <c r="PNJ613" s="294"/>
      <c r="PNK613" s="294"/>
      <c r="PNL613" s="294"/>
      <c r="PNM613" s="294"/>
      <c r="PNN613" s="294"/>
      <c r="PNO613" s="294"/>
      <c r="PNP613" s="294"/>
      <c r="PNQ613" s="294"/>
      <c r="PNR613" s="294"/>
      <c r="PNS613" s="294"/>
      <c r="PNT613" s="294"/>
      <c r="PNU613" s="294"/>
      <c r="PNV613" s="294"/>
      <c r="PNW613" s="294"/>
      <c r="PNX613" s="294"/>
      <c r="PNY613" s="294"/>
      <c r="PNZ613" s="294"/>
      <c r="POA613" s="294"/>
      <c r="POB613" s="294"/>
      <c r="POC613" s="294"/>
      <c r="POD613" s="294"/>
      <c r="POE613" s="294"/>
      <c r="POF613" s="294"/>
      <c r="POG613" s="294"/>
      <c r="POH613" s="294"/>
      <c r="POI613" s="294"/>
      <c r="POJ613" s="294"/>
      <c r="POK613" s="294"/>
      <c r="POL613" s="294"/>
      <c r="POM613" s="294"/>
      <c r="PON613" s="294"/>
      <c r="POO613" s="294"/>
      <c r="POP613" s="294"/>
      <c r="POQ613" s="294"/>
      <c r="POR613" s="294"/>
      <c r="POS613" s="294"/>
      <c r="POT613" s="294"/>
      <c r="POU613" s="294"/>
      <c r="POV613" s="294"/>
      <c r="POW613" s="294"/>
      <c r="POX613" s="294"/>
      <c r="POY613" s="294"/>
      <c r="POZ613" s="294"/>
      <c r="PPA613" s="294"/>
      <c r="PPB613" s="294"/>
      <c r="PPC613" s="294"/>
      <c r="PPD613" s="294"/>
      <c r="PPE613" s="294"/>
      <c r="PPF613" s="294"/>
      <c r="PPG613" s="294"/>
      <c r="PPH613" s="294"/>
      <c r="PPI613" s="294"/>
      <c r="PPJ613" s="294"/>
      <c r="PPK613" s="294"/>
      <c r="PPL613" s="294"/>
      <c r="PPM613" s="294"/>
      <c r="PPN613" s="294"/>
      <c r="PPO613" s="294"/>
      <c r="PPP613" s="294"/>
      <c r="PPQ613" s="294"/>
      <c r="PPR613" s="294"/>
      <c r="PPS613" s="294"/>
      <c r="PPT613" s="294"/>
      <c r="PPU613" s="294"/>
      <c r="PPV613" s="294"/>
      <c r="PPW613" s="294"/>
      <c r="PPX613" s="294"/>
      <c r="PPY613" s="294"/>
      <c r="PPZ613" s="294"/>
      <c r="PQA613" s="294"/>
      <c r="PQB613" s="294"/>
      <c r="PQC613" s="294"/>
      <c r="PQD613" s="294"/>
      <c r="PQE613" s="294"/>
      <c r="PQF613" s="294"/>
      <c r="PQG613" s="294"/>
      <c r="PQH613" s="294"/>
      <c r="PQI613" s="294"/>
      <c r="PQJ613" s="294"/>
      <c r="PQK613" s="294"/>
      <c r="PQL613" s="294"/>
      <c r="PQM613" s="294"/>
      <c r="PQN613" s="294"/>
      <c r="PQO613" s="294"/>
      <c r="PQP613" s="294"/>
      <c r="PQQ613" s="294"/>
      <c r="PQR613" s="294"/>
      <c r="PQS613" s="294"/>
      <c r="PQT613" s="294"/>
      <c r="PQU613" s="294"/>
      <c r="PQV613" s="294"/>
      <c r="PQW613" s="294"/>
      <c r="PQX613" s="294"/>
      <c r="PQY613" s="294"/>
      <c r="PQZ613" s="294"/>
      <c r="PRA613" s="294"/>
      <c r="PRB613" s="294"/>
      <c r="PRC613" s="294"/>
      <c r="PRD613" s="294"/>
      <c r="PRE613" s="294"/>
      <c r="PRF613" s="294"/>
      <c r="PRG613" s="294"/>
      <c r="PRH613" s="294"/>
      <c r="PRI613" s="294"/>
      <c r="PRJ613" s="294"/>
      <c r="PRK613" s="294"/>
      <c r="PRL613" s="294"/>
      <c r="PRM613" s="294"/>
      <c r="PRN613" s="294"/>
      <c r="PRO613" s="294"/>
      <c r="PRP613" s="294"/>
      <c r="PRQ613" s="294"/>
      <c r="PRR613" s="294"/>
      <c r="PRS613" s="294"/>
      <c r="PRT613" s="294"/>
      <c r="PRU613" s="294"/>
      <c r="PRV613" s="294"/>
      <c r="PRW613" s="294"/>
      <c r="PRX613" s="294"/>
      <c r="PRY613" s="294"/>
      <c r="PRZ613" s="294"/>
      <c r="PSA613" s="294"/>
      <c r="PSB613" s="294"/>
      <c r="PSC613" s="294"/>
      <c r="PSD613" s="294"/>
      <c r="PSE613" s="294"/>
      <c r="PSF613" s="294"/>
      <c r="PSG613" s="294"/>
      <c r="PSH613" s="294"/>
      <c r="PSI613" s="294"/>
      <c r="PSJ613" s="294"/>
      <c r="PSK613" s="294"/>
      <c r="PSL613" s="294"/>
      <c r="PSM613" s="294"/>
      <c r="PSN613" s="294"/>
      <c r="PSO613" s="294"/>
      <c r="PSP613" s="294"/>
      <c r="PSQ613" s="294"/>
      <c r="PSR613" s="294"/>
      <c r="PSS613" s="294"/>
      <c r="PST613" s="294"/>
      <c r="PSU613" s="294"/>
      <c r="PSV613" s="294"/>
      <c r="PSW613" s="294"/>
      <c r="PSX613" s="294"/>
      <c r="PSY613" s="294"/>
      <c r="PSZ613" s="294"/>
      <c r="PTA613" s="294"/>
      <c r="PTB613" s="294"/>
      <c r="PTC613" s="294"/>
      <c r="PTD613" s="294"/>
      <c r="PTE613" s="294"/>
      <c r="PTF613" s="294"/>
      <c r="PTG613" s="294"/>
      <c r="PTH613" s="294"/>
      <c r="PTI613" s="294"/>
      <c r="PTJ613" s="294"/>
      <c r="PTK613" s="294"/>
      <c r="PTL613" s="294"/>
      <c r="PTM613" s="294"/>
      <c r="PTN613" s="294"/>
      <c r="PTO613" s="294"/>
      <c r="PTP613" s="294"/>
      <c r="PTQ613" s="294"/>
      <c r="PTR613" s="294"/>
      <c r="PTS613" s="294"/>
      <c r="PTT613" s="294"/>
      <c r="PTU613" s="294"/>
      <c r="PTV613" s="294"/>
      <c r="PTW613" s="294"/>
      <c r="PTX613" s="294"/>
      <c r="PTY613" s="294"/>
      <c r="PTZ613" s="294"/>
      <c r="PUA613" s="294"/>
      <c r="PUB613" s="294"/>
      <c r="PUC613" s="294"/>
      <c r="PUD613" s="294"/>
      <c r="PUE613" s="294"/>
      <c r="PUF613" s="294"/>
      <c r="PUG613" s="294"/>
      <c r="PUH613" s="294"/>
      <c r="PUI613" s="294"/>
      <c r="PUJ613" s="294"/>
      <c r="PUK613" s="294"/>
      <c r="PUL613" s="294"/>
      <c r="PUM613" s="294"/>
      <c r="PUN613" s="294"/>
      <c r="PUO613" s="294"/>
      <c r="PUP613" s="294"/>
      <c r="PUQ613" s="294"/>
      <c r="PUR613" s="294"/>
      <c r="PUS613" s="294"/>
      <c r="PUT613" s="294"/>
      <c r="PUU613" s="294"/>
      <c r="PUV613" s="294"/>
      <c r="PUW613" s="294"/>
      <c r="PUX613" s="294"/>
      <c r="PUY613" s="294"/>
      <c r="PUZ613" s="294"/>
      <c r="PVA613" s="294"/>
      <c r="PVB613" s="294"/>
      <c r="PVC613" s="294"/>
      <c r="PVD613" s="294"/>
      <c r="PVE613" s="294"/>
      <c r="PVF613" s="294"/>
      <c r="PVG613" s="294"/>
      <c r="PVH613" s="294"/>
      <c r="PVI613" s="294"/>
      <c r="PVJ613" s="294"/>
      <c r="PVK613" s="294"/>
      <c r="PVL613" s="294"/>
      <c r="PVM613" s="294"/>
      <c r="PVN613" s="294"/>
      <c r="PVO613" s="294"/>
      <c r="PVP613" s="294"/>
      <c r="PVQ613" s="294"/>
      <c r="PVR613" s="294"/>
      <c r="PVS613" s="294"/>
      <c r="PVT613" s="294"/>
      <c r="PVU613" s="294"/>
      <c r="PVV613" s="294"/>
      <c r="PVW613" s="294"/>
      <c r="PVX613" s="294"/>
      <c r="PVY613" s="294"/>
      <c r="PVZ613" s="294"/>
      <c r="PWA613" s="294"/>
      <c r="PWB613" s="294"/>
      <c r="PWC613" s="294"/>
      <c r="PWD613" s="294"/>
      <c r="PWE613" s="294"/>
      <c r="PWF613" s="294"/>
      <c r="PWG613" s="294"/>
      <c r="PWH613" s="294"/>
      <c r="PWI613" s="294"/>
      <c r="PWJ613" s="294"/>
      <c r="PWK613" s="294"/>
      <c r="PWL613" s="294"/>
      <c r="PWM613" s="294"/>
      <c r="PWN613" s="294"/>
      <c r="PWO613" s="294"/>
      <c r="PWP613" s="294"/>
      <c r="PWQ613" s="294"/>
      <c r="PWR613" s="294"/>
      <c r="PWS613" s="294"/>
      <c r="PWT613" s="294"/>
      <c r="PWU613" s="294"/>
      <c r="PWV613" s="294"/>
      <c r="PWW613" s="294"/>
      <c r="PWX613" s="294"/>
      <c r="PWY613" s="294"/>
      <c r="PWZ613" s="294"/>
      <c r="PXA613" s="294"/>
      <c r="PXB613" s="294"/>
      <c r="PXC613" s="294"/>
      <c r="PXD613" s="294"/>
      <c r="PXE613" s="294"/>
      <c r="PXF613" s="294"/>
      <c r="PXG613" s="294"/>
      <c r="PXH613" s="294"/>
      <c r="PXI613" s="294"/>
      <c r="PXJ613" s="294"/>
      <c r="PXK613" s="294"/>
      <c r="PXL613" s="294"/>
      <c r="PXM613" s="294"/>
      <c r="PXN613" s="294"/>
      <c r="PXO613" s="294"/>
      <c r="PXP613" s="294"/>
      <c r="PXQ613" s="294"/>
      <c r="PXR613" s="294"/>
      <c r="PXS613" s="294"/>
      <c r="PXT613" s="294"/>
      <c r="PXU613" s="294"/>
      <c r="PXV613" s="294"/>
      <c r="PXW613" s="294"/>
      <c r="PXX613" s="294"/>
      <c r="PXY613" s="294"/>
      <c r="PXZ613" s="294"/>
      <c r="PYA613" s="294"/>
      <c r="PYB613" s="294"/>
      <c r="PYC613" s="294"/>
      <c r="PYD613" s="294"/>
      <c r="PYE613" s="294"/>
      <c r="PYF613" s="294"/>
      <c r="PYG613" s="294"/>
      <c r="PYH613" s="294"/>
      <c r="PYI613" s="294"/>
      <c r="PYJ613" s="294"/>
      <c r="PYK613" s="294"/>
      <c r="PYL613" s="294"/>
      <c r="PYM613" s="294"/>
      <c r="PYN613" s="294"/>
      <c r="PYO613" s="294"/>
      <c r="PYP613" s="294"/>
      <c r="PYQ613" s="294"/>
      <c r="PYR613" s="294"/>
      <c r="PYS613" s="294"/>
      <c r="PYT613" s="294"/>
      <c r="PYU613" s="294"/>
      <c r="PYV613" s="294"/>
      <c r="PYW613" s="294"/>
      <c r="PYX613" s="294"/>
      <c r="PYY613" s="294"/>
      <c r="PYZ613" s="294"/>
      <c r="PZA613" s="294"/>
      <c r="PZB613" s="294"/>
      <c r="PZC613" s="294"/>
      <c r="PZD613" s="294"/>
      <c r="PZE613" s="294"/>
      <c r="PZF613" s="294"/>
      <c r="PZG613" s="294"/>
      <c r="PZH613" s="294"/>
      <c r="PZI613" s="294"/>
      <c r="PZJ613" s="294"/>
      <c r="PZK613" s="294"/>
      <c r="PZL613" s="294"/>
      <c r="PZM613" s="294"/>
      <c r="PZN613" s="294"/>
      <c r="PZO613" s="294"/>
      <c r="PZP613" s="294"/>
      <c r="PZQ613" s="294"/>
      <c r="PZR613" s="294"/>
      <c r="PZS613" s="294"/>
      <c r="PZT613" s="294"/>
      <c r="PZU613" s="294"/>
      <c r="PZV613" s="294"/>
      <c r="PZW613" s="294"/>
      <c r="PZX613" s="294"/>
      <c r="PZY613" s="294"/>
      <c r="PZZ613" s="294"/>
      <c r="QAA613" s="294"/>
      <c r="QAB613" s="294"/>
      <c r="QAC613" s="294"/>
      <c r="QAD613" s="294"/>
      <c r="QAE613" s="294"/>
      <c r="QAF613" s="294"/>
      <c r="QAG613" s="294"/>
      <c r="QAH613" s="294"/>
      <c r="QAI613" s="294"/>
      <c r="QAJ613" s="294"/>
      <c r="QAK613" s="294"/>
      <c r="QAL613" s="294"/>
      <c r="QAM613" s="294"/>
      <c r="QAN613" s="294"/>
      <c r="QAO613" s="294"/>
      <c r="QAP613" s="294"/>
      <c r="QAQ613" s="294"/>
      <c r="QAR613" s="294"/>
      <c r="QAS613" s="294"/>
      <c r="QAT613" s="294"/>
      <c r="QAU613" s="294"/>
      <c r="QAV613" s="294"/>
      <c r="QAW613" s="294"/>
      <c r="QAX613" s="294"/>
      <c r="QAY613" s="294"/>
      <c r="QAZ613" s="294"/>
      <c r="QBA613" s="294"/>
      <c r="QBB613" s="294"/>
      <c r="QBC613" s="294"/>
      <c r="QBD613" s="294"/>
      <c r="QBE613" s="294"/>
      <c r="QBF613" s="294"/>
      <c r="QBG613" s="294"/>
      <c r="QBH613" s="294"/>
      <c r="QBI613" s="294"/>
      <c r="QBJ613" s="294"/>
      <c r="QBK613" s="294"/>
      <c r="QBL613" s="294"/>
      <c r="QBM613" s="294"/>
      <c r="QBN613" s="294"/>
      <c r="QBO613" s="294"/>
      <c r="QBP613" s="294"/>
      <c r="QBQ613" s="294"/>
      <c r="QBR613" s="294"/>
      <c r="QBS613" s="294"/>
      <c r="QBT613" s="294"/>
      <c r="QBU613" s="294"/>
      <c r="QBV613" s="294"/>
      <c r="QBW613" s="294"/>
      <c r="QBX613" s="294"/>
      <c r="QBY613" s="294"/>
      <c r="QBZ613" s="294"/>
      <c r="QCA613" s="294"/>
      <c r="QCB613" s="294"/>
      <c r="QCC613" s="294"/>
      <c r="QCD613" s="294"/>
      <c r="QCE613" s="294"/>
      <c r="QCF613" s="294"/>
      <c r="QCG613" s="294"/>
      <c r="QCH613" s="294"/>
      <c r="QCI613" s="294"/>
      <c r="QCJ613" s="294"/>
      <c r="QCK613" s="294"/>
      <c r="QCL613" s="294"/>
      <c r="QCM613" s="294"/>
      <c r="QCN613" s="294"/>
      <c r="QCO613" s="294"/>
      <c r="QCP613" s="294"/>
      <c r="QCQ613" s="294"/>
      <c r="QCR613" s="294"/>
      <c r="QCS613" s="294"/>
      <c r="QCT613" s="294"/>
      <c r="QCU613" s="294"/>
      <c r="QCV613" s="294"/>
      <c r="QCW613" s="294"/>
      <c r="QCX613" s="294"/>
      <c r="QCY613" s="294"/>
      <c r="QCZ613" s="294"/>
      <c r="QDA613" s="294"/>
      <c r="QDB613" s="294"/>
      <c r="QDC613" s="294"/>
      <c r="QDD613" s="294"/>
      <c r="QDE613" s="294"/>
      <c r="QDF613" s="294"/>
      <c r="QDG613" s="294"/>
      <c r="QDH613" s="294"/>
      <c r="QDI613" s="294"/>
      <c r="QDJ613" s="294"/>
      <c r="QDK613" s="294"/>
      <c r="QDL613" s="294"/>
      <c r="QDM613" s="294"/>
      <c r="QDN613" s="294"/>
      <c r="QDO613" s="294"/>
      <c r="QDP613" s="294"/>
      <c r="QDQ613" s="294"/>
      <c r="QDR613" s="294"/>
      <c r="QDS613" s="294"/>
      <c r="QDT613" s="294"/>
      <c r="QDU613" s="294"/>
      <c r="QDV613" s="294"/>
      <c r="QDW613" s="294"/>
      <c r="QDX613" s="294"/>
      <c r="QDY613" s="294"/>
      <c r="QDZ613" s="294"/>
      <c r="QEA613" s="294"/>
      <c r="QEB613" s="294"/>
      <c r="QEC613" s="294"/>
      <c r="QED613" s="294"/>
      <c r="QEE613" s="294"/>
      <c r="QEF613" s="294"/>
      <c r="QEG613" s="294"/>
      <c r="QEH613" s="294"/>
      <c r="QEI613" s="294"/>
      <c r="QEJ613" s="294"/>
      <c r="QEK613" s="294"/>
      <c r="QEL613" s="294"/>
      <c r="QEM613" s="294"/>
      <c r="QEN613" s="294"/>
      <c r="QEO613" s="294"/>
      <c r="QEP613" s="294"/>
      <c r="QEQ613" s="294"/>
      <c r="QER613" s="294"/>
      <c r="QES613" s="294"/>
      <c r="QET613" s="294"/>
      <c r="QEU613" s="294"/>
      <c r="QEV613" s="294"/>
      <c r="QEW613" s="294"/>
      <c r="QEX613" s="294"/>
      <c r="QEY613" s="294"/>
      <c r="QEZ613" s="294"/>
      <c r="QFA613" s="294"/>
      <c r="QFB613" s="294"/>
      <c r="QFC613" s="294"/>
      <c r="QFD613" s="294"/>
      <c r="QFE613" s="294"/>
      <c r="QFF613" s="294"/>
      <c r="QFG613" s="294"/>
      <c r="QFH613" s="294"/>
      <c r="QFI613" s="294"/>
      <c r="QFJ613" s="294"/>
      <c r="QFK613" s="294"/>
      <c r="QFL613" s="294"/>
      <c r="QFM613" s="294"/>
      <c r="QFN613" s="294"/>
      <c r="QFO613" s="294"/>
      <c r="QFP613" s="294"/>
      <c r="QFQ613" s="294"/>
      <c r="QFR613" s="294"/>
      <c r="QFS613" s="294"/>
      <c r="QFT613" s="294"/>
      <c r="QFU613" s="294"/>
      <c r="QFV613" s="294"/>
      <c r="QFW613" s="294"/>
      <c r="QFX613" s="294"/>
      <c r="QFY613" s="294"/>
      <c r="QFZ613" s="294"/>
      <c r="QGA613" s="294"/>
      <c r="QGB613" s="294"/>
      <c r="QGC613" s="294"/>
      <c r="QGD613" s="294"/>
      <c r="QGE613" s="294"/>
      <c r="QGF613" s="294"/>
      <c r="QGG613" s="294"/>
      <c r="QGH613" s="294"/>
      <c r="QGI613" s="294"/>
      <c r="QGJ613" s="294"/>
      <c r="QGK613" s="294"/>
      <c r="QGL613" s="294"/>
      <c r="QGM613" s="294"/>
      <c r="QGN613" s="294"/>
      <c r="QGO613" s="294"/>
      <c r="QGP613" s="294"/>
      <c r="QGQ613" s="294"/>
      <c r="QGR613" s="294"/>
      <c r="QGS613" s="294"/>
      <c r="QGT613" s="294"/>
      <c r="QGU613" s="294"/>
      <c r="QGV613" s="294"/>
      <c r="QGW613" s="294"/>
      <c r="QGX613" s="294"/>
      <c r="QGY613" s="294"/>
      <c r="QGZ613" s="294"/>
      <c r="QHA613" s="294"/>
      <c r="QHB613" s="294"/>
      <c r="QHC613" s="294"/>
      <c r="QHD613" s="294"/>
      <c r="QHE613" s="294"/>
      <c r="QHF613" s="294"/>
      <c r="QHG613" s="294"/>
      <c r="QHH613" s="294"/>
      <c r="QHI613" s="294"/>
      <c r="QHJ613" s="294"/>
      <c r="QHK613" s="294"/>
      <c r="QHL613" s="294"/>
      <c r="QHM613" s="294"/>
      <c r="QHN613" s="294"/>
      <c r="QHO613" s="294"/>
      <c r="QHP613" s="294"/>
      <c r="QHQ613" s="294"/>
      <c r="QHR613" s="294"/>
      <c r="QHS613" s="294"/>
      <c r="QHT613" s="294"/>
      <c r="QHU613" s="294"/>
      <c r="QHV613" s="294"/>
      <c r="QHW613" s="294"/>
      <c r="QHX613" s="294"/>
      <c r="QHY613" s="294"/>
      <c r="QHZ613" s="294"/>
      <c r="QIA613" s="294"/>
      <c r="QIB613" s="294"/>
      <c r="QIC613" s="294"/>
      <c r="QID613" s="294"/>
      <c r="QIE613" s="294"/>
      <c r="QIF613" s="294"/>
      <c r="QIG613" s="294"/>
      <c r="QIH613" s="294"/>
      <c r="QII613" s="294"/>
      <c r="QIJ613" s="294"/>
      <c r="QIK613" s="294"/>
      <c r="QIL613" s="294"/>
      <c r="QIM613" s="294"/>
      <c r="QIN613" s="294"/>
      <c r="QIO613" s="294"/>
      <c r="QIP613" s="294"/>
      <c r="QIQ613" s="294"/>
      <c r="QIR613" s="294"/>
      <c r="QIS613" s="294"/>
      <c r="QIT613" s="294"/>
      <c r="QIU613" s="294"/>
      <c r="QIV613" s="294"/>
      <c r="QIW613" s="294"/>
      <c r="QIX613" s="294"/>
      <c r="QIY613" s="294"/>
      <c r="QIZ613" s="294"/>
      <c r="QJA613" s="294"/>
      <c r="QJB613" s="294"/>
      <c r="QJC613" s="294"/>
      <c r="QJD613" s="294"/>
      <c r="QJE613" s="294"/>
      <c r="QJF613" s="294"/>
      <c r="QJG613" s="294"/>
      <c r="QJH613" s="294"/>
      <c r="QJI613" s="294"/>
      <c r="QJJ613" s="294"/>
      <c r="QJK613" s="294"/>
      <c r="QJL613" s="294"/>
      <c r="QJM613" s="294"/>
      <c r="QJN613" s="294"/>
      <c r="QJO613" s="294"/>
      <c r="QJP613" s="294"/>
      <c r="QJQ613" s="294"/>
      <c r="QJR613" s="294"/>
      <c r="QJS613" s="294"/>
      <c r="QJT613" s="294"/>
      <c r="QJU613" s="294"/>
      <c r="QJV613" s="294"/>
      <c r="QJW613" s="294"/>
      <c r="QJX613" s="294"/>
      <c r="QJY613" s="294"/>
      <c r="QJZ613" s="294"/>
      <c r="QKA613" s="294"/>
      <c r="QKB613" s="294"/>
      <c r="QKC613" s="294"/>
      <c r="QKD613" s="294"/>
      <c r="QKE613" s="294"/>
      <c r="QKF613" s="294"/>
      <c r="QKG613" s="294"/>
      <c r="QKH613" s="294"/>
      <c r="QKI613" s="294"/>
      <c r="QKJ613" s="294"/>
      <c r="QKK613" s="294"/>
      <c r="QKL613" s="294"/>
      <c r="QKM613" s="294"/>
      <c r="QKN613" s="294"/>
      <c r="QKO613" s="294"/>
      <c r="QKP613" s="294"/>
      <c r="QKQ613" s="294"/>
      <c r="QKR613" s="294"/>
      <c r="QKS613" s="294"/>
      <c r="QKT613" s="294"/>
      <c r="QKU613" s="294"/>
      <c r="QKV613" s="294"/>
      <c r="QKW613" s="294"/>
      <c r="QKX613" s="294"/>
      <c r="QKY613" s="294"/>
      <c r="QKZ613" s="294"/>
      <c r="QLA613" s="294"/>
      <c r="QLB613" s="294"/>
      <c r="QLC613" s="294"/>
      <c r="QLD613" s="294"/>
      <c r="QLE613" s="294"/>
      <c r="QLF613" s="294"/>
      <c r="QLG613" s="294"/>
      <c r="QLH613" s="294"/>
      <c r="QLI613" s="294"/>
      <c r="QLJ613" s="294"/>
      <c r="QLK613" s="294"/>
      <c r="QLL613" s="294"/>
      <c r="QLM613" s="294"/>
      <c r="QLN613" s="294"/>
      <c r="QLO613" s="294"/>
      <c r="QLP613" s="294"/>
      <c r="QLQ613" s="294"/>
      <c r="QLR613" s="294"/>
      <c r="QLS613" s="294"/>
      <c r="QLT613" s="294"/>
      <c r="QLU613" s="294"/>
      <c r="QLV613" s="294"/>
      <c r="QLW613" s="294"/>
      <c r="QLX613" s="294"/>
      <c r="QLY613" s="294"/>
      <c r="QLZ613" s="294"/>
      <c r="QMA613" s="294"/>
      <c r="QMB613" s="294"/>
      <c r="QMC613" s="294"/>
      <c r="QMD613" s="294"/>
      <c r="QME613" s="294"/>
      <c r="QMF613" s="294"/>
      <c r="QMG613" s="294"/>
      <c r="QMH613" s="294"/>
      <c r="QMI613" s="294"/>
      <c r="QMJ613" s="294"/>
      <c r="QMK613" s="294"/>
      <c r="QML613" s="294"/>
      <c r="QMM613" s="294"/>
      <c r="QMN613" s="294"/>
      <c r="QMO613" s="294"/>
      <c r="QMP613" s="294"/>
      <c r="QMQ613" s="294"/>
      <c r="QMR613" s="294"/>
      <c r="QMS613" s="294"/>
      <c r="QMT613" s="294"/>
      <c r="QMU613" s="294"/>
      <c r="QMV613" s="294"/>
      <c r="QMW613" s="294"/>
      <c r="QMX613" s="294"/>
      <c r="QMY613" s="294"/>
      <c r="QMZ613" s="294"/>
      <c r="QNA613" s="294"/>
      <c r="QNB613" s="294"/>
      <c r="QNC613" s="294"/>
      <c r="QND613" s="294"/>
      <c r="QNE613" s="294"/>
      <c r="QNF613" s="294"/>
      <c r="QNG613" s="294"/>
      <c r="QNH613" s="294"/>
      <c r="QNI613" s="294"/>
      <c r="QNJ613" s="294"/>
      <c r="QNK613" s="294"/>
      <c r="QNL613" s="294"/>
      <c r="QNM613" s="294"/>
      <c r="QNN613" s="294"/>
      <c r="QNO613" s="294"/>
      <c r="QNP613" s="294"/>
      <c r="QNQ613" s="294"/>
      <c r="QNR613" s="294"/>
      <c r="QNS613" s="294"/>
      <c r="QNT613" s="294"/>
      <c r="QNU613" s="294"/>
      <c r="QNV613" s="294"/>
      <c r="QNW613" s="294"/>
      <c r="QNX613" s="294"/>
      <c r="QNY613" s="294"/>
      <c r="QNZ613" s="294"/>
      <c r="QOA613" s="294"/>
      <c r="QOB613" s="294"/>
      <c r="QOC613" s="294"/>
      <c r="QOD613" s="294"/>
      <c r="QOE613" s="294"/>
      <c r="QOF613" s="294"/>
      <c r="QOG613" s="294"/>
      <c r="QOH613" s="294"/>
      <c r="QOI613" s="294"/>
      <c r="QOJ613" s="294"/>
      <c r="QOK613" s="294"/>
      <c r="QOL613" s="294"/>
      <c r="QOM613" s="294"/>
      <c r="QON613" s="294"/>
      <c r="QOO613" s="294"/>
      <c r="QOP613" s="294"/>
      <c r="QOQ613" s="294"/>
      <c r="QOR613" s="294"/>
      <c r="QOS613" s="294"/>
      <c r="QOT613" s="294"/>
      <c r="QOU613" s="294"/>
      <c r="QOV613" s="294"/>
      <c r="QOW613" s="294"/>
      <c r="QOX613" s="294"/>
      <c r="QOY613" s="294"/>
      <c r="QOZ613" s="294"/>
      <c r="QPA613" s="294"/>
      <c r="QPB613" s="294"/>
      <c r="QPC613" s="294"/>
      <c r="QPD613" s="294"/>
      <c r="QPE613" s="294"/>
      <c r="QPF613" s="294"/>
      <c r="QPG613" s="294"/>
      <c r="QPH613" s="294"/>
      <c r="QPI613" s="294"/>
      <c r="QPJ613" s="294"/>
      <c r="QPK613" s="294"/>
      <c r="QPL613" s="294"/>
      <c r="QPM613" s="294"/>
      <c r="QPN613" s="294"/>
      <c r="QPO613" s="294"/>
      <c r="QPP613" s="294"/>
      <c r="QPQ613" s="294"/>
      <c r="QPR613" s="294"/>
      <c r="QPS613" s="294"/>
      <c r="QPT613" s="294"/>
      <c r="QPU613" s="294"/>
      <c r="QPV613" s="294"/>
      <c r="QPW613" s="294"/>
      <c r="QPX613" s="294"/>
      <c r="QPY613" s="294"/>
      <c r="QPZ613" s="294"/>
      <c r="QQA613" s="294"/>
      <c r="QQB613" s="294"/>
      <c r="QQC613" s="294"/>
      <c r="QQD613" s="294"/>
      <c r="QQE613" s="294"/>
      <c r="QQF613" s="294"/>
      <c r="QQG613" s="294"/>
      <c r="QQH613" s="294"/>
      <c r="QQI613" s="294"/>
      <c r="QQJ613" s="294"/>
      <c r="QQK613" s="294"/>
      <c r="QQL613" s="294"/>
      <c r="QQM613" s="294"/>
      <c r="QQN613" s="294"/>
      <c r="QQO613" s="294"/>
      <c r="QQP613" s="294"/>
      <c r="QQQ613" s="294"/>
      <c r="QQR613" s="294"/>
      <c r="QQS613" s="294"/>
      <c r="QQT613" s="294"/>
      <c r="QQU613" s="294"/>
      <c r="QQV613" s="294"/>
      <c r="QQW613" s="294"/>
      <c r="QQX613" s="294"/>
      <c r="QQY613" s="294"/>
      <c r="QQZ613" s="294"/>
      <c r="QRA613" s="294"/>
      <c r="QRB613" s="294"/>
      <c r="QRC613" s="294"/>
      <c r="QRD613" s="294"/>
      <c r="QRE613" s="294"/>
      <c r="QRF613" s="294"/>
      <c r="QRG613" s="294"/>
      <c r="QRH613" s="294"/>
      <c r="QRI613" s="294"/>
      <c r="QRJ613" s="294"/>
      <c r="QRK613" s="294"/>
      <c r="QRL613" s="294"/>
      <c r="QRM613" s="294"/>
      <c r="QRN613" s="294"/>
      <c r="QRO613" s="294"/>
      <c r="QRP613" s="294"/>
      <c r="QRQ613" s="294"/>
      <c r="QRR613" s="294"/>
      <c r="QRS613" s="294"/>
      <c r="QRT613" s="294"/>
      <c r="QRU613" s="294"/>
      <c r="QRV613" s="294"/>
      <c r="QRW613" s="294"/>
      <c r="QRX613" s="294"/>
      <c r="QRY613" s="294"/>
      <c r="QRZ613" s="294"/>
      <c r="QSA613" s="294"/>
      <c r="QSB613" s="294"/>
      <c r="QSC613" s="294"/>
      <c r="QSD613" s="294"/>
      <c r="QSE613" s="294"/>
      <c r="QSF613" s="294"/>
      <c r="QSG613" s="294"/>
      <c r="QSH613" s="294"/>
      <c r="QSI613" s="294"/>
      <c r="QSJ613" s="294"/>
      <c r="QSK613" s="294"/>
      <c r="QSL613" s="294"/>
      <c r="QSM613" s="294"/>
      <c r="QSN613" s="294"/>
      <c r="QSO613" s="294"/>
      <c r="QSP613" s="294"/>
      <c r="QSQ613" s="294"/>
      <c r="QSR613" s="294"/>
      <c r="QSS613" s="294"/>
      <c r="QST613" s="294"/>
      <c r="QSU613" s="294"/>
      <c r="QSV613" s="294"/>
      <c r="QSW613" s="294"/>
      <c r="QSX613" s="294"/>
      <c r="QSY613" s="294"/>
      <c r="QSZ613" s="294"/>
      <c r="QTA613" s="294"/>
      <c r="QTB613" s="294"/>
      <c r="QTC613" s="294"/>
      <c r="QTD613" s="294"/>
      <c r="QTE613" s="294"/>
      <c r="QTF613" s="294"/>
      <c r="QTG613" s="294"/>
      <c r="QTH613" s="294"/>
      <c r="QTI613" s="294"/>
      <c r="QTJ613" s="294"/>
      <c r="QTK613" s="294"/>
      <c r="QTL613" s="294"/>
      <c r="QTM613" s="294"/>
      <c r="QTN613" s="294"/>
      <c r="QTO613" s="294"/>
      <c r="QTP613" s="294"/>
      <c r="QTQ613" s="294"/>
      <c r="QTR613" s="294"/>
      <c r="QTS613" s="294"/>
      <c r="QTT613" s="294"/>
      <c r="QTU613" s="294"/>
      <c r="QTV613" s="294"/>
      <c r="QTW613" s="294"/>
      <c r="QTX613" s="294"/>
      <c r="QTY613" s="294"/>
      <c r="QTZ613" s="294"/>
      <c r="QUA613" s="294"/>
      <c r="QUB613" s="294"/>
      <c r="QUC613" s="294"/>
      <c r="QUD613" s="294"/>
      <c r="QUE613" s="294"/>
      <c r="QUF613" s="294"/>
      <c r="QUG613" s="294"/>
      <c r="QUH613" s="294"/>
      <c r="QUI613" s="294"/>
      <c r="QUJ613" s="294"/>
      <c r="QUK613" s="294"/>
      <c r="QUL613" s="294"/>
      <c r="QUM613" s="294"/>
      <c r="QUN613" s="294"/>
      <c r="QUO613" s="294"/>
      <c r="QUP613" s="294"/>
      <c r="QUQ613" s="294"/>
      <c r="QUR613" s="294"/>
      <c r="QUS613" s="294"/>
      <c r="QUT613" s="294"/>
      <c r="QUU613" s="294"/>
      <c r="QUV613" s="294"/>
      <c r="QUW613" s="294"/>
      <c r="QUX613" s="294"/>
      <c r="QUY613" s="294"/>
      <c r="QUZ613" s="294"/>
      <c r="QVA613" s="294"/>
      <c r="QVB613" s="294"/>
      <c r="QVC613" s="294"/>
      <c r="QVD613" s="294"/>
      <c r="QVE613" s="294"/>
      <c r="QVF613" s="294"/>
      <c r="QVG613" s="294"/>
      <c r="QVH613" s="294"/>
      <c r="QVI613" s="294"/>
      <c r="QVJ613" s="294"/>
      <c r="QVK613" s="294"/>
      <c r="QVL613" s="294"/>
      <c r="QVM613" s="294"/>
      <c r="QVN613" s="294"/>
      <c r="QVO613" s="294"/>
      <c r="QVP613" s="294"/>
      <c r="QVQ613" s="294"/>
      <c r="QVR613" s="294"/>
      <c r="QVS613" s="294"/>
      <c r="QVT613" s="294"/>
      <c r="QVU613" s="294"/>
      <c r="QVV613" s="294"/>
      <c r="QVW613" s="294"/>
      <c r="QVX613" s="294"/>
      <c r="QVY613" s="294"/>
      <c r="QVZ613" s="294"/>
      <c r="QWA613" s="294"/>
      <c r="QWB613" s="294"/>
      <c r="QWC613" s="294"/>
      <c r="QWD613" s="294"/>
      <c r="QWE613" s="294"/>
      <c r="QWF613" s="294"/>
      <c r="QWG613" s="294"/>
      <c r="QWH613" s="294"/>
      <c r="QWI613" s="294"/>
      <c r="QWJ613" s="294"/>
      <c r="QWK613" s="294"/>
      <c r="QWL613" s="294"/>
      <c r="QWM613" s="294"/>
      <c r="QWN613" s="294"/>
      <c r="QWO613" s="294"/>
      <c r="QWP613" s="294"/>
      <c r="QWQ613" s="294"/>
      <c r="QWR613" s="294"/>
      <c r="QWS613" s="294"/>
      <c r="QWT613" s="294"/>
      <c r="QWU613" s="294"/>
      <c r="QWV613" s="294"/>
      <c r="QWW613" s="294"/>
      <c r="QWX613" s="294"/>
      <c r="QWY613" s="294"/>
      <c r="QWZ613" s="294"/>
      <c r="QXA613" s="294"/>
      <c r="QXB613" s="294"/>
      <c r="QXC613" s="294"/>
      <c r="QXD613" s="294"/>
      <c r="QXE613" s="294"/>
      <c r="QXF613" s="294"/>
      <c r="QXG613" s="294"/>
      <c r="QXH613" s="294"/>
      <c r="QXI613" s="294"/>
      <c r="QXJ613" s="294"/>
      <c r="QXK613" s="294"/>
      <c r="QXL613" s="294"/>
      <c r="QXM613" s="294"/>
      <c r="QXN613" s="294"/>
      <c r="QXO613" s="294"/>
      <c r="QXP613" s="294"/>
      <c r="QXQ613" s="294"/>
      <c r="QXR613" s="294"/>
      <c r="QXS613" s="294"/>
      <c r="QXT613" s="294"/>
      <c r="QXU613" s="294"/>
      <c r="QXV613" s="294"/>
      <c r="QXW613" s="294"/>
      <c r="QXX613" s="294"/>
      <c r="QXY613" s="294"/>
      <c r="QXZ613" s="294"/>
      <c r="QYA613" s="294"/>
      <c r="QYB613" s="294"/>
      <c r="QYC613" s="294"/>
      <c r="QYD613" s="294"/>
      <c r="QYE613" s="294"/>
      <c r="QYF613" s="294"/>
      <c r="QYG613" s="294"/>
      <c r="QYH613" s="294"/>
      <c r="QYI613" s="294"/>
      <c r="QYJ613" s="294"/>
      <c r="QYK613" s="294"/>
      <c r="QYL613" s="294"/>
      <c r="QYM613" s="294"/>
      <c r="QYN613" s="294"/>
      <c r="QYO613" s="294"/>
      <c r="QYP613" s="294"/>
      <c r="QYQ613" s="294"/>
      <c r="QYR613" s="294"/>
      <c r="QYS613" s="294"/>
      <c r="QYT613" s="294"/>
      <c r="QYU613" s="294"/>
      <c r="QYV613" s="294"/>
      <c r="QYW613" s="294"/>
      <c r="QYX613" s="294"/>
      <c r="QYY613" s="294"/>
      <c r="QYZ613" s="294"/>
      <c r="QZA613" s="294"/>
      <c r="QZB613" s="294"/>
      <c r="QZC613" s="294"/>
      <c r="QZD613" s="294"/>
      <c r="QZE613" s="294"/>
      <c r="QZF613" s="294"/>
      <c r="QZG613" s="294"/>
      <c r="QZH613" s="294"/>
      <c r="QZI613" s="294"/>
      <c r="QZJ613" s="294"/>
      <c r="QZK613" s="294"/>
      <c r="QZL613" s="294"/>
      <c r="QZM613" s="294"/>
      <c r="QZN613" s="294"/>
      <c r="QZO613" s="294"/>
      <c r="QZP613" s="294"/>
      <c r="QZQ613" s="294"/>
      <c r="QZR613" s="294"/>
      <c r="QZS613" s="294"/>
      <c r="QZT613" s="294"/>
      <c r="QZU613" s="294"/>
      <c r="QZV613" s="294"/>
      <c r="QZW613" s="294"/>
      <c r="QZX613" s="294"/>
      <c r="QZY613" s="294"/>
      <c r="QZZ613" s="294"/>
      <c r="RAA613" s="294"/>
      <c r="RAB613" s="294"/>
      <c r="RAC613" s="294"/>
      <c r="RAD613" s="294"/>
      <c r="RAE613" s="294"/>
      <c r="RAF613" s="294"/>
      <c r="RAG613" s="294"/>
      <c r="RAH613" s="294"/>
      <c r="RAI613" s="294"/>
      <c r="RAJ613" s="294"/>
      <c r="RAK613" s="294"/>
      <c r="RAL613" s="294"/>
      <c r="RAM613" s="294"/>
      <c r="RAN613" s="294"/>
      <c r="RAO613" s="294"/>
      <c r="RAP613" s="294"/>
      <c r="RAQ613" s="294"/>
      <c r="RAR613" s="294"/>
      <c r="RAS613" s="294"/>
      <c r="RAT613" s="294"/>
      <c r="RAU613" s="294"/>
      <c r="RAV613" s="294"/>
      <c r="RAW613" s="294"/>
      <c r="RAX613" s="294"/>
      <c r="RAY613" s="294"/>
      <c r="RAZ613" s="294"/>
      <c r="RBA613" s="294"/>
      <c r="RBB613" s="294"/>
      <c r="RBC613" s="294"/>
      <c r="RBD613" s="294"/>
      <c r="RBE613" s="294"/>
      <c r="RBF613" s="294"/>
      <c r="RBG613" s="294"/>
      <c r="RBH613" s="294"/>
      <c r="RBI613" s="294"/>
      <c r="RBJ613" s="294"/>
      <c r="RBK613" s="294"/>
      <c r="RBL613" s="294"/>
      <c r="RBM613" s="294"/>
      <c r="RBN613" s="294"/>
      <c r="RBO613" s="294"/>
      <c r="RBP613" s="294"/>
      <c r="RBQ613" s="294"/>
      <c r="RBR613" s="294"/>
      <c r="RBS613" s="294"/>
      <c r="RBT613" s="294"/>
      <c r="RBU613" s="294"/>
      <c r="RBV613" s="294"/>
      <c r="RBW613" s="294"/>
      <c r="RBX613" s="294"/>
      <c r="RBY613" s="294"/>
      <c r="RBZ613" s="294"/>
      <c r="RCA613" s="294"/>
      <c r="RCB613" s="294"/>
      <c r="RCC613" s="294"/>
      <c r="RCD613" s="294"/>
      <c r="RCE613" s="294"/>
      <c r="RCF613" s="294"/>
      <c r="RCG613" s="294"/>
      <c r="RCH613" s="294"/>
      <c r="RCI613" s="294"/>
      <c r="RCJ613" s="294"/>
      <c r="RCK613" s="294"/>
      <c r="RCL613" s="294"/>
      <c r="RCM613" s="294"/>
      <c r="RCN613" s="294"/>
      <c r="RCO613" s="294"/>
      <c r="RCP613" s="294"/>
      <c r="RCQ613" s="294"/>
      <c r="RCR613" s="294"/>
      <c r="RCS613" s="294"/>
      <c r="RCT613" s="294"/>
      <c r="RCU613" s="294"/>
      <c r="RCV613" s="294"/>
      <c r="RCW613" s="294"/>
      <c r="RCX613" s="294"/>
      <c r="RCY613" s="294"/>
      <c r="RCZ613" s="294"/>
      <c r="RDA613" s="294"/>
      <c r="RDB613" s="294"/>
      <c r="RDC613" s="294"/>
      <c r="RDD613" s="294"/>
      <c r="RDE613" s="294"/>
      <c r="RDF613" s="294"/>
      <c r="RDG613" s="294"/>
      <c r="RDH613" s="294"/>
      <c r="RDI613" s="294"/>
      <c r="RDJ613" s="294"/>
      <c r="RDK613" s="294"/>
      <c r="RDL613" s="294"/>
      <c r="RDM613" s="294"/>
      <c r="RDN613" s="294"/>
      <c r="RDO613" s="294"/>
      <c r="RDP613" s="294"/>
      <c r="RDQ613" s="294"/>
      <c r="RDR613" s="294"/>
      <c r="RDS613" s="294"/>
      <c r="RDT613" s="294"/>
      <c r="RDU613" s="294"/>
      <c r="RDV613" s="294"/>
      <c r="RDW613" s="294"/>
      <c r="RDX613" s="294"/>
      <c r="RDY613" s="294"/>
      <c r="RDZ613" s="294"/>
      <c r="REA613" s="294"/>
      <c r="REB613" s="294"/>
      <c r="REC613" s="294"/>
      <c r="RED613" s="294"/>
      <c r="REE613" s="294"/>
      <c r="REF613" s="294"/>
      <c r="REG613" s="294"/>
      <c r="REH613" s="294"/>
      <c r="REI613" s="294"/>
      <c r="REJ613" s="294"/>
      <c r="REK613" s="294"/>
      <c r="REL613" s="294"/>
      <c r="REM613" s="294"/>
      <c r="REN613" s="294"/>
      <c r="REO613" s="294"/>
      <c r="REP613" s="294"/>
      <c r="REQ613" s="294"/>
      <c r="RER613" s="294"/>
      <c r="RES613" s="294"/>
      <c r="RET613" s="294"/>
      <c r="REU613" s="294"/>
      <c r="REV613" s="294"/>
      <c r="REW613" s="294"/>
      <c r="REX613" s="294"/>
      <c r="REY613" s="294"/>
      <c r="REZ613" s="294"/>
      <c r="RFA613" s="294"/>
      <c r="RFB613" s="294"/>
      <c r="RFC613" s="294"/>
      <c r="RFD613" s="294"/>
      <c r="RFE613" s="294"/>
      <c r="RFF613" s="294"/>
      <c r="RFG613" s="294"/>
      <c r="RFH613" s="294"/>
      <c r="RFI613" s="294"/>
      <c r="RFJ613" s="294"/>
      <c r="RFK613" s="294"/>
      <c r="RFL613" s="294"/>
      <c r="RFM613" s="294"/>
      <c r="RFN613" s="294"/>
      <c r="RFO613" s="294"/>
      <c r="RFP613" s="294"/>
      <c r="RFQ613" s="294"/>
      <c r="RFR613" s="294"/>
      <c r="RFS613" s="294"/>
      <c r="RFT613" s="294"/>
      <c r="RFU613" s="294"/>
      <c r="RFV613" s="294"/>
      <c r="RFW613" s="294"/>
      <c r="RFX613" s="294"/>
      <c r="RFY613" s="294"/>
      <c r="RFZ613" s="294"/>
      <c r="RGA613" s="294"/>
      <c r="RGB613" s="294"/>
      <c r="RGC613" s="294"/>
      <c r="RGD613" s="294"/>
      <c r="RGE613" s="294"/>
      <c r="RGF613" s="294"/>
      <c r="RGG613" s="294"/>
      <c r="RGH613" s="294"/>
      <c r="RGI613" s="294"/>
      <c r="RGJ613" s="294"/>
      <c r="RGK613" s="294"/>
      <c r="RGL613" s="294"/>
      <c r="RGM613" s="294"/>
      <c r="RGN613" s="294"/>
      <c r="RGO613" s="294"/>
      <c r="RGP613" s="294"/>
      <c r="RGQ613" s="294"/>
      <c r="RGR613" s="294"/>
      <c r="RGS613" s="294"/>
      <c r="RGT613" s="294"/>
      <c r="RGU613" s="294"/>
      <c r="RGV613" s="294"/>
      <c r="RGW613" s="294"/>
      <c r="RGX613" s="294"/>
      <c r="RGY613" s="294"/>
      <c r="RGZ613" s="294"/>
      <c r="RHA613" s="294"/>
      <c r="RHB613" s="294"/>
      <c r="RHC613" s="294"/>
      <c r="RHD613" s="294"/>
      <c r="RHE613" s="294"/>
      <c r="RHF613" s="294"/>
      <c r="RHG613" s="294"/>
      <c r="RHH613" s="294"/>
      <c r="RHI613" s="294"/>
      <c r="RHJ613" s="294"/>
      <c r="RHK613" s="294"/>
      <c r="RHL613" s="294"/>
      <c r="RHM613" s="294"/>
      <c r="RHN613" s="294"/>
      <c r="RHO613" s="294"/>
      <c r="RHP613" s="294"/>
      <c r="RHQ613" s="294"/>
      <c r="RHR613" s="294"/>
      <c r="RHS613" s="294"/>
      <c r="RHT613" s="294"/>
      <c r="RHU613" s="294"/>
      <c r="RHV613" s="294"/>
      <c r="RHW613" s="294"/>
      <c r="RHX613" s="294"/>
      <c r="RHY613" s="294"/>
      <c r="RHZ613" s="294"/>
      <c r="RIA613" s="294"/>
      <c r="RIB613" s="294"/>
      <c r="RIC613" s="294"/>
      <c r="RID613" s="294"/>
      <c r="RIE613" s="294"/>
      <c r="RIF613" s="294"/>
      <c r="RIG613" s="294"/>
      <c r="RIH613" s="294"/>
      <c r="RII613" s="294"/>
      <c r="RIJ613" s="294"/>
      <c r="RIK613" s="294"/>
      <c r="RIL613" s="294"/>
      <c r="RIM613" s="294"/>
      <c r="RIN613" s="294"/>
      <c r="RIO613" s="294"/>
      <c r="RIP613" s="294"/>
      <c r="RIQ613" s="294"/>
      <c r="RIR613" s="294"/>
      <c r="RIS613" s="294"/>
      <c r="RIT613" s="294"/>
      <c r="RIU613" s="294"/>
      <c r="RIV613" s="294"/>
      <c r="RIW613" s="294"/>
      <c r="RIX613" s="294"/>
      <c r="RIY613" s="294"/>
      <c r="RIZ613" s="294"/>
      <c r="RJA613" s="294"/>
      <c r="RJB613" s="294"/>
      <c r="RJC613" s="294"/>
      <c r="RJD613" s="294"/>
      <c r="RJE613" s="294"/>
      <c r="RJF613" s="294"/>
      <c r="RJG613" s="294"/>
      <c r="RJH613" s="294"/>
      <c r="RJI613" s="294"/>
      <c r="RJJ613" s="294"/>
      <c r="RJK613" s="294"/>
      <c r="RJL613" s="294"/>
      <c r="RJM613" s="294"/>
      <c r="RJN613" s="294"/>
      <c r="RJO613" s="294"/>
      <c r="RJP613" s="294"/>
      <c r="RJQ613" s="294"/>
      <c r="RJR613" s="294"/>
      <c r="RJS613" s="294"/>
      <c r="RJT613" s="294"/>
      <c r="RJU613" s="294"/>
      <c r="RJV613" s="294"/>
      <c r="RJW613" s="294"/>
      <c r="RJX613" s="294"/>
      <c r="RJY613" s="294"/>
      <c r="RJZ613" s="294"/>
      <c r="RKA613" s="294"/>
      <c r="RKB613" s="294"/>
      <c r="RKC613" s="294"/>
      <c r="RKD613" s="294"/>
      <c r="RKE613" s="294"/>
      <c r="RKF613" s="294"/>
      <c r="RKG613" s="294"/>
      <c r="RKH613" s="294"/>
      <c r="RKI613" s="294"/>
      <c r="RKJ613" s="294"/>
      <c r="RKK613" s="294"/>
      <c r="RKL613" s="294"/>
      <c r="RKM613" s="294"/>
      <c r="RKN613" s="294"/>
      <c r="RKO613" s="294"/>
      <c r="RKP613" s="294"/>
      <c r="RKQ613" s="294"/>
      <c r="RKR613" s="294"/>
      <c r="RKS613" s="294"/>
      <c r="RKT613" s="294"/>
      <c r="RKU613" s="294"/>
      <c r="RKV613" s="294"/>
      <c r="RKW613" s="294"/>
      <c r="RKX613" s="294"/>
      <c r="RKY613" s="294"/>
      <c r="RKZ613" s="294"/>
      <c r="RLA613" s="294"/>
      <c r="RLB613" s="294"/>
      <c r="RLC613" s="294"/>
      <c r="RLD613" s="294"/>
      <c r="RLE613" s="294"/>
      <c r="RLF613" s="294"/>
      <c r="RLG613" s="294"/>
      <c r="RLH613" s="294"/>
      <c r="RLI613" s="294"/>
      <c r="RLJ613" s="294"/>
      <c r="RLK613" s="294"/>
      <c r="RLL613" s="294"/>
      <c r="RLM613" s="294"/>
      <c r="RLN613" s="294"/>
      <c r="RLO613" s="294"/>
      <c r="RLP613" s="294"/>
      <c r="RLQ613" s="294"/>
      <c r="RLR613" s="294"/>
      <c r="RLS613" s="294"/>
      <c r="RLT613" s="294"/>
      <c r="RLU613" s="294"/>
      <c r="RLV613" s="294"/>
      <c r="RLW613" s="294"/>
      <c r="RLX613" s="294"/>
      <c r="RLY613" s="294"/>
      <c r="RLZ613" s="294"/>
      <c r="RMA613" s="294"/>
      <c r="RMB613" s="294"/>
      <c r="RMC613" s="294"/>
      <c r="RMD613" s="294"/>
      <c r="RME613" s="294"/>
      <c r="RMF613" s="294"/>
      <c r="RMG613" s="294"/>
      <c r="RMH613" s="294"/>
      <c r="RMI613" s="294"/>
      <c r="RMJ613" s="294"/>
      <c r="RMK613" s="294"/>
      <c r="RML613" s="294"/>
      <c r="RMM613" s="294"/>
      <c r="RMN613" s="294"/>
      <c r="RMO613" s="294"/>
      <c r="RMP613" s="294"/>
      <c r="RMQ613" s="294"/>
      <c r="RMR613" s="294"/>
      <c r="RMS613" s="294"/>
      <c r="RMT613" s="294"/>
      <c r="RMU613" s="294"/>
      <c r="RMV613" s="294"/>
      <c r="RMW613" s="294"/>
      <c r="RMX613" s="294"/>
      <c r="RMY613" s="294"/>
      <c r="RMZ613" s="294"/>
      <c r="RNA613" s="294"/>
      <c r="RNB613" s="294"/>
      <c r="RNC613" s="294"/>
      <c r="RND613" s="294"/>
      <c r="RNE613" s="294"/>
      <c r="RNF613" s="294"/>
      <c r="RNG613" s="294"/>
      <c r="RNH613" s="294"/>
      <c r="RNI613" s="294"/>
      <c r="RNJ613" s="294"/>
      <c r="RNK613" s="294"/>
      <c r="RNL613" s="294"/>
      <c r="RNM613" s="294"/>
      <c r="RNN613" s="294"/>
      <c r="RNO613" s="294"/>
      <c r="RNP613" s="294"/>
      <c r="RNQ613" s="294"/>
      <c r="RNR613" s="294"/>
      <c r="RNS613" s="294"/>
      <c r="RNT613" s="294"/>
      <c r="RNU613" s="294"/>
      <c r="RNV613" s="294"/>
      <c r="RNW613" s="294"/>
      <c r="RNX613" s="294"/>
      <c r="RNY613" s="294"/>
      <c r="RNZ613" s="294"/>
      <c r="ROA613" s="294"/>
      <c r="ROB613" s="294"/>
      <c r="ROC613" s="294"/>
      <c r="ROD613" s="294"/>
      <c r="ROE613" s="294"/>
      <c r="ROF613" s="294"/>
      <c r="ROG613" s="294"/>
      <c r="ROH613" s="294"/>
      <c r="ROI613" s="294"/>
      <c r="ROJ613" s="294"/>
      <c r="ROK613" s="294"/>
      <c r="ROL613" s="294"/>
      <c r="ROM613" s="294"/>
      <c r="RON613" s="294"/>
      <c r="ROO613" s="294"/>
      <c r="ROP613" s="294"/>
      <c r="ROQ613" s="294"/>
      <c r="ROR613" s="294"/>
      <c r="ROS613" s="294"/>
      <c r="ROT613" s="294"/>
      <c r="ROU613" s="294"/>
      <c r="ROV613" s="294"/>
      <c r="ROW613" s="294"/>
      <c r="ROX613" s="294"/>
      <c r="ROY613" s="294"/>
      <c r="ROZ613" s="294"/>
      <c r="RPA613" s="294"/>
      <c r="RPB613" s="294"/>
      <c r="RPC613" s="294"/>
      <c r="RPD613" s="294"/>
      <c r="RPE613" s="294"/>
      <c r="RPF613" s="294"/>
      <c r="RPG613" s="294"/>
      <c r="RPH613" s="294"/>
      <c r="RPI613" s="294"/>
      <c r="RPJ613" s="294"/>
      <c r="RPK613" s="294"/>
      <c r="RPL613" s="294"/>
      <c r="RPM613" s="294"/>
      <c r="RPN613" s="294"/>
      <c r="RPO613" s="294"/>
      <c r="RPP613" s="294"/>
      <c r="RPQ613" s="294"/>
      <c r="RPR613" s="294"/>
      <c r="RPS613" s="294"/>
      <c r="RPT613" s="294"/>
      <c r="RPU613" s="294"/>
      <c r="RPV613" s="294"/>
      <c r="RPW613" s="294"/>
      <c r="RPX613" s="294"/>
      <c r="RPY613" s="294"/>
      <c r="RPZ613" s="294"/>
      <c r="RQA613" s="294"/>
      <c r="RQB613" s="294"/>
      <c r="RQC613" s="294"/>
      <c r="RQD613" s="294"/>
      <c r="RQE613" s="294"/>
      <c r="RQF613" s="294"/>
      <c r="RQG613" s="294"/>
      <c r="RQH613" s="294"/>
      <c r="RQI613" s="294"/>
      <c r="RQJ613" s="294"/>
      <c r="RQK613" s="294"/>
      <c r="RQL613" s="294"/>
      <c r="RQM613" s="294"/>
      <c r="RQN613" s="294"/>
      <c r="RQO613" s="294"/>
      <c r="RQP613" s="294"/>
      <c r="RQQ613" s="294"/>
      <c r="RQR613" s="294"/>
      <c r="RQS613" s="294"/>
      <c r="RQT613" s="294"/>
      <c r="RQU613" s="294"/>
      <c r="RQV613" s="294"/>
      <c r="RQW613" s="294"/>
      <c r="RQX613" s="294"/>
      <c r="RQY613" s="294"/>
      <c r="RQZ613" s="294"/>
      <c r="RRA613" s="294"/>
      <c r="RRB613" s="294"/>
      <c r="RRC613" s="294"/>
      <c r="RRD613" s="294"/>
      <c r="RRE613" s="294"/>
      <c r="RRF613" s="294"/>
      <c r="RRG613" s="294"/>
      <c r="RRH613" s="294"/>
      <c r="RRI613" s="294"/>
      <c r="RRJ613" s="294"/>
      <c r="RRK613" s="294"/>
      <c r="RRL613" s="294"/>
      <c r="RRM613" s="294"/>
      <c r="RRN613" s="294"/>
      <c r="RRO613" s="294"/>
      <c r="RRP613" s="294"/>
      <c r="RRQ613" s="294"/>
      <c r="RRR613" s="294"/>
      <c r="RRS613" s="294"/>
      <c r="RRT613" s="294"/>
      <c r="RRU613" s="294"/>
      <c r="RRV613" s="294"/>
      <c r="RRW613" s="294"/>
      <c r="RRX613" s="294"/>
      <c r="RRY613" s="294"/>
      <c r="RRZ613" s="294"/>
      <c r="RSA613" s="294"/>
      <c r="RSB613" s="294"/>
      <c r="RSC613" s="294"/>
      <c r="RSD613" s="294"/>
      <c r="RSE613" s="294"/>
      <c r="RSF613" s="294"/>
      <c r="RSG613" s="294"/>
      <c r="RSH613" s="294"/>
      <c r="RSI613" s="294"/>
      <c r="RSJ613" s="294"/>
      <c r="RSK613" s="294"/>
      <c r="RSL613" s="294"/>
      <c r="RSM613" s="294"/>
      <c r="RSN613" s="294"/>
      <c r="RSO613" s="294"/>
      <c r="RSP613" s="294"/>
      <c r="RSQ613" s="294"/>
      <c r="RSR613" s="294"/>
      <c r="RSS613" s="294"/>
      <c r="RST613" s="294"/>
      <c r="RSU613" s="294"/>
      <c r="RSV613" s="294"/>
      <c r="RSW613" s="294"/>
      <c r="RSX613" s="294"/>
      <c r="RSY613" s="294"/>
      <c r="RSZ613" s="294"/>
      <c r="RTA613" s="294"/>
      <c r="RTB613" s="294"/>
      <c r="RTC613" s="294"/>
      <c r="RTD613" s="294"/>
      <c r="RTE613" s="294"/>
      <c r="RTF613" s="294"/>
      <c r="RTG613" s="294"/>
      <c r="RTH613" s="294"/>
      <c r="RTI613" s="294"/>
      <c r="RTJ613" s="294"/>
      <c r="RTK613" s="294"/>
      <c r="RTL613" s="294"/>
      <c r="RTM613" s="294"/>
      <c r="RTN613" s="294"/>
      <c r="RTO613" s="294"/>
      <c r="RTP613" s="294"/>
      <c r="RTQ613" s="294"/>
      <c r="RTR613" s="294"/>
      <c r="RTS613" s="294"/>
      <c r="RTT613" s="294"/>
      <c r="RTU613" s="294"/>
      <c r="RTV613" s="294"/>
      <c r="RTW613" s="294"/>
      <c r="RTX613" s="294"/>
      <c r="RTY613" s="294"/>
      <c r="RTZ613" s="294"/>
      <c r="RUA613" s="294"/>
      <c r="RUB613" s="294"/>
      <c r="RUC613" s="294"/>
      <c r="RUD613" s="294"/>
      <c r="RUE613" s="294"/>
      <c r="RUF613" s="294"/>
      <c r="RUG613" s="294"/>
      <c r="RUH613" s="294"/>
      <c r="RUI613" s="294"/>
      <c r="RUJ613" s="294"/>
      <c r="RUK613" s="294"/>
      <c r="RUL613" s="294"/>
      <c r="RUM613" s="294"/>
      <c r="RUN613" s="294"/>
      <c r="RUO613" s="294"/>
      <c r="RUP613" s="294"/>
      <c r="RUQ613" s="294"/>
      <c r="RUR613" s="294"/>
      <c r="RUS613" s="294"/>
      <c r="RUT613" s="294"/>
      <c r="RUU613" s="294"/>
      <c r="RUV613" s="294"/>
      <c r="RUW613" s="294"/>
      <c r="RUX613" s="294"/>
      <c r="RUY613" s="294"/>
      <c r="RUZ613" s="294"/>
      <c r="RVA613" s="294"/>
      <c r="RVB613" s="294"/>
      <c r="RVC613" s="294"/>
      <c r="RVD613" s="294"/>
      <c r="RVE613" s="294"/>
      <c r="RVF613" s="294"/>
      <c r="RVG613" s="294"/>
      <c r="RVH613" s="294"/>
      <c r="RVI613" s="294"/>
      <c r="RVJ613" s="294"/>
      <c r="RVK613" s="294"/>
      <c r="RVL613" s="294"/>
      <c r="RVM613" s="294"/>
      <c r="RVN613" s="294"/>
      <c r="RVO613" s="294"/>
      <c r="RVP613" s="294"/>
      <c r="RVQ613" s="294"/>
      <c r="RVR613" s="294"/>
      <c r="RVS613" s="294"/>
      <c r="RVT613" s="294"/>
      <c r="RVU613" s="294"/>
      <c r="RVV613" s="294"/>
      <c r="RVW613" s="294"/>
      <c r="RVX613" s="294"/>
      <c r="RVY613" s="294"/>
      <c r="RVZ613" s="294"/>
      <c r="RWA613" s="294"/>
      <c r="RWB613" s="294"/>
      <c r="RWC613" s="294"/>
      <c r="RWD613" s="294"/>
      <c r="RWE613" s="294"/>
      <c r="RWF613" s="294"/>
      <c r="RWG613" s="294"/>
      <c r="RWH613" s="294"/>
      <c r="RWI613" s="294"/>
      <c r="RWJ613" s="294"/>
      <c r="RWK613" s="294"/>
      <c r="RWL613" s="294"/>
      <c r="RWM613" s="294"/>
      <c r="RWN613" s="294"/>
      <c r="RWO613" s="294"/>
      <c r="RWP613" s="294"/>
      <c r="RWQ613" s="294"/>
      <c r="RWR613" s="294"/>
      <c r="RWS613" s="294"/>
      <c r="RWT613" s="294"/>
      <c r="RWU613" s="294"/>
      <c r="RWV613" s="294"/>
      <c r="RWW613" s="294"/>
      <c r="RWX613" s="294"/>
      <c r="RWY613" s="294"/>
      <c r="RWZ613" s="294"/>
      <c r="RXA613" s="294"/>
      <c r="RXB613" s="294"/>
      <c r="RXC613" s="294"/>
      <c r="RXD613" s="294"/>
      <c r="RXE613" s="294"/>
      <c r="RXF613" s="294"/>
      <c r="RXG613" s="294"/>
      <c r="RXH613" s="294"/>
      <c r="RXI613" s="294"/>
      <c r="RXJ613" s="294"/>
      <c r="RXK613" s="294"/>
      <c r="RXL613" s="294"/>
      <c r="RXM613" s="294"/>
      <c r="RXN613" s="294"/>
      <c r="RXO613" s="294"/>
      <c r="RXP613" s="294"/>
      <c r="RXQ613" s="294"/>
      <c r="RXR613" s="294"/>
      <c r="RXS613" s="294"/>
      <c r="RXT613" s="294"/>
      <c r="RXU613" s="294"/>
      <c r="RXV613" s="294"/>
      <c r="RXW613" s="294"/>
      <c r="RXX613" s="294"/>
      <c r="RXY613" s="294"/>
      <c r="RXZ613" s="294"/>
      <c r="RYA613" s="294"/>
      <c r="RYB613" s="294"/>
      <c r="RYC613" s="294"/>
      <c r="RYD613" s="294"/>
      <c r="RYE613" s="294"/>
      <c r="RYF613" s="294"/>
      <c r="RYG613" s="294"/>
      <c r="RYH613" s="294"/>
      <c r="RYI613" s="294"/>
      <c r="RYJ613" s="294"/>
      <c r="RYK613" s="294"/>
      <c r="RYL613" s="294"/>
      <c r="RYM613" s="294"/>
      <c r="RYN613" s="294"/>
      <c r="RYO613" s="294"/>
      <c r="RYP613" s="294"/>
      <c r="RYQ613" s="294"/>
      <c r="RYR613" s="294"/>
      <c r="RYS613" s="294"/>
      <c r="RYT613" s="294"/>
      <c r="RYU613" s="294"/>
      <c r="RYV613" s="294"/>
      <c r="RYW613" s="294"/>
      <c r="RYX613" s="294"/>
      <c r="RYY613" s="294"/>
      <c r="RYZ613" s="294"/>
      <c r="RZA613" s="294"/>
      <c r="RZB613" s="294"/>
      <c r="RZC613" s="294"/>
      <c r="RZD613" s="294"/>
      <c r="RZE613" s="294"/>
      <c r="RZF613" s="294"/>
      <c r="RZG613" s="294"/>
      <c r="RZH613" s="294"/>
      <c r="RZI613" s="294"/>
      <c r="RZJ613" s="294"/>
      <c r="RZK613" s="294"/>
      <c r="RZL613" s="294"/>
      <c r="RZM613" s="294"/>
      <c r="RZN613" s="294"/>
      <c r="RZO613" s="294"/>
      <c r="RZP613" s="294"/>
      <c r="RZQ613" s="294"/>
      <c r="RZR613" s="294"/>
      <c r="RZS613" s="294"/>
      <c r="RZT613" s="294"/>
      <c r="RZU613" s="294"/>
      <c r="RZV613" s="294"/>
      <c r="RZW613" s="294"/>
      <c r="RZX613" s="294"/>
      <c r="RZY613" s="294"/>
      <c r="RZZ613" s="294"/>
      <c r="SAA613" s="294"/>
      <c r="SAB613" s="294"/>
      <c r="SAC613" s="294"/>
      <c r="SAD613" s="294"/>
      <c r="SAE613" s="294"/>
      <c r="SAF613" s="294"/>
      <c r="SAG613" s="294"/>
      <c r="SAH613" s="294"/>
      <c r="SAI613" s="294"/>
      <c r="SAJ613" s="294"/>
      <c r="SAK613" s="294"/>
      <c r="SAL613" s="294"/>
      <c r="SAM613" s="294"/>
      <c r="SAN613" s="294"/>
      <c r="SAO613" s="294"/>
      <c r="SAP613" s="294"/>
      <c r="SAQ613" s="294"/>
      <c r="SAR613" s="294"/>
      <c r="SAS613" s="294"/>
      <c r="SAT613" s="294"/>
      <c r="SAU613" s="294"/>
      <c r="SAV613" s="294"/>
      <c r="SAW613" s="294"/>
      <c r="SAX613" s="294"/>
      <c r="SAY613" s="294"/>
      <c r="SAZ613" s="294"/>
      <c r="SBA613" s="294"/>
      <c r="SBB613" s="294"/>
      <c r="SBC613" s="294"/>
      <c r="SBD613" s="294"/>
      <c r="SBE613" s="294"/>
      <c r="SBF613" s="294"/>
      <c r="SBG613" s="294"/>
      <c r="SBH613" s="294"/>
      <c r="SBI613" s="294"/>
      <c r="SBJ613" s="294"/>
      <c r="SBK613" s="294"/>
      <c r="SBL613" s="294"/>
      <c r="SBM613" s="294"/>
      <c r="SBN613" s="294"/>
      <c r="SBO613" s="294"/>
      <c r="SBP613" s="294"/>
      <c r="SBQ613" s="294"/>
      <c r="SBR613" s="294"/>
      <c r="SBS613" s="294"/>
      <c r="SBT613" s="294"/>
      <c r="SBU613" s="294"/>
      <c r="SBV613" s="294"/>
      <c r="SBW613" s="294"/>
      <c r="SBX613" s="294"/>
      <c r="SBY613" s="294"/>
      <c r="SBZ613" s="294"/>
      <c r="SCA613" s="294"/>
      <c r="SCB613" s="294"/>
      <c r="SCC613" s="294"/>
      <c r="SCD613" s="294"/>
      <c r="SCE613" s="294"/>
      <c r="SCF613" s="294"/>
      <c r="SCG613" s="294"/>
      <c r="SCH613" s="294"/>
      <c r="SCI613" s="294"/>
      <c r="SCJ613" s="294"/>
      <c r="SCK613" s="294"/>
      <c r="SCL613" s="294"/>
      <c r="SCM613" s="294"/>
      <c r="SCN613" s="294"/>
      <c r="SCO613" s="294"/>
      <c r="SCP613" s="294"/>
      <c r="SCQ613" s="294"/>
      <c r="SCR613" s="294"/>
      <c r="SCS613" s="294"/>
      <c r="SCT613" s="294"/>
      <c r="SCU613" s="294"/>
      <c r="SCV613" s="294"/>
      <c r="SCW613" s="294"/>
      <c r="SCX613" s="294"/>
      <c r="SCY613" s="294"/>
      <c r="SCZ613" s="294"/>
      <c r="SDA613" s="294"/>
      <c r="SDB613" s="294"/>
      <c r="SDC613" s="294"/>
      <c r="SDD613" s="294"/>
      <c r="SDE613" s="294"/>
      <c r="SDF613" s="294"/>
      <c r="SDG613" s="294"/>
      <c r="SDH613" s="294"/>
      <c r="SDI613" s="294"/>
      <c r="SDJ613" s="294"/>
      <c r="SDK613" s="294"/>
      <c r="SDL613" s="294"/>
      <c r="SDM613" s="294"/>
      <c r="SDN613" s="294"/>
      <c r="SDO613" s="294"/>
      <c r="SDP613" s="294"/>
      <c r="SDQ613" s="294"/>
      <c r="SDR613" s="294"/>
      <c r="SDS613" s="294"/>
      <c r="SDT613" s="294"/>
      <c r="SDU613" s="294"/>
      <c r="SDV613" s="294"/>
      <c r="SDW613" s="294"/>
      <c r="SDX613" s="294"/>
      <c r="SDY613" s="294"/>
      <c r="SDZ613" s="294"/>
      <c r="SEA613" s="294"/>
      <c r="SEB613" s="294"/>
      <c r="SEC613" s="294"/>
      <c r="SED613" s="294"/>
      <c r="SEE613" s="294"/>
      <c r="SEF613" s="294"/>
      <c r="SEG613" s="294"/>
      <c r="SEH613" s="294"/>
      <c r="SEI613" s="294"/>
      <c r="SEJ613" s="294"/>
      <c r="SEK613" s="294"/>
      <c r="SEL613" s="294"/>
      <c r="SEM613" s="294"/>
      <c r="SEN613" s="294"/>
      <c r="SEO613" s="294"/>
      <c r="SEP613" s="294"/>
      <c r="SEQ613" s="294"/>
      <c r="SER613" s="294"/>
      <c r="SES613" s="294"/>
      <c r="SET613" s="294"/>
      <c r="SEU613" s="294"/>
      <c r="SEV613" s="294"/>
      <c r="SEW613" s="294"/>
      <c r="SEX613" s="294"/>
      <c r="SEY613" s="294"/>
      <c r="SEZ613" s="294"/>
      <c r="SFA613" s="294"/>
      <c r="SFB613" s="294"/>
      <c r="SFC613" s="294"/>
      <c r="SFD613" s="294"/>
      <c r="SFE613" s="294"/>
      <c r="SFF613" s="294"/>
      <c r="SFG613" s="294"/>
      <c r="SFH613" s="294"/>
      <c r="SFI613" s="294"/>
      <c r="SFJ613" s="294"/>
      <c r="SFK613" s="294"/>
      <c r="SFL613" s="294"/>
      <c r="SFM613" s="294"/>
      <c r="SFN613" s="294"/>
      <c r="SFO613" s="294"/>
      <c r="SFP613" s="294"/>
      <c r="SFQ613" s="294"/>
      <c r="SFR613" s="294"/>
      <c r="SFS613" s="294"/>
      <c r="SFT613" s="294"/>
      <c r="SFU613" s="294"/>
      <c r="SFV613" s="294"/>
      <c r="SFW613" s="294"/>
      <c r="SFX613" s="294"/>
      <c r="SFY613" s="294"/>
      <c r="SFZ613" s="294"/>
      <c r="SGA613" s="294"/>
      <c r="SGB613" s="294"/>
      <c r="SGC613" s="294"/>
      <c r="SGD613" s="294"/>
      <c r="SGE613" s="294"/>
      <c r="SGF613" s="294"/>
      <c r="SGG613" s="294"/>
      <c r="SGH613" s="294"/>
      <c r="SGI613" s="294"/>
      <c r="SGJ613" s="294"/>
      <c r="SGK613" s="294"/>
      <c r="SGL613" s="294"/>
      <c r="SGM613" s="294"/>
      <c r="SGN613" s="294"/>
      <c r="SGO613" s="294"/>
      <c r="SGP613" s="294"/>
      <c r="SGQ613" s="294"/>
      <c r="SGR613" s="294"/>
      <c r="SGS613" s="294"/>
      <c r="SGT613" s="294"/>
      <c r="SGU613" s="294"/>
      <c r="SGV613" s="294"/>
      <c r="SGW613" s="294"/>
      <c r="SGX613" s="294"/>
      <c r="SGY613" s="294"/>
      <c r="SGZ613" s="294"/>
      <c r="SHA613" s="294"/>
      <c r="SHB613" s="294"/>
      <c r="SHC613" s="294"/>
      <c r="SHD613" s="294"/>
      <c r="SHE613" s="294"/>
      <c r="SHF613" s="294"/>
      <c r="SHG613" s="294"/>
      <c r="SHH613" s="294"/>
      <c r="SHI613" s="294"/>
      <c r="SHJ613" s="294"/>
      <c r="SHK613" s="294"/>
      <c r="SHL613" s="294"/>
      <c r="SHM613" s="294"/>
      <c r="SHN613" s="294"/>
      <c r="SHO613" s="294"/>
      <c r="SHP613" s="294"/>
      <c r="SHQ613" s="294"/>
      <c r="SHR613" s="294"/>
      <c r="SHS613" s="294"/>
      <c r="SHT613" s="294"/>
      <c r="SHU613" s="294"/>
      <c r="SHV613" s="294"/>
      <c r="SHW613" s="294"/>
      <c r="SHX613" s="294"/>
      <c r="SHY613" s="294"/>
      <c r="SHZ613" s="294"/>
      <c r="SIA613" s="294"/>
      <c r="SIB613" s="294"/>
      <c r="SIC613" s="294"/>
      <c r="SID613" s="294"/>
      <c r="SIE613" s="294"/>
      <c r="SIF613" s="294"/>
      <c r="SIG613" s="294"/>
      <c r="SIH613" s="294"/>
      <c r="SII613" s="294"/>
      <c r="SIJ613" s="294"/>
      <c r="SIK613" s="294"/>
      <c r="SIL613" s="294"/>
      <c r="SIM613" s="294"/>
      <c r="SIN613" s="294"/>
      <c r="SIO613" s="294"/>
      <c r="SIP613" s="294"/>
      <c r="SIQ613" s="294"/>
      <c r="SIR613" s="294"/>
      <c r="SIS613" s="294"/>
      <c r="SIT613" s="294"/>
      <c r="SIU613" s="294"/>
      <c r="SIV613" s="294"/>
      <c r="SIW613" s="294"/>
      <c r="SIX613" s="294"/>
      <c r="SIY613" s="294"/>
      <c r="SIZ613" s="294"/>
      <c r="SJA613" s="294"/>
      <c r="SJB613" s="294"/>
      <c r="SJC613" s="294"/>
      <c r="SJD613" s="294"/>
      <c r="SJE613" s="294"/>
      <c r="SJF613" s="294"/>
      <c r="SJG613" s="294"/>
      <c r="SJH613" s="294"/>
      <c r="SJI613" s="294"/>
      <c r="SJJ613" s="294"/>
      <c r="SJK613" s="294"/>
      <c r="SJL613" s="294"/>
      <c r="SJM613" s="294"/>
      <c r="SJN613" s="294"/>
      <c r="SJO613" s="294"/>
      <c r="SJP613" s="294"/>
      <c r="SJQ613" s="294"/>
      <c r="SJR613" s="294"/>
      <c r="SJS613" s="294"/>
      <c r="SJT613" s="294"/>
      <c r="SJU613" s="294"/>
      <c r="SJV613" s="294"/>
      <c r="SJW613" s="294"/>
      <c r="SJX613" s="294"/>
      <c r="SJY613" s="294"/>
      <c r="SJZ613" s="294"/>
      <c r="SKA613" s="294"/>
      <c r="SKB613" s="294"/>
      <c r="SKC613" s="294"/>
      <c r="SKD613" s="294"/>
      <c r="SKE613" s="294"/>
      <c r="SKF613" s="294"/>
      <c r="SKG613" s="294"/>
      <c r="SKH613" s="294"/>
      <c r="SKI613" s="294"/>
      <c r="SKJ613" s="294"/>
      <c r="SKK613" s="294"/>
      <c r="SKL613" s="294"/>
      <c r="SKM613" s="294"/>
      <c r="SKN613" s="294"/>
      <c r="SKO613" s="294"/>
      <c r="SKP613" s="294"/>
      <c r="SKQ613" s="294"/>
      <c r="SKR613" s="294"/>
      <c r="SKS613" s="294"/>
      <c r="SKT613" s="294"/>
      <c r="SKU613" s="294"/>
      <c r="SKV613" s="294"/>
      <c r="SKW613" s="294"/>
      <c r="SKX613" s="294"/>
      <c r="SKY613" s="294"/>
      <c r="SKZ613" s="294"/>
      <c r="SLA613" s="294"/>
      <c r="SLB613" s="294"/>
      <c r="SLC613" s="294"/>
      <c r="SLD613" s="294"/>
      <c r="SLE613" s="294"/>
      <c r="SLF613" s="294"/>
      <c r="SLG613" s="294"/>
      <c r="SLH613" s="294"/>
      <c r="SLI613" s="294"/>
      <c r="SLJ613" s="294"/>
      <c r="SLK613" s="294"/>
      <c r="SLL613" s="294"/>
      <c r="SLM613" s="294"/>
      <c r="SLN613" s="294"/>
      <c r="SLO613" s="294"/>
      <c r="SLP613" s="294"/>
      <c r="SLQ613" s="294"/>
      <c r="SLR613" s="294"/>
      <c r="SLS613" s="294"/>
      <c r="SLT613" s="294"/>
      <c r="SLU613" s="294"/>
      <c r="SLV613" s="294"/>
      <c r="SLW613" s="294"/>
      <c r="SLX613" s="294"/>
      <c r="SLY613" s="294"/>
      <c r="SLZ613" s="294"/>
      <c r="SMA613" s="294"/>
      <c r="SMB613" s="294"/>
      <c r="SMC613" s="294"/>
      <c r="SMD613" s="294"/>
      <c r="SME613" s="294"/>
      <c r="SMF613" s="294"/>
      <c r="SMG613" s="294"/>
      <c r="SMH613" s="294"/>
      <c r="SMI613" s="294"/>
      <c r="SMJ613" s="294"/>
      <c r="SMK613" s="294"/>
      <c r="SML613" s="294"/>
      <c r="SMM613" s="294"/>
      <c r="SMN613" s="294"/>
      <c r="SMO613" s="294"/>
      <c r="SMP613" s="294"/>
      <c r="SMQ613" s="294"/>
      <c r="SMR613" s="294"/>
      <c r="SMS613" s="294"/>
      <c r="SMT613" s="294"/>
      <c r="SMU613" s="294"/>
      <c r="SMV613" s="294"/>
      <c r="SMW613" s="294"/>
      <c r="SMX613" s="294"/>
      <c r="SMY613" s="294"/>
      <c r="SMZ613" s="294"/>
      <c r="SNA613" s="294"/>
      <c r="SNB613" s="294"/>
      <c r="SNC613" s="294"/>
      <c r="SND613" s="294"/>
      <c r="SNE613" s="294"/>
      <c r="SNF613" s="294"/>
      <c r="SNG613" s="294"/>
      <c r="SNH613" s="294"/>
      <c r="SNI613" s="294"/>
      <c r="SNJ613" s="294"/>
      <c r="SNK613" s="294"/>
      <c r="SNL613" s="294"/>
      <c r="SNM613" s="294"/>
      <c r="SNN613" s="294"/>
      <c r="SNO613" s="294"/>
      <c r="SNP613" s="294"/>
      <c r="SNQ613" s="294"/>
      <c r="SNR613" s="294"/>
      <c r="SNS613" s="294"/>
      <c r="SNT613" s="294"/>
      <c r="SNU613" s="294"/>
      <c r="SNV613" s="294"/>
      <c r="SNW613" s="294"/>
      <c r="SNX613" s="294"/>
      <c r="SNY613" s="294"/>
      <c r="SNZ613" s="294"/>
      <c r="SOA613" s="294"/>
      <c r="SOB613" s="294"/>
      <c r="SOC613" s="294"/>
      <c r="SOD613" s="294"/>
      <c r="SOE613" s="294"/>
      <c r="SOF613" s="294"/>
      <c r="SOG613" s="294"/>
      <c r="SOH613" s="294"/>
      <c r="SOI613" s="294"/>
      <c r="SOJ613" s="294"/>
      <c r="SOK613" s="294"/>
      <c r="SOL613" s="294"/>
      <c r="SOM613" s="294"/>
      <c r="SON613" s="294"/>
      <c r="SOO613" s="294"/>
      <c r="SOP613" s="294"/>
      <c r="SOQ613" s="294"/>
      <c r="SOR613" s="294"/>
      <c r="SOS613" s="294"/>
      <c r="SOT613" s="294"/>
      <c r="SOU613" s="294"/>
      <c r="SOV613" s="294"/>
      <c r="SOW613" s="294"/>
      <c r="SOX613" s="294"/>
      <c r="SOY613" s="294"/>
      <c r="SOZ613" s="294"/>
      <c r="SPA613" s="294"/>
      <c r="SPB613" s="294"/>
      <c r="SPC613" s="294"/>
      <c r="SPD613" s="294"/>
      <c r="SPE613" s="294"/>
      <c r="SPF613" s="294"/>
      <c r="SPG613" s="294"/>
      <c r="SPH613" s="294"/>
      <c r="SPI613" s="294"/>
      <c r="SPJ613" s="294"/>
      <c r="SPK613" s="294"/>
      <c r="SPL613" s="294"/>
      <c r="SPM613" s="294"/>
      <c r="SPN613" s="294"/>
      <c r="SPO613" s="294"/>
      <c r="SPP613" s="294"/>
      <c r="SPQ613" s="294"/>
      <c r="SPR613" s="294"/>
      <c r="SPS613" s="294"/>
      <c r="SPT613" s="294"/>
      <c r="SPU613" s="294"/>
      <c r="SPV613" s="294"/>
      <c r="SPW613" s="294"/>
      <c r="SPX613" s="294"/>
      <c r="SPY613" s="294"/>
      <c r="SPZ613" s="294"/>
      <c r="SQA613" s="294"/>
      <c r="SQB613" s="294"/>
      <c r="SQC613" s="294"/>
      <c r="SQD613" s="294"/>
      <c r="SQE613" s="294"/>
      <c r="SQF613" s="294"/>
      <c r="SQG613" s="294"/>
      <c r="SQH613" s="294"/>
      <c r="SQI613" s="294"/>
      <c r="SQJ613" s="294"/>
      <c r="SQK613" s="294"/>
      <c r="SQL613" s="294"/>
      <c r="SQM613" s="294"/>
      <c r="SQN613" s="294"/>
      <c r="SQO613" s="294"/>
      <c r="SQP613" s="294"/>
      <c r="SQQ613" s="294"/>
      <c r="SQR613" s="294"/>
      <c r="SQS613" s="294"/>
      <c r="SQT613" s="294"/>
      <c r="SQU613" s="294"/>
      <c r="SQV613" s="294"/>
      <c r="SQW613" s="294"/>
      <c r="SQX613" s="294"/>
      <c r="SQY613" s="294"/>
      <c r="SQZ613" s="294"/>
      <c r="SRA613" s="294"/>
      <c r="SRB613" s="294"/>
      <c r="SRC613" s="294"/>
      <c r="SRD613" s="294"/>
      <c r="SRE613" s="294"/>
      <c r="SRF613" s="294"/>
      <c r="SRG613" s="294"/>
      <c r="SRH613" s="294"/>
      <c r="SRI613" s="294"/>
      <c r="SRJ613" s="294"/>
      <c r="SRK613" s="294"/>
      <c r="SRL613" s="294"/>
      <c r="SRM613" s="294"/>
      <c r="SRN613" s="294"/>
      <c r="SRO613" s="294"/>
      <c r="SRP613" s="294"/>
      <c r="SRQ613" s="294"/>
      <c r="SRR613" s="294"/>
      <c r="SRS613" s="294"/>
      <c r="SRT613" s="294"/>
      <c r="SRU613" s="294"/>
      <c r="SRV613" s="294"/>
      <c r="SRW613" s="294"/>
      <c r="SRX613" s="294"/>
      <c r="SRY613" s="294"/>
      <c r="SRZ613" s="294"/>
      <c r="SSA613" s="294"/>
      <c r="SSB613" s="294"/>
      <c r="SSC613" s="294"/>
      <c r="SSD613" s="294"/>
      <c r="SSE613" s="294"/>
      <c r="SSF613" s="294"/>
      <c r="SSG613" s="294"/>
      <c r="SSH613" s="294"/>
      <c r="SSI613" s="294"/>
      <c r="SSJ613" s="294"/>
      <c r="SSK613" s="294"/>
      <c r="SSL613" s="294"/>
      <c r="SSM613" s="294"/>
      <c r="SSN613" s="294"/>
      <c r="SSO613" s="294"/>
      <c r="SSP613" s="294"/>
      <c r="SSQ613" s="294"/>
      <c r="SSR613" s="294"/>
      <c r="SSS613" s="294"/>
      <c r="SST613" s="294"/>
      <c r="SSU613" s="294"/>
      <c r="SSV613" s="294"/>
      <c r="SSW613" s="294"/>
      <c r="SSX613" s="294"/>
      <c r="SSY613" s="294"/>
      <c r="SSZ613" s="294"/>
      <c r="STA613" s="294"/>
      <c r="STB613" s="294"/>
      <c r="STC613" s="294"/>
      <c r="STD613" s="294"/>
      <c r="STE613" s="294"/>
      <c r="STF613" s="294"/>
      <c r="STG613" s="294"/>
      <c r="STH613" s="294"/>
      <c r="STI613" s="294"/>
      <c r="STJ613" s="294"/>
      <c r="STK613" s="294"/>
      <c r="STL613" s="294"/>
      <c r="STM613" s="294"/>
      <c r="STN613" s="294"/>
      <c r="STO613" s="294"/>
      <c r="STP613" s="294"/>
      <c r="STQ613" s="294"/>
      <c r="STR613" s="294"/>
      <c r="STS613" s="294"/>
      <c r="STT613" s="294"/>
      <c r="STU613" s="294"/>
      <c r="STV613" s="294"/>
      <c r="STW613" s="294"/>
      <c r="STX613" s="294"/>
      <c r="STY613" s="294"/>
      <c r="STZ613" s="294"/>
      <c r="SUA613" s="294"/>
      <c r="SUB613" s="294"/>
      <c r="SUC613" s="294"/>
      <c r="SUD613" s="294"/>
      <c r="SUE613" s="294"/>
      <c r="SUF613" s="294"/>
      <c r="SUG613" s="294"/>
      <c r="SUH613" s="294"/>
      <c r="SUI613" s="294"/>
      <c r="SUJ613" s="294"/>
      <c r="SUK613" s="294"/>
      <c r="SUL613" s="294"/>
      <c r="SUM613" s="294"/>
      <c r="SUN613" s="294"/>
      <c r="SUO613" s="294"/>
      <c r="SUP613" s="294"/>
      <c r="SUQ613" s="294"/>
      <c r="SUR613" s="294"/>
      <c r="SUS613" s="294"/>
      <c r="SUT613" s="294"/>
      <c r="SUU613" s="294"/>
      <c r="SUV613" s="294"/>
      <c r="SUW613" s="294"/>
      <c r="SUX613" s="294"/>
      <c r="SUY613" s="294"/>
      <c r="SUZ613" s="294"/>
      <c r="SVA613" s="294"/>
      <c r="SVB613" s="294"/>
      <c r="SVC613" s="294"/>
      <c r="SVD613" s="294"/>
      <c r="SVE613" s="294"/>
      <c r="SVF613" s="294"/>
      <c r="SVG613" s="294"/>
      <c r="SVH613" s="294"/>
      <c r="SVI613" s="294"/>
      <c r="SVJ613" s="294"/>
      <c r="SVK613" s="294"/>
      <c r="SVL613" s="294"/>
      <c r="SVM613" s="294"/>
      <c r="SVN613" s="294"/>
      <c r="SVO613" s="294"/>
      <c r="SVP613" s="294"/>
      <c r="SVQ613" s="294"/>
      <c r="SVR613" s="294"/>
      <c r="SVS613" s="294"/>
      <c r="SVT613" s="294"/>
      <c r="SVU613" s="294"/>
      <c r="SVV613" s="294"/>
      <c r="SVW613" s="294"/>
      <c r="SVX613" s="294"/>
      <c r="SVY613" s="294"/>
      <c r="SVZ613" s="294"/>
      <c r="SWA613" s="294"/>
      <c r="SWB613" s="294"/>
      <c r="SWC613" s="294"/>
      <c r="SWD613" s="294"/>
      <c r="SWE613" s="294"/>
      <c r="SWF613" s="294"/>
      <c r="SWG613" s="294"/>
      <c r="SWH613" s="294"/>
      <c r="SWI613" s="294"/>
      <c r="SWJ613" s="294"/>
      <c r="SWK613" s="294"/>
      <c r="SWL613" s="294"/>
      <c r="SWM613" s="294"/>
      <c r="SWN613" s="294"/>
      <c r="SWO613" s="294"/>
      <c r="SWP613" s="294"/>
      <c r="SWQ613" s="294"/>
      <c r="SWR613" s="294"/>
      <c r="SWS613" s="294"/>
      <c r="SWT613" s="294"/>
      <c r="SWU613" s="294"/>
      <c r="SWV613" s="294"/>
      <c r="SWW613" s="294"/>
      <c r="SWX613" s="294"/>
      <c r="SWY613" s="294"/>
      <c r="SWZ613" s="294"/>
      <c r="SXA613" s="294"/>
      <c r="SXB613" s="294"/>
      <c r="SXC613" s="294"/>
      <c r="SXD613" s="294"/>
      <c r="SXE613" s="294"/>
      <c r="SXF613" s="294"/>
      <c r="SXG613" s="294"/>
      <c r="SXH613" s="294"/>
      <c r="SXI613" s="294"/>
      <c r="SXJ613" s="294"/>
      <c r="SXK613" s="294"/>
      <c r="SXL613" s="294"/>
      <c r="SXM613" s="294"/>
      <c r="SXN613" s="294"/>
      <c r="SXO613" s="294"/>
      <c r="SXP613" s="294"/>
      <c r="SXQ613" s="294"/>
      <c r="SXR613" s="294"/>
      <c r="SXS613" s="294"/>
      <c r="SXT613" s="294"/>
      <c r="SXU613" s="294"/>
      <c r="SXV613" s="294"/>
      <c r="SXW613" s="294"/>
      <c r="SXX613" s="294"/>
      <c r="SXY613" s="294"/>
      <c r="SXZ613" s="294"/>
      <c r="SYA613" s="294"/>
      <c r="SYB613" s="294"/>
      <c r="SYC613" s="294"/>
      <c r="SYD613" s="294"/>
      <c r="SYE613" s="294"/>
      <c r="SYF613" s="294"/>
      <c r="SYG613" s="294"/>
      <c r="SYH613" s="294"/>
      <c r="SYI613" s="294"/>
      <c r="SYJ613" s="294"/>
      <c r="SYK613" s="294"/>
      <c r="SYL613" s="294"/>
      <c r="SYM613" s="294"/>
      <c r="SYN613" s="294"/>
      <c r="SYO613" s="294"/>
      <c r="SYP613" s="294"/>
      <c r="SYQ613" s="294"/>
      <c r="SYR613" s="294"/>
      <c r="SYS613" s="294"/>
      <c r="SYT613" s="294"/>
      <c r="SYU613" s="294"/>
      <c r="SYV613" s="294"/>
      <c r="SYW613" s="294"/>
      <c r="SYX613" s="294"/>
      <c r="SYY613" s="294"/>
      <c r="SYZ613" s="294"/>
      <c r="SZA613" s="294"/>
      <c r="SZB613" s="294"/>
      <c r="SZC613" s="294"/>
      <c r="SZD613" s="294"/>
      <c r="SZE613" s="294"/>
      <c r="SZF613" s="294"/>
      <c r="SZG613" s="294"/>
      <c r="SZH613" s="294"/>
      <c r="SZI613" s="294"/>
      <c r="SZJ613" s="294"/>
      <c r="SZK613" s="294"/>
      <c r="SZL613" s="294"/>
      <c r="SZM613" s="294"/>
      <c r="SZN613" s="294"/>
      <c r="SZO613" s="294"/>
      <c r="SZP613" s="294"/>
      <c r="SZQ613" s="294"/>
      <c r="SZR613" s="294"/>
      <c r="SZS613" s="294"/>
      <c r="SZT613" s="294"/>
      <c r="SZU613" s="294"/>
      <c r="SZV613" s="294"/>
      <c r="SZW613" s="294"/>
      <c r="SZX613" s="294"/>
      <c r="SZY613" s="294"/>
      <c r="SZZ613" s="294"/>
      <c r="TAA613" s="294"/>
      <c r="TAB613" s="294"/>
      <c r="TAC613" s="294"/>
      <c r="TAD613" s="294"/>
      <c r="TAE613" s="294"/>
      <c r="TAF613" s="294"/>
      <c r="TAG613" s="294"/>
      <c r="TAH613" s="294"/>
      <c r="TAI613" s="294"/>
      <c r="TAJ613" s="294"/>
      <c r="TAK613" s="294"/>
      <c r="TAL613" s="294"/>
      <c r="TAM613" s="294"/>
      <c r="TAN613" s="294"/>
      <c r="TAO613" s="294"/>
      <c r="TAP613" s="294"/>
      <c r="TAQ613" s="294"/>
      <c r="TAR613" s="294"/>
      <c r="TAS613" s="294"/>
      <c r="TAT613" s="294"/>
      <c r="TAU613" s="294"/>
      <c r="TAV613" s="294"/>
      <c r="TAW613" s="294"/>
      <c r="TAX613" s="294"/>
      <c r="TAY613" s="294"/>
      <c r="TAZ613" s="294"/>
      <c r="TBA613" s="294"/>
      <c r="TBB613" s="294"/>
      <c r="TBC613" s="294"/>
      <c r="TBD613" s="294"/>
      <c r="TBE613" s="294"/>
      <c r="TBF613" s="294"/>
      <c r="TBG613" s="294"/>
      <c r="TBH613" s="294"/>
      <c r="TBI613" s="294"/>
      <c r="TBJ613" s="294"/>
      <c r="TBK613" s="294"/>
      <c r="TBL613" s="294"/>
      <c r="TBM613" s="294"/>
      <c r="TBN613" s="294"/>
      <c r="TBO613" s="294"/>
      <c r="TBP613" s="294"/>
      <c r="TBQ613" s="294"/>
      <c r="TBR613" s="294"/>
      <c r="TBS613" s="294"/>
      <c r="TBT613" s="294"/>
      <c r="TBU613" s="294"/>
      <c r="TBV613" s="294"/>
      <c r="TBW613" s="294"/>
      <c r="TBX613" s="294"/>
      <c r="TBY613" s="294"/>
      <c r="TBZ613" s="294"/>
      <c r="TCA613" s="294"/>
      <c r="TCB613" s="294"/>
      <c r="TCC613" s="294"/>
      <c r="TCD613" s="294"/>
      <c r="TCE613" s="294"/>
      <c r="TCF613" s="294"/>
      <c r="TCG613" s="294"/>
      <c r="TCH613" s="294"/>
      <c r="TCI613" s="294"/>
      <c r="TCJ613" s="294"/>
      <c r="TCK613" s="294"/>
      <c r="TCL613" s="294"/>
      <c r="TCM613" s="294"/>
      <c r="TCN613" s="294"/>
      <c r="TCO613" s="294"/>
      <c r="TCP613" s="294"/>
      <c r="TCQ613" s="294"/>
      <c r="TCR613" s="294"/>
      <c r="TCS613" s="294"/>
      <c r="TCT613" s="294"/>
      <c r="TCU613" s="294"/>
      <c r="TCV613" s="294"/>
      <c r="TCW613" s="294"/>
      <c r="TCX613" s="294"/>
      <c r="TCY613" s="294"/>
      <c r="TCZ613" s="294"/>
      <c r="TDA613" s="294"/>
      <c r="TDB613" s="294"/>
      <c r="TDC613" s="294"/>
      <c r="TDD613" s="294"/>
      <c r="TDE613" s="294"/>
      <c r="TDF613" s="294"/>
      <c r="TDG613" s="294"/>
      <c r="TDH613" s="294"/>
      <c r="TDI613" s="294"/>
      <c r="TDJ613" s="294"/>
      <c r="TDK613" s="294"/>
      <c r="TDL613" s="294"/>
      <c r="TDM613" s="294"/>
      <c r="TDN613" s="294"/>
      <c r="TDO613" s="294"/>
      <c r="TDP613" s="294"/>
      <c r="TDQ613" s="294"/>
      <c r="TDR613" s="294"/>
      <c r="TDS613" s="294"/>
      <c r="TDT613" s="294"/>
      <c r="TDU613" s="294"/>
      <c r="TDV613" s="294"/>
      <c r="TDW613" s="294"/>
      <c r="TDX613" s="294"/>
      <c r="TDY613" s="294"/>
      <c r="TDZ613" s="294"/>
      <c r="TEA613" s="294"/>
      <c r="TEB613" s="294"/>
      <c r="TEC613" s="294"/>
      <c r="TED613" s="294"/>
      <c r="TEE613" s="294"/>
      <c r="TEF613" s="294"/>
      <c r="TEG613" s="294"/>
      <c r="TEH613" s="294"/>
      <c r="TEI613" s="294"/>
      <c r="TEJ613" s="294"/>
      <c r="TEK613" s="294"/>
      <c r="TEL613" s="294"/>
      <c r="TEM613" s="294"/>
      <c r="TEN613" s="294"/>
      <c r="TEO613" s="294"/>
      <c r="TEP613" s="294"/>
      <c r="TEQ613" s="294"/>
      <c r="TER613" s="294"/>
      <c r="TES613" s="294"/>
      <c r="TET613" s="294"/>
      <c r="TEU613" s="294"/>
      <c r="TEV613" s="294"/>
      <c r="TEW613" s="294"/>
      <c r="TEX613" s="294"/>
      <c r="TEY613" s="294"/>
      <c r="TEZ613" s="294"/>
      <c r="TFA613" s="294"/>
      <c r="TFB613" s="294"/>
      <c r="TFC613" s="294"/>
      <c r="TFD613" s="294"/>
      <c r="TFE613" s="294"/>
      <c r="TFF613" s="294"/>
      <c r="TFG613" s="294"/>
      <c r="TFH613" s="294"/>
      <c r="TFI613" s="294"/>
      <c r="TFJ613" s="294"/>
      <c r="TFK613" s="294"/>
      <c r="TFL613" s="294"/>
      <c r="TFM613" s="294"/>
      <c r="TFN613" s="294"/>
      <c r="TFO613" s="294"/>
      <c r="TFP613" s="294"/>
      <c r="TFQ613" s="294"/>
      <c r="TFR613" s="294"/>
      <c r="TFS613" s="294"/>
      <c r="TFT613" s="294"/>
      <c r="TFU613" s="294"/>
      <c r="TFV613" s="294"/>
      <c r="TFW613" s="294"/>
      <c r="TFX613" s="294"/>
      <c r="TFY613" s="294"/>
      <c r="TFZ613" s="294"/>
      <c r="TGA613" s="294"/>
      <c r="TGB613" s="294"/>
      <c r="TGC613" s="294"/>
      <c r="TGD613" s="294"/>
      <c r="TGE613" s="294"/>
      <c r="TGF613" s="294"/>
      <c r="TGG613" s="294"/>
      <c r="TGH613" s="294"/>
      <c r="TGI613" s="294"/>
      <c r="TGJ613" s="294"/>
      <c r="TGK613" s="294"/>
      <c r="TGL613" s="294"/>
      <c r="TGM613" s="294"/>
      <c r="TGN613" s="294"/>
      <c r="TGO613" s="294"/>
      <c r="TGP613" s="294"/>
      <c r="TGQ613" s="294"/>
      <c r="TGR613" s="294"/>
      <c r="TGS613" s="294"/>
      <c r="TGT613" s="294"/>
      <c r="TGU613" s="294"/>
      <c r="TGV613" s="294"/>
      <c r="TGW613" s="294"/>
      <c r="TGX613" s="294"/>
      <c r="TGY613" s="294"/>
      <c r="TGZ613" s="294"/>
      <c r="THA613" s="294"/>
      <c r="THB613" s="294"/>
      <c r="THC613" s="294"/>
      <c r="THD613" s="294"/>
      <c r="THE613" s="294"/>
      <c r="THF613" s="294"/>
      <c r="THG613" s="294"/>
      <c r="THH613" s="294"/>
      <c r="THI613" s="294"/>
      <c r="THJ613" s="294"/>
      <c r="THK613" s="294"/>
      <c r="THL613" s="294"/>
      <c r="THM613" s="294"/>
      <c r="THN613" s="294"/>
      <c r="THO613" s="294"/>
      <c r="THP613" s="294"/>
      <c r="THQ613" s="294"/>
      <c r="THR613" s="294"/>
      <c r="THS613" s="294"/>
      <c r="THT613" s="294"/>
      <c r="THU613" s="294"/>
      <c r="THV613" s="294"/>
      <c r="THW613" s="294"/>
      <c r="THX613" s="294"/>
      <c r="THY613" s="294"/>
      <c r="THZ613" s="294"/>
      <c r="TIA613" s="294"/>
      <c r="TIB613" s="294"/>
      <c r="TIC613" s="294"/>
      <c r="TID613" s="294"/>
      <c r="TIE613" s="294"/>
      <c r="TIF613" s="294"/>
      <c r="TIG613" s="294"/>
      <c r="TIH613" s="294"/>
      <c r="TII613" s="294"/>
      <c r="TIJ613" s="294"/>
      <c r="TIK613" s="294"/>
      <c r="TIL613" s="294"/>
      <c r="TIM613" s="294"/>
      <c r="TIN613" s="294"/>
      <c r="TIO613" s="294"/>
      <c r="TIP613" s="294"/>
      <c r="TIQ613" s="294"/>
      <c r="TIR613" s="294"/>
      <c r="TIS613" s="294"/>
      <c r="TIT613" s="294"/>
      <c r="TIU613" s="294"/>
      <c r="TIV613" s="294"/>
      <c r="TIW613" s="294"/>
      <c r="TIX613" s="294"/>
      <c r="TIY613" s="294"/>
      <c r="TIZ613" s="294"/>
      <c r="TJA613" s="294"/>
      <c r="TJB613" s="294"/>
      <c r="TJC613" s="294"/>
      <c r="TJD613" s="294"/>
      <c r="TJE613" s="294"/>
      <c r="TJF613" s="294"/>
      <c r="TJG613" s="294"/>
      <c r="TJH613" s="294"/>
      <c r="TJI613" s="294"/>
      <c r="TJJ613" s="294"/>
      <c r="TJK613" s="294"/>
      <c r="TJL613" s="294"/>
      <c r="TJM613" s="294"/>
      <c r="TJN613" s="294"/>
      <c r="TJO613" s="294"/>
      <c r="TJP613" s="294"/>
      <c r="TJQ613" s="294"/>
      <c r="TJR613" s="294"/>
      <c r="TJS613" s="294"/>
      <c r="TJT613" s="294"/>
      <c r="TJU613" s="294"/>
      <c r="TJV613" s="294"/>
      <c r="TJW613" s="294"/>
      <c r="TJX613" s="294"/>
      <c r="TJY613" s="294"/>
      <c r="TJZ613" s="294"/>
      <c r="TKA613" s="294"/>
      <c r="TKB613" s="294"/>
      <c r="TKC613" s="294"/>
      <c r="TKD613" s="294"/>
      <c r="TKE613" s="294"/>
      <c r="TKF613" s="294"/>
      <c r="TKG613" s="294"/>
      <c r="TKH613" s="294"/>
      <c r="TKI613" s="294"/>
      <c r="TKJ613" s="294"/>
      <c r="TKK613" s="294"/>
      <c r="TKL613" s="294"/>
      <c r="TKM613" s="294"/>
      <c r="TKN613" s="294"/>
      <c r="TKO613" s="294"/>
      <c r="TKP613" s="294"/>
      <c r="TKQ613" s="294"/>
      <c r="TKR613" s="294"/>
      <c r="TKS613" s="294"/>
      <c r="TKT613" s="294"/>
      <c r="TKU613" s="294"/>
      <c r="TKV613" s="294"/>
      <c r="TKW613" s="294"/>
      <c r="TKX613" s="294"/>
      <c r="TKY613" s="294"/>
      <c r="TKZ613" s="294"/>
      <c r="TLA613" s="294"/>
      <c r="TLB613" s="294"/>
      <c r="TLC613" s="294"/>
      <c r="TLD613" s="294"/>
      <c r="TLE613" s="294"/>
      <c r="TLF613" s="294"/>
      <c r="TLG613" s="294"/>
      <c r="TLH613" s="294"/>
      <c r="TLI613" s="294"/>
      <c r="TLJ613" s="294"/>
      <c r="TLK613" s="294"/>
      <c r="TLL613" s="294"/>
      <c r="TLM613" s="294"/>
      <c r="TLN613" s="294"/>
      <c r="TLO613" s="294"/>
      <c r="TLP613" s="294"/>
      <c r="TLQ613" s="294"/>
      <c r="TLR613" s="294"/>
      <c r="TLS613" s="294"/>
      <c r="TLT613" s="294"/>
      <c r="TLU613" s="294"/>
      <c r="TLV613" s="294"/>
      <c r="TLW613" s="294"/>
      <c r="TLX613" s="294"/>
      <c r="TLY613" s="294"/>
      <c r="TLZ613" s="294"/>
      <c r="TMA613" s="294"/>
      <c r="TMB613" s="294"/>
      <c r="TMC613" s="294"/>
      <c r="TMD613" s="294"/>
      <c r="TME613" s="294"/>
      <c r="TMF613" s="294"/>
      <c r="TMG613" s="294"/>
      <c r="TMH613" s="294"/>
      <c r="TMI613" s="294"/>
      <c r="TMJ613" s="294"/>
      <c r="TMK613" s="294"/>
      <c r="TML613" s="294"/>
      <c r="TMM613" s="294"/>
      <c r="TMN613" s="294"/>
      <c r="TMO613" s="294"/>
      <c r="TMP613" s="294"/>
      <c r="TMQ613" s="294"/>
      <c r="TMR613" s="294"/>
      <c r="TMS613" s="294"/>
      <c r="TMT613" s="294"/>
      <c r="TMU613" s="294"/>
      <c r="TMV613" s="294"/>
      <c r="TMW613" s="294"/>
      <c r="TMX613" s="294"/>
      <c r="TMY613" s="294"/>
      <c r="TMZ613" s="294"/>
      <c r="TNA613" s="294"/>
      <c r="TNB613" s="294"/>
      <c r="TNC613" s="294"/>
      <c r="TND613" s="294"/>
      <c r="TNE613" s="294"/>
      <c r="TNF613" s="294"/>
      <c r="TNG613" s="294"/>
      <c r="TNH613" s="294"/>
      <c r="TNI613" s="294"/>
      <c r="TNJ613" s="294"/>
      <c r="TNK613" s="294"/>
      <c r="TNL613" s="294"/>
      <c r="TNM613" s="294"/>
      <c r="TNN613" s="294"/>
      <c r="TNO613" s="294"/>
      <c r="TNP613" s="294"/>
      <c r="TNQ613" s="294"/>
      <c r="TNR613" s="294"/>
      <c r="TNS613" s="294"/>
      <c r="TNT613" s="294"/>
      <c r="TNU613" s="294"/>
      <c r="TNV613" s="294"/>
      <c r="TNW613" s="294"/>
      <c r="TNX613" s="294"/>
      <c r="TNY613" s="294"/>
      <c r="TNZ613" s="294"/>
      <c r="TOA613" s="294"/>
      <c r="TOB613" s="294"/>
      <c r="TOC613" s="294"/>
      <c r="TOD613" s="294"/>
      <c r="TOE613" s="294"/>
      <c r="TOF613" s="294"/>
      <c r="TOG613" s="294"/>
      <c r="TOH613" s="294"/>
      <c r="TOI613" s="294"/>
      <c r="TOJ613" s="294"/>
      <c r="TOK613" s="294"/>
      <c r="TOL613" s="294"/>
      <c r="TOM613" s="294"/>
      <c r="TON613" s="294"/>
      <c r="TOO613" s="294"/>
      <c r="TOP613" s="294"/>
      <c r="TOQ613" s="294"/>
      <c r="TOR613" s="294"/>
      <c r="TOS613" s="294"/>
      <c r="TOT613" s="294"/>
      <c r="TOU613" s="294"/>
      <c r="TOV613" s="294"/>
      <c r="TOW613" s="294"/>
      <c r="TOX613" s="294"/>
      <c r="TOY613" s="294"/>
      <c r="TOZ613" s="294"/>
      <c r="TPA613" s="294"/>
      <c r="TPB613" s="294"/>
      <c r="TPC613" s="294"/>
      <c r="TPD613" s="294"/>
      <c r="TPE613" s="294"/>
      <c r="TPF613" s="294"/>
      <c r="TPG613" s="294"/>
      <c r="TPH613" s="294"/>
      <c r="TPI613" s="294"/>
      <c r="TPJ613" s="294"/>
      <c r="TPK613" s="294"/>
      <c r="TPL613" s="294"/>
      <c r="TPM613" s="294"/>
      <c r="TPN613" s="294"/>
      <c r="TPO613" s="294"/>
      <c r="TPP613" s="294"/>
      <c r="TPQ613" s="294"/>
      <c r="TPR613" s="294"/>
      <c r="TPS613" s="294"/>
      <c r="TPT613" s="294"/>
      <c r="TPU613" s="294"/>
      <c r="TPV613" s="294"/>
      <c r="TPW613" s="294"/>
      <c r="TPX613" s="294"/>
      <c r="TPY613" s="294"/>
      <c r="TPZ613" s="294"/>
      <c r="TQA613" s="294"/>
      <c r="TQB613" s="294"/>
      <c r="TQC613" s="294"/>
      <c r="TQD613" s="294"/>
      <c r="TQE613" s="294"/>
      <c r="TQF613" s="294"/>
      <c r="TQG613" s="294"/>
      <c r="TQH613" s="294"/>
      <c r="TQI613" s="294"/>
      <c r="TQJ613" s="294"/>
      <c r="TQK613" s="294"/>
      <c r="TQL613" s="294"/>
      <c r="TQM613" s="294"/>
      <c r="TQN613" s="294"/>
      <c r="TQO613" s="294"/>
      <c r="TQP613" s="294"/>
      <c r="TQQ613" s="294"/>
      <c r="TQR613" s="294"/>
      <c r="TQS613" s="294"/>
      <c r="TQT613" s="294"/>
      <c r="TQU613" s="294"/>
      <c r="TQV613" s="294"/>
      <c r="TQW613" s="294"/>
      <c r="TQX613" s="294"/>
      <c r="TQY613" s="294"/>
      <c r="TQZ613" s="294"/>
      <c r="TRA613" s="294"/>
      <c r="TRB613" s="294"/>
      <c r="TRC613" s="294"/>
      <c r="TRD613" s="294"/>
      <c r="TRE613" s="294"/>
      <c r="TRF613" s="294"/>
      <c r="TRG613" s="294"/>
      <c r="TRH613" s="294"/>
      <c r="TRI613" s="294"/>
      <c r="TRJ613" s="294"/>
      <c r="TRK613" s="294"/>
      <c r="TRL613" s="294"/>
      <c r="TRM613" s="294"/>
      <c r="TRN613" s="294"/>
      <c r="TRO613" s="294"/>
      <c r="TRP613" s="294"/>
      <c r="TRQ613" s="294"/>
      <c r="TRR613" s="294"/>
      <c r="TRS613" s="294"/>
      <c r="TRT613" s="294"/>
      <c r="TRU613" s="294"/>
      <c r="TRV613" s="294"/>
      <c r="TRW613" s="294"/>
      <c r="TRX613" s="294"/>
      <c r="TRY613" s="294"/>
      <c r="TRZ613" s="294"/>
      <c r="TSA613" s="294"/>
      <c r="TSB613" s="294"/>
      <c r="TSC613" s="294"/>
      <c r="TSD613" s="294"/>
      <c r="TSE613" s="294"/>
      <c r="TSF613" s="294"/>
      <c r="TSG613" s="294"/>
      <c r="TSH613" s="294"/>
      <c r="TSI613" s="294"/>
      <c r="TSJ613" s="294"/>
      <c r="TSK613" s="294"/>
      <c r="TSL613" s="294"/>
      <c r="TSM613" s="294"/>
      <c r="TSN613" s="294"/>
      <c r="TSO613" s="294"/>
      <c r="TSP613" s="294"/>
      <c r="TSQ613" s="294"/>
      <c r="TSR613" s="294"/>
      <c r="TSS613" s="294"/>
      <c r="TST613" s="294"/>
      <c r="TSU613" s="294"/>
      <c r="TSV613" s="294"/>
      <c r="TSW613" s="294"/>
      <c r="TSX613" s="294"/>
      <c r="TSY613" s="294"/>
      <c r="TSZ613" s="294"/>
      <c r="TTA613" s="294"/>
      <c r="TTB613" s="294"/>
      <c r="TTC613" s="294"/>
      <c r="TTD613" s="294"/>
      <c r="TTE613" s="294"/>
      <c r="TTF613" s="294"/>
      <c r="TTG613" s="294"/>
      <c r="TTH613" s="294"/>
      <c r="TTI613" s="294"/>
      <c r="TTJ613" s="294"/>
      <c r="TTK613" s="294"/>
      <c r="TTL613" s="294"/>
      <c r="TTM613" s="294"/>
      <c r="TTN613" s="294"/>
      <c r="TTO613" s="294"/>
      <c r="TTP613" s="294"/>
      <c r="TTQ613" s="294"/>
      <c r="TTR613" s="294"/>
      <c r="TTS613" s="294"/>
      <c r="TTT613" s="294"/>
      <c r="TTU613" s="294"/>
      <c r="TTV613" s="294"/>
      <c r="TTW613" s="294"/>
      <c r="TTX613" s="294"/>
      <c r="TTY613" s="294"/>
      <c r="TTZ613" s="294"/>
      <c r="TUA613" s="294"/>
      <c r="TUB613" s="294"/>
      <c r="TUC613" s="294"/>
      <c r="TUD613" s="294"/>
      <c r="TUE613" s="294"/>
      <c r="TUF613" s="294"/>
      <c r="TUG613" s="294"/>
      <c r="TUH613" s="294"/>
      <c r="TUI613" s="294"/>
      <c r="TUJ613" s="294"/>
      <c r="TUK613" s="294"/>
      <c r="TUL613" s="294"/>
      <c r="TUM613" s="294"/>
      <c r="TUN613" s="294"/>
      <c r="TUO613" s="294"/>
      <c r="TUP613" s="294"/>
      <c r="TUQ613" s="294"/>
      <c r="TUR613" s="294"/>
      <c r="TUS613" s="294"/>
      <c r="TUT613" s="294"/>
      <c r="TUU613" s="294"/>
      <c r="TUV613" s="294"/>
      <c r="TUW613" s="294"/>
      <c r="TUX613" s="294"/>
      <c r="TUY613" s="294"/>
      <c r="TUZ613" s="294"/>
      <c r="TVA613" s="294"/>
      <c r="TVB613" s="294"/>
      <c r="TVC613" s="294"/>
      <c r="TVD613" s="294"/>
      <c r="TVE613" s="294"/>
      <c r="TVF613" s="294"/>
      <c r="TVG613" s="294"/>
      <c r="TVH613" s="294"/>
      <c r="TVI613" s="294"/>
      <c r="TVJ613" s="294"/>
      <c r="TVK613" s="294"/>
      <c r="TVL613" s="294"/>
      <c r="TVM613" s="294"/>
      <c r="TVN613" s="294"/>
      <c r="TVO613" s="294"/>
      <c r="TVP613" s="294"/>
      <c r="TVQ613" s="294"/>
      <c r="TVR613" s="294"/>
      <c r="TVS613" s="294"/>
      <c r="TVT613" s="294"/>
      <c r="TVU613" s="294"/>
      <c r="TVV613" s="294"/>
      <c r="TVW613" s="294"/>
      <c r="TVX613" s="294"/>
      <c r="TVY613" s="294"/>
      <c r="TVZ613" s="294"/>
      <c r="TWA613" s="294"/>
      <c r="TWB613" s="294"/>
      <c r="TWC613" s="294"/>
      <c r="TWD613" s="294"/>
      <c r="TWE613" s="294"/>
      <c r="TWF613" s="294"/>
      <c r="TWG613" s="294"/>
      <c r="TWH613" s="294"/>
      <c r="TWI613" s="294"/>
      <c r="TWJ613" s="294"/>
      <c r="TWK613" s="294"/>
      <c r="TWL613" s="294"/>
      <c r="TWM613" s="294"/>
      <c r="TWN613" s="294"/>
      <c r="TWO613" s="294"/>
      <c r="TWP613" s="294"/>
      <c r="TWQ613" s="294"/>
      <c r="TWR613" s="294"/>
      <c r="TWS613" s="294"/>
      <c r="TWT613" s="294"/>
      <c r="TWU613" s="294"/>
      <c r="TWV613" s="294"/>
      <c r="TWW613" s="294"/>
      <c r="TWX613" s="294"/>
      <c r="TWY613" s="294"/>
      <c r="TWZ613" s="294"/>
      <c r="TXA613" s="294"/>
      <c r="TXB613" s="294"/>
      <c r="TXC613" s="294"/>
      <c r="TXD613" s="294"/>
      <c r="TXE613" s="294"/>
      <c r="TXF613" s="294"/>
      <c r="TXG613" s="294"/>
      <c r="TXH613" s="294"/>
      <c r="TXI613" s="294"/>
      <c r="TXJ613" s="294"/>
      <c r="TXK613" s="294"/>
      <c r="TXL613" s="294"/>
      <c r="TXM613" s="294"/>
      <c r="TXN613" s="294"/>
      <c r="TXO613" s="294"/>
      <c r="TXP613" s="294"/>
      <c r="TXQ613" s="294"/>
      <c r="TXR613" s="294"/>
      <c r="TXS613" s="294"/>
      <c r="TXT613" s="294"/>
      <c r="TXU613" s="294"/>
      <c r="TXV613" s="294"/>
      <c r="TXW613" s="294"/>
      <c r="TXX613" s="294"/>
      <c r="TXY613" s="294"/>
      <c r="TXZ613" s="294"/>
      <c r="TYA613" s="294"/>
      <c r="TYB613" s="294"/>
      <c r="TYC613" s="294"/>
      <c r="TYD613" s="294"/>
      <c r="TYE613" s="294"/>
      <c r="TYF613" s="294"/>
      <c r="TYG613" s="294"/>
      <c r="TYH613" s="294"/>
      <c r="TYI613" s="294"/>
      <c r="TYJ613" s="294"/>
      <c r="TYK613" s="294"/>
      <c r="TYL613" s="294"/>
      <c r="TYM613" s="294"/>
      <c r="TYN613" s="294"/>
      <c r="TYO613" s="294"/>
      <c r="TYP613" s="294"/>
      <c r="TYQ613" s="294"/>
      <c r="TYR613" s="294"/>
      <c r="TYS613" s="294"/>
      <c r="TYT613" s="294"/>
      <c r="TYU613" s="294"/>
      <c r="TYV613" s="294"/>
      <c r="TYW613" s="294"/>
      <c r="TYX613" s="294"/>
      <c r="TYY613" s="294"/>
      <c r="TYZ613" s="294"/>
      <c r="TZA613" s="294"/>
      <c r="TZB613" s="294"/>
      <c r="TZC613" s="294"/>
      <c r="TZD613" s="294"/>
      <c r="TZE613" s="294"/>
      <c r="TZF613" s="294"/>
      <c r="TZG613" s="294"/>
      <c r="TZH613" s="294"/>
      <c r="TZI613" s="294"/>
      <c r="TZJ613" s="294"/>
      <c r="TZK613" s="294"/>
      <c r="TZL613" s="294"/>
      <c r="TZM613" s="294"/>
      <c r="TZN613" s="294"/>
      <c r="TZO613" s="294"/>
      <c r="TZP613" s="294"/>
      <c r="TZQ613" s="294"/>
      <c r="TZR613" s="294"/>
      <c r="TZS613" s="294"/>
      <c r="TZT613" s="294"/>
      <c r="TZU613" s="294"/>
      <c r="TZV613" s="294"/>
      <c r="TZW613" s="294"/>
      <c r="TZX613" s="294"/>
      <c r="TZY613" s="294"/>
      <c r="TZZ613" s="294"/>
      <c r="UAA613" s="294"/>
      <c r="UAB613" s="294"/>
      <c r="UAC613" s="294"/>
      <c r="UAD613" s="294"/>
      <c r="UAE613" s="294"/>
      <c r="UAF613" s="294"/>
      <c r="UAG613" s="294"/>
      <c r="UAH613" s="294"/>
      <c r="UAI613" s="294"/>
      <c r="UAJ613" s="294"/>
      <c r="UAK613" s="294"/>
      <c r="UAL613" s="294"/>
      <c r="UAM613" s="294"/>
      <c r="UAN613" s="294"/>
      <c r="UAO613" s="294"/>
      <c r="UAP613" s="294"/>
      <c r="UAQ613" s="294"/>
      <c r="UAR613" s="294"/>
      <c r="UAS613" s="294"/>
      <c r="UAT613" s="294"/>
      <c r="UAU613" s="294"/>
      <c r="UAV613" s="294"/>
      <c r="UAW613" s="294"/>
      <c r="UAX613" s="294"/>
      <c r="UAY613" s="294"/>
      <c r="UAZ613" s="294"/>
      <c r="UBA613" s="294"/>
      <c r="UBB613" s="294"/>
      <c r="UBC613" s="294"/>
      <c r="UBD613" s="294"/>
      <c r="UBE613" s="294"/>
      <c r="UBF613" s="294"/>
      <c r="UBG613" s="294"/>
      <c r="UBH613" s="294"/>
      <c r="UBI613" s="294"/>
      <c r="UBJ613" s="294"/>
      <c r="UBK613" s="294"/>
      <c r="UBL613" s="294"/>
      <c r="UBM613" s="294"/>
      <c r="UBN613" s="294"/>
      <c r="UBO613" s="294"/>
      <c r="UBP613" s="294"/>
      <c r="UBQ613" s="294"/>
      <c r="UBR613" s="294"/>
      <c r="UBS613" s="294"/>
      <c r="UBT613" s="294"/>
      <c r="UBU613" s="294"/>
      <c r="UBV613" s="294"/>
      <c r="UBW613" s="294"/>
      <c r="UBX613" s="294"/>
      <c r="UBY613" s="294"/>
      <c r="UBZ613" s="294"/>
      <c r="UCA613" s="294"/>
      <c r="UCB613" s="294"/>
      <c r="UCC613" s="294"/>
      <c r="UCD613" s="294"/>
      <c r="UCE613" s="294"/>
      <c r="UCF613" s="294"/>
      <c r="UCG613" s="294"/>
      <c r="UCH613" s="294"/>
      <c r="UCI613" s="294"/>
      <c r="UCJ613" s="294"/>
      <c r="UCK613" s="294"/>
      <c r="UCL613" s="294"/>
      <c r="UCM613" s="294"/>
      <c r="UCN613" s="294"/>
      <c r="UCO613" s="294"/>
      <c r="UCP613" s="294"/>
      <c r="UCQ613" s="294"/>
      <c r="UCR613" s="294"/>
      <c r="UCS613" s="294"/>
      <c r="UCT613" s="294"/>
      <c r="UCU613" s="294"/>
      <c r="UCV613" s="294"/>
      <c r="UCW613" s="294"/>
      <c r="UCX613" s="294"/>
      <c r="UCY613" s="294"/>
      <c r="UCZ613" s="294"/>
      <c r="UDA613" s="294"/>
      <c r="UDB613" s="294"/>
      <c r="UDC613" s="294"/>
      <c r="UDD613" s="294"/>
      <c r="UDE613" s="294"/>
      <c r="UDF613" s="294"/>
      <c r="UDG613" s="294"/>
      <c r="UDH613" s="294"/>
      <c r="UDI613" s="294"/>
      <c r="UDJ613" s="294"/>
      <c r="UDK613" s="294"/>
      <c r="UDL613" s="294"/>
      <c r="UDM613" s="294"/>
      <c r="UDN613" s="294"/>
      <c r="UDO613" s="294"/>
      <c r="UDP613" s="294"/>
      <c r="UDQ613" s="294"/>
      <c r="UDR613" s="294"/>
      <c r="UDS613" s="294"/>
      <c r="UDT613" s="294"/>
      <c r="UDU613" s="294"/>
      <c r="UDV613" s="294"/>
      <c r="UDW613" s="294"/>
      <c r="UDX613" s="294"/>
      <c r="UDY613" s="294"/>
      <c r="UDZ613" s="294"/>
      <c r="UEA613" s="294"/>
      <c r="UEB613" s="294"/>
      <c r="UEC613" s="294"/>
      <c r="UED613" s="294"/>
      <c r="UEE613" s="294"/>
      <c r="UEF613" s="294"/>
      <c r="UEG613" s="294"/>
      <c r="UEH613" s="294"/>
      <c r="UEI613" s="294"/>
      <c r="UEJ613" s="294"/>
      <c r="UEK613" s="294"/>
      <c r="UEL613" s="294"/>
      <c r="UEM613" s="294"/>
      <c r="UEN613" s="294"/>
      <c r="UEO613" s="294"/>
      <c r="UEP613" s="294"/>
      <c r="UEQ613" s="294"/>
      <c r="UER613" s="294"/>
      <c r="UES613" s="294"/>
      <c r="UET613" s="294"/>
      <c r="UEU613" s="294"/>
      <c r="UEV613" s="294"/>
      <c r="UEW613" s="294"/>
      <c r="UEX613" s="294"/>
      <c r="UEY613" s="294"/>
      <c r="UEZ613" s="294"/>
      <c r="UFA613" s="294"/>
      <c r="UFB613" s="294"/>
      <c r="UFC613" s="294"/>
      <c r="UFD613" s="294"/>
      <c r="UFE613" s="294"/>
      <c r="UFF613" s="294"/>
      <c r="UFG613" s="294"/>
      <c r="UFH613" s="294"/>
      <c r="UFI613" s="294"/>
      <c r="UFJ613" s="294"/>
      <c r="UFK613" s="294"/>
      <c r="UFL613" s="294"/>
      <c r="UFM613" s="294"/>
      <c r="UFN613" s="294"/>
      <c r="UFO613" s="294"/>
      <c r="UFP613" s="294"/>
      <c r="UFQ613" s="294"/>
      <c r="UFR613" s="294"/>
      <c r="UFS613" s="294"/>
      <c r="UFT613" s="294"/>
      <c r="UFU613" s="294"/>
      <c r="UFV613" s="294"/>
      <c r="UFW613" s="294"/>
      <c r="UFX613" s="294"/>
      <c r="UFY613" s="294"/>
      <c r="UFZ613" s="294"/>
      <c r="UGA613" s="294"/>
      <c r="UGB613" s="294"/>
      <c r="UGC613" s="294"/>
      <c r="UGD613" s="294"/>
      <c r="UGE613" s="294"/>
      <c r="UGF613" s="294"/>
      <c r="UGG613" s="294"/>
      <c r="UGH613" s="294"/>
      <c r="UGI613" s="294"/>
      <c r="UGJ613" s="294"/>
      <c r="UGK613" s="294"/>
      <c r="UGL613" s="294"/>
      <c r="UGM613" s="294"/>
      <c r="UGN613" s="294"/>
      <c r="UGO613" s="294"/>
      <c r="UGP613" s="294"/>
      <c r="UGQ613" s="294"/>
      <c r="UGR613" s="294"/>
      <c r="UGS613" s="294"/>
      <c r="UGT613" s="294"/>
      <c r="UGU613" s="294"/>
      <c r="UGV613" s="294"/>
      <c r="UGW613" s="294"/>
      <c r="UGX613" s="294"/>
      <c r="UGY613" s="294"/>
      <c r="UGZ613" s="294"/>
      <c r="UHA613" s="294"/>
      <c r="UHB613" s="294"/>
      <c r="UHC613" s="294"/>
      <c r="UHD613" s="294"/>
      <c r="UHE613" s="294"/>
      <c r="UHF613" s="294"/>
      <c r="UHG613" s="294"/>
      <c r="UHH613" s="294"/>
      <c r="UHI613" s="294"/>
      <c r="UHJ613" s="294"/>
      <c r="UHK613" s="294"/>
      <c r="UHL613" s="294"/>
      <c r="UHM613" s="294"/>
      <c r="UHN613" s="294"/>
      <c r="UHO613" s="294"/>
      <c r="UHP613" s="294"/>
      <c r="UHQ613" s="294"/>
      <c r="UHR613" s="294"/>
      <c r="UHS613" s="294"/>
      <c r="UHT613" s="294"/>
      <c r="UHU613" s="294"/>
      <c r="UHV613" s="294"/>
      <c r="UHW613" s="294"/>
      <c r="UHX613" s="294"/>
      <c r="UHY613" s="294"/>
      <c r="UHZ613" s="294"/>
      <c r="UIA613" s="294"/>
      <c r="UIB613" s="294"/>
      <c r="UIC613" s="294"/>
      <c r="UID613" s="294"/>
      <c r="UIE613" s="294"/>
      <c r="UIF613" s="294"/>
      <c r="UIG613" s="294"/>
      <c r="UIH613" s="294"/>
      <c r="UII613" s="294"/>
      <c r="UIJ613" s="294"/>
      <c r="UIK613" s="294"/>
      <c r="UIL613" s="294"/>
      <c r="UIM613" s="294"/>
      <c r="UIN613" s="294"/>
      <c r="UIO613" s="294"/>
      <c r="UIP613" s="294"/>
      <c r="UIQ613" s="294"/>
      <c r="UIR613" s="294"/>
      <c r="UIS613" s="294"/>
      <c r="UIT613" s="294"/>
      <c r="UIU613" s="294"/>
      <c r="UIV613" s="294"/>
      <c r="UIW613" s="294"/>
      <c r="UIX613" s="294"/>
      <c r="UIY613" s="294"/>
      <c r="UIZ613" s="294"/>
      <c r="UJA613" s="294"/>
      <c r="UJB613" s="294"/>
      <c r="UJC613" s="294"/>
      <c r="UJD613" s="294"/>
      <c r="UJE613" s="294"/>
      <c r="UJF613" s="294"/>
      <c r="UJG613" s="294"/>
      <c r="UJH613" s="294"/>
      <c r="UJI613" s="294"/>
      <c r="UJJ613" s="294"/>
      <c r="UJK613" s="294"/>
      <c r="UJL613" s="294"/>
      <c r="UJM613" s="294"/>
      <c r="UJN613" s="294"/>
      <c r="UJO613" s="294"/>
      <c r="UJP613" s="294"/>
      <c r="UJQ613" s="294"/>
      <c r="UJR613" s="294"/>
      <c r="UJS613" s="294"/>
      <c r="UJT613" s="294"/>
      <c r="UJU613" s="294"/>
      <c r="UJV613" s="294"/>
      <c r="UJW613" s="294"/>
      <c r="UJX613" s="294"/>
      <c r="UJY613" s="294"/>
      <c r="UJZ613" s="294"/>
      <c r="UKA613" s="294"/>
      <c r="UKB613" s="294"/>
      <c r="UKC613" s="294"/>
      <c r="UKD613" s="294"/>
      <c r="UKE613" s="294"/>
      <c r="UKF613" s="294"/>
      <c r="UKG613" s="294"/>
      <c r="UKH613" s="294"/>
      <c r="UKI613" s="294"/>
      <c r="UKJ613" s="294"/>
      <c r="UKK613" s="294"/>
      <c r="UKL613" s="294"/>
      <c r="UKM613" s="294"/>
      <c r="UKN613" s="294"/>
      <c r="UKO613" s="294"/>
      <c r="UKP613" s="294"/>
      <c r="UKQ613" s="294"/>
      <c r="UKR613" s="294"/>
      <c r="UKS613" s="294"/>
      <c r="UKT613" s="294"/>
      <c r="UKU613" s="294"/>
      <c r="UKV613" s="294"/>
      <c r="UKW613" s="294"/>
      <c r="UKX613" s="294"/>
      <c r="UKY613" s="294"/>
      <c r="UKZ613" s="294"/>
      <c r="ULA613" s="294"/>
      <c r="ULB613" s="294"/>
      <c r="ULC613" s="294"/>
      <c r="ULD613" s="294"/>
      <c r="ULE613" s="294"/>
      <c r="ULF613" s="294"/>
      <c r="ULG613" s="294"/>
      <c r="ULH613" s="294"/>
      <c r="ULI613" s="294"/>
      <c r="ULJ613" s="294"/>
      <c r="ULK613" s="294"/>
      <c r="ULL613" s="294"/>
      <c r="ULM613" s="294"/>
      <c r="ULN613" s="294"/>
      <c r="ULO613" s="294"/>
      <c r="ULP613" s="294"/>
      <c r="ULQ613" s="294"/>
      <c r="ULR613" s="294"/>
      <c r="ULS613" s="294"/>
      <c r="ULT613" s="294"/>
      <c r="ULU613" s="294"/>
      <c r="ULV613" s="294"/>
      <c r="ULW613" s="294"/>
      <c r="ULX613" s="294"/>
      <c r="ULY613" s="294"/>
      <c r="ULZ613" s="294"/>
      <c r="UMA613" s="294"/>
      <c r="UMB613" s="294"/>
      <c r="UMC613" s="294"/>
      <c r="UMD613" s="294"/>
      <c r="UME613" s="294"/>
      <c r="UMF613" s="294"/>
      <c r="UMG613" s="294"/>
      <c r="UMH613" s="294"/>
      <c r="UMI613" s="294"/>
      <c r="UMJ613" s="294"/>
      <c r="UMK613" s="294"/>
      <c r="UML613" s="294"/>
      <c r="UMM613" s="294"/>
      <c r="UMN613" s="294"/>
      <c r="UMO613" s="294"/>
      <c r="UMP613" s="294"/>
      <c r="UMQ613" s="294"/>
      <c r="UMR613" s="294"/>
      <c r="UMS613" s="294"/>
      <c r="UMT613" s="294"/>
      <c r="UMU613" s="294"/>
      <c r="UMV613" s="294"/>
      <c r="UMW613" s="294"/>
      <c r="UMX613" s="294"/>
      <c r="UMY613" s="294"/>
      <c r="UMZ613" s="294"/>
      <c r="UNA613" s="294"/>
      <c r="UNB613" s="294"/>
      <c r="UNC613" s="294"/>
      <c r="UND613" s="294"/>
      <c r="UNE613" s="294"/>
      <c r="UNF613" s="294"/>
      <c r="UNG613" s="294"/>
      <c r="UNH613" s="294"/>
      <c r="UNI613" s="294"/>
      <c r="UNJ613" s="294"/>
      <c r="UNK613" s="294"/>
      <c r="UNL613" s="294"/>
      <c r="UNM613" s="294"/>
      <c r="UNN613" s="294"/>
      <c r="UNO613" s="294"/>
      <c r="UNP613" s="294"/>
      <c r="UNQ613" s="294"/>
      <c r="UNR613" s="294"/>
      <c r="UNS613" s="294"/>
      <c r="UNT613" s="294"/>
      <c r="UNU613" s="294"/>
      <c r="UNV613" s="294"/>
      <c r="UNW613" s="294"/>
      <c r="UNX613" s="294"/>
      <c r="UNY613" s="294"/>
      <c r="UNZ613" s="294"/>
      <c r="UOA613" s="294"/>
      <c r="UOB613" s="294"/>
      <c r="UOC613" s="294"/>
      <c r="UOD613" s="294"/>
      <c r="UOE613" s="294"/>
      <c r="UOF613" s="294"/>
      <c r="UOG613" s="294"/>
      <c r="UOH613" s="294"/>
      <c r="UOI613" s="294"/>
      <c r="UOJ613" s="294"/>
      <c r="UOK613" s="294"/>
      <c r="UOL613" s="294"/>
      <c r="UOM613" s="294"/>
      <c r="UON613" s="294"/>
      <c r="UOO613" s="294"/>
      <c r="UOP613" s="294"/>
      <c r="UOQ613" s="294"/>
      <c r="UOR613" s="294"/>
      <c r="UOS613" s="294"/>
      <c r="UOT613" s="294"/>
      <c r="UOU613" s="294"/>
      <c r="UOV613" s="294"/>
      <c r="UOW613" s="294"/>
      <c r="UOX613" s="294"/>
      <c r="UOY613" s="294"/>
      <c r="UOZ613" s="294"/>
      <c r="UPA613" s="294"/>
      <c r="UPB613" s="294"/>
      <c r="UPC613" s="294"/>
      <c r="UPD613" s="294"/>
      <c r="UPE613" s="294"/>
      <c r="UPF613" s="294"/>
      <c r="UPG613" s="294"/>
      <c r="UPH613" s="294"/>
      <c r="UPI613" s="294"/>
      <c r="UPJ613" s="294"/>
      <c r="UPK613" s="294"/>
      <c r="UPL613" s="294"/>
      <c r="UPM613" s="294"/>
      <c r="UPN613" s="294"/>
      <c r="UPO613" s="294"/>
      <c r="UPP613" s="294"/>
      <c r="UPQ613" s="294"/>
      <c r="UPR613" s="294"/>
      <c r="UPS613" s="294"/>
      <c r="UPT613" s="294"/>
      <c r="UPU613" s="294"/>
      <c r="UPV613" s="294"/>
      <c r="UPW613" s="294"/>
      <c r="UPX613" s="294"/>
      <c r="UPY613" s="294"/>
      <c r="UPZ613" s="294"/>
      <c r="UQA613" s="294"/>
      <c r="UQB613" s="294"/>
      <c r="UQC613" s="294"/>
      <c r="UQD613" s="294"/>
      <c r="UQE613" s="294"/>
      <c r="UQF613" s="294"/>
      <c r="UQG613" s="294"/>
      <c r="UQH613" s="294"/>
      <c r="UQI613" s="294"/>
      <c r="UQJ613" s="294"/>
      <c r="UQK613" s="294"/>
      <c r="UQL613" s="294"/>
      <c r="UQM613" s="294"/>
      <c r="UQN613" s="294"/>
      <c r="UQO613" s="294"/>
      <c r="UQP613" s="294"/>
      <c r="UQQ613" s="294"/>
      <c r="UQR613" s="294"/>
      <c r="UQS613" s="294"/>
      <c r="UQT613" s="294"/>
      <c r="UQU613" s="294"/>
      <c r="UQV613" s="294"/>
      <c r="UQW613" s="294"/>
      <c r="UQX613" s="294"/>
      <c r="UQY613" s="294"/>
      <c r="UQZ613" s="294"/>
      <c r="URA613" s="294"/>
      <c r="URB613" s="294"/>
      <c r="URC613" s="294"/>
      <c r="URD613" s="294"/>
      <c r="URE613" s="294"/>
      <c r="URF613" s="294"/>
      <c r="URG613" s="294"/>
      <c r="URH613" s="294"/>
      <c r="URI613" s="294"/>
      <c r="URJ613" s="294"/>
      <c r="URK613" s="294"/>
      <c r="URL613" s="294"/>
      <c r="URM613" s="294"/>
      <c r="URN613" s="294"/>
      <c r="URO613" s="294"/>
      <c r="URP613" s="294"/>
      <c r="URQ613" s="294"/>
      <c r="URR613" s="294"/>
      <c r="URS613" s="294"/>
      <c r="URT613" s="294"/>
      <c r="URU613" s="294"/>
      <c r="URV613" s="294"/>
      <c r="URW613" s="294"/>
      <c r="URX613" s="294"/>
      <c r="URY613" s="294"/>
      <c r="URZ613" s="294"/>
      <c r="USA613" s="294"/>
      <c r="USB613" s="294"/>
      <c r="USC613" s="294"/>
      <c r="USD613" s="294"/>
      <c r="USE613" s="294"/>
      <c r="USF613" s="294"/>
      <c r="USG613" s="294"/>
      <c r="USH613" s="294"/>
      <c r="USI613" s="294"/>
      <c r="USJ613" s="294"/>
      <c r="USK613" s="294"/>
      <c r="USL613" s="294"/>
      <c r="USM613" s="294"/>
      <c r="USN613" s="294"/>
      <c r="USO613" s="294"/>
      <c r="USP613" s="294"/>
      <c r="USQ613" s="294"/>
      <c r="USR613" s="294"/>
      <c r="USS613" s="294"/>
      <c r="UST613" s="294"/>
      <c r="USU613" s="294"/>
      <c r="USV613" s="294"/>
      <c r="USW613" s="294"/>
      <c r="USX613" s="294"/>
      <c r="USY613" s="294"/>
      <c r="USZ613" s="294"/>
      <c r="UTA613" s="294"/>
      <c r="UTB613" s="294"/>
      <c r="UTC613" s="294"/>
      <c r="UTD613" s="294"/>
      <c r="UTE613" s="294"/>
      <c r="UTF613" s="294"/>
      <c r="UTG613" s="294"/>
      <c r="UTH613" s="294"/>
      <c r="UTI613" s="294"/>
      <c r="UTJ613" s="294"/>
      <c r="UTK613" s="294"/>
      <c r="UTL613" s="294"/>
      <c r="UTM613" s="294"/>
      <c r="UTN613" s="294"/>
      <c r="UTO613" s="294"/>
      <c r="UTP613" s="294"/>
      <c r="UTQ613" s="294"/>
      <c r="UTR613" s="294"/>
      <c r="UTS613" s="294"/>
      <c r="UTT613" s="294"/>
      <c r="UTU613" s="294"/>
      <c r="UTV613" s="294"/>
      <c r="UTW613" s="294"/>
      <c r="UTX613" s="294"/>
      <c r="UTY613" s="294"/>
      <c r="UTZ613" s="294"/>
      <c r="UUA613" s="294"/>
      <c r="UUB613" s="294"/>
      <c r="UUC613" s="294"/>
      <c r="UUD613" s="294"/>
      <c r="UUE613" s="294"/>
      <c r="UUF613" s="294"/>
      <c r="UUG613" s="294"/>
      <c r="UUH613" s="294"/>
      <c r="UUI613" s="294"/>
      <c r="UUJ613" s="294"/>
      <c r="UUK613" s="294"/>
      <c r="UUL613" s="294"/>
      <c r="UUM613" s="294"/>
      <c r="UUN613" s="294"/>
      <c r="UUO613" s="294"/>
      <c r="UUP613" s="294"/>
      <c r="UUQ613" s="294"/>
      <c r="UUR613" s="294"/>
      <c r="UUS613" s="294"/>
      <c r="UUT613" s="294"/>
      <c r="UUU613" s="294"/>
      <c r="UUV613" s="294"/>
      <c r="UUW613" s="294"/>
      <c r="UUX613" s="294"/>
      <c r="UUY613" s="294"/>
      <c r="UUZ613" s="294"/>
      <c r="UVA613" s="294"/>
      <c r="UVB613" s="294"/>
      <c r="UVC613" s="294"/>
      <c r="UVD613" s="294"/>
      <c r="UVE613" s="294"/>
      <c r="UVF613" s="294"/>
      <c r="UVG613" s="294"/>
      <c r="UVH613" s="294"/>
      <c r="UVI613" s="294"/>
      <c r="UVJ613" s="294"/>
      <c r="UVK613" s="294"/>
      <c r="UVL613" s="294"/>
      <c r="UVM613" s="294"/>
      <c r="UVN613" s="294"/>
      <c r="UVO613" s="294"/>
      <c r="UVP613" s="294"/>
      <c r="UVQ613" s="294"/>
      <c r="UVR613" s="294"/>
      <c r="UVS613" s="294"/>
      <c r="UVT613" s="294"/>
      <c r="UVU613" s="294"/>
      <c r="UVV613" s="294"/>
      <c r="UVW613" s="294"/>
      <c r="UVX613" s="294"/>
      <c r="UVY613" s="294"/>
      <c r="UVZ613" s="294"/>
      <c r="UWA613" s="294"/>
      <c r="UWB613" s="294"/>
      <c r="UWC613" s="294"/>
      <c r="UWD613" s="294"/>
      <c r="UWE613" s="294"/>
      <c r="UWF613" s="294"/>
      <c r="UWG613" s="294"/>
      <c r="UWH613" s="294"/>
      <c r="UWI613" s="294"/>
      <c r="UWJ613" s="294"/>
      <c r="UWK613" s="294"/>
      <c r="UWL613" s="294"/>
      <c r="UWM613" s="294"/>
      <c r="UWN613" s="294"/>
      <c r="UWO613" s="294"/>
      <c r="UWP613" s="294"/>
      <c r="UWQ613" s="294"/>
      <c r="UWR613" s="294"/>
      <c r="UWS613" s="294"/>
      <c r="UWT613" s="294"/>
      <c r="UWU613" s="294"/>
      <c r="UWV613" s="294"/>
      <c r="UWW613" s="294"/>
      <c r="UWX613" s="294"/>
      <c r="UWY613" s="294"/>
      <c r="UWZ613" s="294"/>
      <c r="UXA613" s="294"/>
      <c r="UXB613" s="294"/>
      <c r="UXC613" s="294"/>
      <c r="UXD613" s="294"/>
      <c r="UXE613" s="294"/>
      <c r="UXF613" s="294"/>
      <c r="UXG613" s="294"/>
      <c r="UXH613" s="294"/>
      <c r="UXI613" s="294"/>
      <c r="UXJ613" s="294"/>
      <c r="UXK613" s="294"/>
      <c r="UXL613" s="294"/>
      <c r="UXM613" s="294"/>
      <c r="UXN613" s="294"/>
      <c r="UXO613" s="294"/>
      <c r="UXP613" s="294"/>
      <c r="UXQ613" s="294"/>
      <c r="UXR613" s="294"/>
      <c r="UXS613" s="294"/>
      <c r="UXT613" s="294"/>
      <c r="UXU613" s="294"/>
      <c r="UXV613" s="294"/>
      <c r="UXW613" s="294"/>
      <c r="UXX613" s="294"/>
      <c r="UXY613" s="294"/>
      <c r="UXZ613" s="294"/>
      <c r="UYA613" s="294"/>
      <c r="UYB613" s="294"/>
      <c r="UYC613" s="294"/>
      <c r="UYD613" s="294"/>
      <c r="UYE613" s="294"/>
      <c r="UYF613" s="294"/>
      <c r="UYG613" s="294"/>
      <c r="UYH613" s="294"/>
      <c r="UYI613" s="294"/>
      <c r="UYJ613" s="294"/>
      <c r="UYK613" s="294"/>
      <c r="UYL613" s="294"/>
      <c r="UYM613" s="294"/>
      <c r="UYN613" s="294"/>
      <c r="UYO613" s="294"/>
      <c r="UYP613" s="294"/>
      <c r="UYQ613" s="294"/>
      <c r="UYR613" s="294"/>
      <c r="UYS613" s="294"/>
      <c r="UYT613" s="294"/>
      <c r="UYU613" s="294"/>
      <c r="UYV613" s="294"/>
      <c r="UYW613" s="294"/>
      <c r="UYX613" s="294"/>
      <c r="UYY613" s="294"/>
      <c r="UYZ613" s="294"/>
      <c r="UZA613" s="294"/>
      <c r="UZB613" s="294"/>
      <c r="UZC613" s="294"/>
      <c r="UZD613" s="294"/>
      <c r="UZE613" s="294"/>
      <c r="UZF613" s="294"/>
      <c r="UZG613" s="294"/>
      <c r="UZH613" s="294"/>
      <c r="UZI613" s="294"/>
      <c r="UZJ613" s="294"/>
      <c r="UZK613" s="294"/>
      <c r="UZL613" s="294"/>
      <c r="UZM613" s="294"/>
      <c r="UZN613" s="294"/>
      <c r="UZO613" s="294"/>
      <c r="UZP613" s="294"/>
      <c r="UZQ613" s="294"/>
      <c r="UZR613" s="294"/>
      <c r="UZS613" s="294"/>
      <c r="UZT613" s="294"/>
      <c r="UZU613" s="294"/>
      <c r="UZV613" s="294"/>
      <c r="UZW613" s="294"/>
      <c r="UZX613" s="294"/>
      <c r="UZY613" s="294"/>
      <c r="UZZ613" s="294"/>
      <c r="VAA613" s="294"/>
      <c r="VAB613" s="294"/>
      <c r="VAC613" s="294"/>
      <c r="VAD613" s="294"/>
      <c r="VAE613" s="294"/>
      <c r="VAF613" s="294"/>
      <c r="VAG613" s="294"/>
      <c r="VAH613" s="294"/>
      <c r="VAI613" s="294"/>
      <c r="VAJ613" s="294"/>
      <c r="VAK613" s="294"/>
      <c r="VAL613" s="294"/>
      <c r="VAM613" s="294"/>
      <c r="VAN613" s="294"/>
      <c r="VAO613" s="294"/>
      <c r="VAP613" s="294"/>
      <c r="VAQ613" s="294"/>
      <c r="VAR613" s="294"/>
      <c r="VAS613" s="294"/>
      <c r="VAT613" s="294"/>
      <c r="VAU613" s="294"/>
      <c r="VAV613" s="294"/>
      <c r="VAW613" s="294"/>
      <c r="VAX613" s="294"/>
      <c r="VAY613" s="294"/>
      <c r="VAZ613" s="294"/>
      <c r="VBA613" s="294"/>
      <c r="VBB613" s="294"/>
      <c r="VBC613" s="294"/>
      <c r="VBD613" s="294"/>
      <c r="VBE613" s="294"/>
      <c r="VBF613" s="294"/>
      <c r="VBG613" s="294"/>
      <c r="VBH613" s="294"/>
      <c r="VBI613" s="294"/>
      <c r="VBJ613" s="294"/>
      <c r="VBK613" s="294"/>
      <c r="VBL613" s="294"/>
      <c r="VBM613" s="294"/>
      <c r="VBN613" s="294"/>
      <c r="VBO613" s="294"/>
      <c r="VBP613" s="294"/>
      <c r="VBQ613" s="294"/>
      <c r="VBR613" s="294"/>
      <c r="VBS613" s="294"/>
      <c r="VBT613" s="294"/>
      <c r="VBU613" s="294"/>
      <c r="VBV613" s="294"/>
      <c r="VBW613" s="294"/>
      <c r="VBX613" s="294"/>
      <c r="VBY613" s="294"/>
      <c r="VBZ613" s="294"/>
      <c r="VCA613" s="294"/>
      <c r="VCB613" s="294"/>
      <c r="VCC613" s="294"/>
      <c r="VCD613" s="294"/>
      <c r="VCE613" s="294"/>
      <c r="VCF613" s="294"/>
      <c r="VCG613" s="294"/>
      <c r="VCH613" s="294"/>
      <c r="VCI613" s="294"/>
      <c r="VCJ613" s="294"/>
      <c r="VCK613" s="294"/>
      <c r="VCL613" s="294"/>
      <c r="VCM613" s="294"/>
      <c r="VCN613" s="294"/>
      <c r="VCO613" s="294"/>
      <c r="VCP613" s="294"/>
      <c r="VCQ613" s="294"/>
      <c r="VCR613" s="294"/>
      <c r="VCS613" s="294"/>
      <c r="VCT613" s="294"/>
      <c r="VCU613" s="294"/>
      <c r="VCV613" s="294"/>
      <c r="VCW613" s="294"/>
      <c r="VCX613" s="294"/>
      <c r="VCY613" s="294"/>
      <c r="VCZ613" s="294"/>
      <c r="VDA613" s="294"/>
      <c r="VDB613" s="294"/>
      <c r="VDC613" s="294"/>
      <c r="VDD613" s="294"/>
      <c r="VDE613" s="294"/>
      <c r="VDF613" s="294"/>
      <c r="VDG613" s="294"/>
      <c r="VDH613" s="294"/>
      <c r="VDI613" s="294"/>
      <c r="VDJ613" s="294"/>
      <c r="VDK613" s="294"/>
      <c r="VDL613" s="294"/>
      <c r="VDM613" s="294"/>
      <c r="VDN613" s="294"/>
      <c r="VDO613" s="294"/>
      <c r="VDP613" s="294"/>
      <c r="VDQ613" s="294"/>
      <c r="VDR613" s="294"/>
      <c r="VDS613" s="294"/>
      <c r="VDT613" s="294"/>
      <c r="VDU613" s="294"/>
      <c r="VDV613" s="294"/>
      <c r="VDW613" s="294"/>
      <c r="VDX613" s="294"/>
      <c r="VDY613" s="294"/>
      <c r="VDZ613" s="294"/>
      <c r="VEA613" s="294"/>
      <c r="VEB613" s="294"/>
      <c r="VEC613" s="294"/>
      <c r="VED613" s="294"/>
      <c r="VEE613" s="294"/>
      <c r="VEF613" s="294"/>
      <c r="VEG613" s="294"/>
      <c r="VEH613" s="294"/>
      <c r="VEI613" s="294"/>
      <c r="VEJ613" s="294"/>
      <c r="VEK613" s="294"/>
      <c r="VEL613" s="294"/>
      <c r="VEM613" s="294"/>
      <c r="VEN613" s="294"/>
      <c r="VEO613" s="294"/>
      <c r="VEP613" s="294"/>
      <c r="VEQ613" s="294"/>
      <c r="VER613" s="294"/>
      <c r="VES613" s="294"/>
      <c r="VET613" s="294"/>
      <c r="VEU613" s="294"/>
      <c r="VEV613" s="294"/>
      <c r="VEW613" s="294"/>
      <c r="VEX613" s="294"/>
      <c r="VEY613" s="294"/>
      <c r="VEZ613" s="294"/>
      <c r="VFA613" s="294"/>
      <c r="VFB613" s="294"/>
      <c r="VFC613" s="294"/>
      <c r="VFD613" s="294"/>
      <c r="VFE613" s="294"/>
      <c r="VFF613" s="294"/>
      <c r="VFG613" s="294"/>
      <c r="VFH613" s="294"/>
      <c r="VFI613" s="294"/>
      <c r="VFJ613" s="294"/>
      <c r="VFK613" s="294"/>
      <c r="VFL613" s="294"/>
      <c r="VFM613" s="294"/>
      <c r="VFN613" s="294"/>
      <c r="VFO613" s="294"/>
      <c r="VFP613" s="294"/>
      <c r="VFQ613" s="294"/>
      <c r="VFR613" s="294"/>
      <c r="VFS613" s="294"/>
      <c r="VFT613" s="294"/>
      <c r="VFU613" s="294"/>
      <c r="VFV613" s="294"/>
      <c r="VFW613" s="294"/>
      <c r="VFX613" s="294"/>
      <c r="VFY613" s="294"/>
      <c r="VFZ613" s="294"/>
      <c r="VGA613" s="294"/>
      <c r="VGB613" s="294"/>
      <c r="VGC613" s="294"/>
      <c r="VGD613" s="294"/>
      <c r="VGE613" s="294"/>
      <c r="VGF613" s="294"/>
      <c r="VGG613" s="294"/>
      <c r="VGH613" s="294"/>
      <c r="VGI613" s="294"/>
      <c r="VGJ613" s="294"/>
      <c r="VGK613" s="294"/>
      <c r="VGL613" s="294"/>
      <c r="VGM613" s="294"/>
      <c r="VGN613" s="294"/>
      <c r="VGO613" s="294"/>
      <c r="VGP613" s="294"/>
      <c r="VGQ613" s="294"/>
      <c r="VGR613" s="294"/>
      <c r="VGS613" s="294"/>
      <c r="VGT613" s="294"/>
      <c r="VGU613" s="294"/>
      <c r="VGV613" s="294"/>
      <c r="VGW613" s="294"/>
      <c r="VGX613" s="294"/>
      <c r="VGY613" s="294"/>
      <c r="VGZ613" s="294"/>
      <c r="VHA613" s="294"/>
      <c r="VHB613" s="294"/>
      <c r="VHC613" s="294"/>
      <c r="VHD613" s="294"/>
      <c r="VHE613" s="294"/>
      <c r="VHF613" s="294"/>
      <c r="VHG613" s="294"/>
      <c r="VHH613" s="294"/>
      <c r="VHI613" s="294"/>
      <c r="VHJ613" s="294"/>
      <c r="VHK613" s="294"/>
      <c r="VHL613" s="294"/>
      <c r="VHM613" s="294"/>
      <c r="VHN613" s="294"/>
      <c r="VHO613" s="294"/>
      <c r="VHP613" s="294"/>
      <c r="VHQ613" s="294"/>
      <c r="VHR613" s="294"/>
      <c r="VHS613" s="294"/>
      <c r="VHT613" s="294"/>
      <c r="VHU613" s="294"/>
      <c r="VHV613" s="294"/>
      <c r="VHW613" s="294"/>
      <c r="VHX613" s="294"/>
      <c r="VHY613" s="294"/>
      <c r="VHZ613" s="294"/>
      <c r="VIA613" s="294"/>
      <c r="VIB613" s="294"/>
      <c r="VIC613" s="294"/>
      <c r="VID613" s="294"/>
      <c r="VIE613" s="294"/>
      <c r="VIF613" s="294"/>
      <c r="VIG613" s="294"/>
      <c r="VIH613" s="294"/>
      <c r="VII613" s="294"/>
      <c r="VIJ613" s="294"/>
      <c r="VIK613" s="294"/>
      <c r="VIL613" s="294"/>
      <c r="VIM613" s="294"/>
      <c r="VIN613" s="294"/>
      <c r="VIO613" s="294"/>
      <c r="VIP613" s="294"/>
      <c r="VIQ613" s="294"/>
      <c r="VIR613" s="294"/>
      <c r="VIS613" s="294"/>
      <c r="VIT613" s="294"/>
      <c r="VIU613" s="294"/>
      <c r="VIV613" s="294"/>
      <c r="VIW613" s="294"/>
      <c r="VIX613" s="294"/>
      <c r="VIY613" s="294"/>
      <c r="VIZ613" s="294"/>
      <c r="VJA613" s="294"/>
      <c r="VJB613" s="294"/>
      <c r="VJC613" s="294"/>
      <c r="VJD613" s="294"/>
      <c r="VJE613" s="294"/>
      <c r="VJF613" s="294"/>
      <c r="VJG613" s="294"/>
      <c r="VJH613" s="294"/>
      <c r="VJI613" s="294"/>
      <c r="VJJ613" s="294"/>
      <c r="VJK613" s="294"/>
      <c r="VJL613" s="294"/>
      <c r="VJM613" s="294"/>
      <c r="VJN613" s="294"/>
      <c r="VJO613" s="294"/>
      <c r="VJP613" s="294"/>
      <c r="VJQ613" s="294"/>
      <c r="VJR613" s="294"/>
      <c r="VJS613" s="294"/>
      <c r="VJT613" s="294"/>
      <c r="VJU613" s="294"/>
      <c r="VJV613" s="294"/>
      <c r="VJW613" s="294"/>
      <c r="VJX613" s="294"/>
      <c r="VJY613" s="294"/>
      <c r="VJZ613" s="294"/>
      <c r="VKA613" s="294"/>
      <c r="VKB613" s="294"/>
      <c r="VKC613" s="294"/>
      <c r="VKD613" s="294"/>
      <c r="VKE613" s="294"/>
      <c r="VKF613" s="294"/>
      <c r="VKG613" s="294"/>
      <c r="VKH613" s="294"/>
      <c r="VKI613" s="294"/>
      <c r="VKJ613" s="294"/>
      <c r="VKK613" s="294"/>
      <c r="VKL613" s="294"/>
      <c r="VKM613" s="294"/>
      <c r="VKN613" s="294"/>
      <c r="VKO613" s="294"/>
      <c r="VKP613" s="294"/>
      <c r="VKQ613" s="294"/>
      <c r="VKR613" s="294"/>
      <c r="VKS613" s="294"/>
      <c r="VKT613" s="294"/>
      <c r="VKU613" s="294"/>
      <c r="VKV613" s="294"/>
      <c r="VKW613" s="294"/>
      <c r="VKX613" s="294"/>
      <c r="VKY613" s="294"/>
      <c r="VKZ613" s="294"/>
      <c r="VLA613" s="294"/>
      <c r="VLB613" s="294"/>
      <c r="VLC613" s="294"/>
      <c r="VLD613" s="294"/>
      <c r="VLE613" s="294"/>
      <c r="VLF613" s="294"/>
      <c r="VLG613" s="294"/>
      <c r="VLH613" s="294"/>
      <c r="VLI613" s="294"/>
      <c r="VLJ613" s="294"/>
      <c r="VLK613" s="294"/>
      <c r="VLL613" s="294"/>
      <c r="VLM613" s="294"/>
      <c r="VLN613" s="294"/>
      <c r="VLO613" s="294"/>
      <c r="VLP613" s="294"/>
      <c r="VLQ613" s="294"/>
      <c r="VLR613" s="294"/>
      <c r="VLS613" s="294"/>
      <c r="VLT613" s="294"/>
      <c r="VLU613" s="294"/>
      <c r="VLV613" s="294"/>
      <c r="VLW613" s="294"/>
      <c r="VLX613" s="294"/>
      <c r="VLY613" s="294"/>
      <c r="VLZ613" s="294"/>
      <c r="VMA613" s="294"/>
      <c r="VMB613" s="294"/>
      <c r="VMC613" s="294"/>
      <c r="VMD613" s="294"/>
      <c r="VME613" s="294"/>
      <c r="VMF613" s="294"/>
      <c r="VMG613" s="294"/>
      <c r="VMH613" s="294"/>
      <c r="VMI613" s="294"/>
      <c r="VMJ613" s="294"/>
      <c r="VMK613" s="294"/>
      <c r="VML613" s="294"/>
      <c r="VMM613" s="294"/>
      <c r="VMN613" s="294"/>
      <c r="VMO613" s="294"/>
      <c r="VMP613" s="294"/>
      <c r="VMQ613" s="294"/>
      <c r="VMR613" s="294"/>
      <c r="VMS613" s="294"/>
      <c r="VMT613" s="294"/>
      <c r="VMU613" s="294"/>
      <c r="VMV613" s="294"/>
      <c r="VMW613" s="294"/>
      <c r="VMX613" s="294"/>
      <c r="VMY613" s="294"/>
      <c r="VMZ613" s="294"/>
      <c r="VNA613" s="294"/>
      <c r="VNB613" s="294"/>
      <c r="VNC613" s="294"/>
      <c r="VND613" s="294"/>
      <c r="VNE613" s="294"/>
      <c r="VNF613" s="294"/>
      <c r="VNG613" s="294"/>
      <c r="VNH613" s="294"/>
      <c r="VNI613" s="294"/>
      <c r="VNJ613" s="294"/>
      <c r="VNK613" s="294"/>
      <c r="VNL613" s="294"/>
      <c r="VNM613" s="294"/>
      <c r="VNN613" s="294"/>
      <c r="VNO613" s="294"/>
      <c r="VNP613" s="294"/>
      <c r="VNQ613" s="294"/>
      <c r="VNR613" s="294"/>
      <c r="VNS613" s="294"/>
      <c r="VNT613" s="294"/>
      <c r="VNU613" s="294"/>
      <c r="VNV613" s="294"/>
      <c r="VNW613" s="294"/>
      <c r="VNX613" s="294"/>
      <c r="VNY613" s="294"/>
      <c r="VNZ613" s="294"/>
      <c r="VOA613" s="294"/>
      <c r="VOB613" s="294"/>
      <c r="VOC613" s="294"/>
      <c r="VOD613" s="294"/>
      <c r="VOE613" s="294"/>
      <c r="VOF613" s="294"/>
      <c r="VOG613" s="294"/>
      <c r="VOH613" s="294"/>
      <c r="VOI613" s="294"/>
      <c r="VOJ613" s="294"/>
      <c r="VOK613" s="294"/>
      <c r="VOL613" s="294"/>
      <c r="VOM613" s="294"/>
      <c r="VON613" s="294"/>
      <c r="VOO613" s="294"/>
      <c r="VOP613" s="294"/>
      <c r="VOQ613" s="294"/>
      <c r="VOR613" s="294"/>
      <c r="VOS613" s="294"/>
      <c r="VOT613" s="294"/>
      <c r="VOU613" s="294"/>
      <c r="VOV613" s="294"/>
      <c r="VOW613" s="294"/>
      <c r="VOX613" s="294"/>
      <c r="VOY613" s="294"/>
      <c r="VOZ613" s="294"/>
      <c r="VPA613" s="294"/>
      <c r="VPB613" s="294"/>
      <c r="VPC613" s="294"/>
      <c r="VPD613" s="294"/>
      <c r="VPE613" s="294"/>
      <c r="VPF613" s="294"/>
      <c r="VPG613" s="294"/>
      <c r="VPH613" s="294"/>
      <c r="VPI613" s="294"/>
      <c r="VPJ613" s="294"/>
      <c r="VPK613" s="294"/>
      <c r="VPL613" s="294"/>
      <c r="VPM613" s="294"/>
      <c r="VPN613" s="294"/>
      <c r="VPO613" s="294"/>
      <c r="VPP613" s="294"/>
      <c r="VPQ613" s="294"/>
      <c r="VPR613" s="294"/>
      <c r="VPS613" s="294"/>
      <c r="VPT613" s="294"/>
      <c r="VPU613" s="294"/>
      <c r="VPV613" s="294"/>
      <c r="VPW613" s="294"/>
      <c r="VPX613" s="294"/>
      <c r="VPY613" s="294"/>
      <c r="VPZ613" s="294"/>
      <c r="VQA613" s="294"/>
      <c r="VQB613" s="294"/>
      <c r="VQC613" s="294"/>
      <c r="VQD613" s="294"/>
      <c r="VQE613" s="294"/>
      <c r="VQF613" s="294"/>
      <c r="VQG613" s="294"/>
      <c r="VQH613" s="294"/>
      <c r="VQI613" s="294"/>
      <c r="VQJ613" s="294"/>
      <c r="VQK613" s="294"/>
      <c r="VQL613" s="294"/>
      <c r="VQM613" s="294"/>
      <c r="VQN613" s="294"/>
      <c r="VQO613" s="294"/>
      <c r="VQP613" s="294"/>
      <c r="VQQ613" s="294"/>
      <c r="VQR613" s="294"/>
      <c r="VQS613" s="294"/>
      <c r="VQT613" s="294"/>
      <c r="VQU613" s="294"/>
      <c r="VQV613" s="294"/>
      <c r="VQW613" s="294"/>
      <c r="VQX613" s="294"/>
      <c r="VQY613" s="294"/>
      <c r="VQZ613" s="294"/>
      <c r="VRA613" s="294"/>
      <c r="VRB613" s="294"/>
      <c r="VRC613" s="294"/>
      <c r="VRD613" s="294"/>
      <c r="VRE613" s="294"/>
      <c r="VRF613" s="294"/>
      <c r="VRG613" s="294"/>
      <c r="VRH613" s="294"/>
      <c r="VRI613" s="294"/>
      <c r="VRJ613" s="294"/>
      <c r="VRK613" s="294"/>
      <c r="VRL613" s="294"/>
      <c r="VRM613" s="294"/>
      <c r="VRN613" s="294"/>
      <c r="VRO613" s="294"/>
      <c r="VRP613" s="294"/>
      <c r="VRQ613" s="294"/>
      <c r="VRR613" s="294"/>
      <c r="VRS613" s="294"/>
      <c r="VRT613" s="294"/>
      <c r="VRU613" s="294"/>
      <c r="VRV613" s="294"/>
      <c r="VRW613" s="294"/>
      <c r="VRX613" s="294"/>
      <c r="VRY613" s="294"/>
      <c r="VRZ613" s="294"/>
      <c r="VSA613" s="294"/>
      <c r="VSB613" s="294"/>
      <c r="VSC613" s="294"/>
      <c r="VSD613" s="294"/>
      <c r="VSE613" s="294"/>
      <c r="VSF613" s="294"/>
      <c r="VSG613" s="294"/>
      <c r="VSH613" s="294"/>
      <c r="VSI613" s="294"/>
      <c r="VSJ613" s="294"/>
      <c r="VSK613" s="294"/>
      <c r="VSL613" s="294"/>
      <c r="VSM613" s="294"/>
      <c r="VSN613" s="294"/>
      <c r="VSO613" s="294"/>
      <c r="VSP613" s="294"/>
      <c r="VSQ613" s="294"/>
      <c r="VSR613" s="294"/>
      <c r="VSS613" s="294"/>
      <c r="VST613" s="294"/>
      <c r="VSU613" s="294"/>
      <c r="VSV613" s="294"/>
      <c r="VSW613" s="294"/>
      <c r="VSX613" s="294"/>
      <c r="VSY613" s="294"/>
      <c r="VSZ613" s="294"/>
      <c r="VTA613" s="294"/>
      <c r="VTB613" s="294"/>
      <c r="VTC613" s="294"/>
      <c r="VTD613" s="294"/>
      <c r="VTE613" s="294"/>
      <c r="VTF613" s="294"/>
      <c r="VTG613" s="294"/>
      <c r="VTH613" s="294"/>
      <c r="VTI613" s="294"/>
      <c r="VTJ613" s="294"/>
      <c r="VTK613" s="294"/>
      <c r="VTL613" s="294"/>
      <c r="VTM613" s="294"/>
      <c r="VTN613" s="294"/>
      <c r="VTO613" s="294"/>
      <c r="VTP613" s="294"/>
      <c r="VTQ613" s="294"/>
      <c r="VTR613" s="294"/>
      <c r="VTS613" s="294"/>
      <c r="VTT613" s="294"/>
      <c r="VTU613" s="294"/>
      <c r="VTV613" s="294"/>
      <c r="VTW613" s="294"/>
      <c r="VTX613" s="294"/>
      <c r="VTY613" s="294"/>
      <c r="VTZ613" s="294"/>
      <c r="VUA613" s="294"/>
      <c r="VUB613" s="294"/>
      <c r="VUC613" s="294"/>
      <c r="VUD613" s="294"/>
      <c r="VUE613" s="294"/>
      <c r="VUF613" s="294"/>
      <c r="VUG613" s="294"/>
      <c r="VUH613" s="294"/>
      <c r="VUI613" s="294"/>
      <c r="VUJ613" s="294"/>
      <c r="VUK613" s="294"/>
      <c r="VUL613" s="294"/>
      <c r="VUM613" s="294"/>
      <c r="VUN613" s="294"/>
      <c r="VUO613" s="294"/>
      <c r="VUP613" s="294"/>
      <c r="VUQ613" s="294"/>
      <c r="VUR613" s="294"/>
      <c r="VUS613" s="294"/>
      <c r="VUT613" s="294"/>
      <c r="VUU613" s="294"/>
      <c r="VUV613" s="294"/>
      <c r="VUW613" s="294"/>
      <c r="VUX613" s="294"/>
      <c r="VUY613" s="294"/>
      <c r="VUZ613" s="294"/>
      <c r="VVA613" s="294"/>
      <c r="VVB613" s="294"/>
      <c r="VVC613" s="294"/>
      <c r="VVD613" s="294"/>
      <c r="VVE613" s="294"/>
      <c r="VVF613" s="294"/>
      <c r="VVG613" s="294"/>
      <c r="VVH613" s="294"/>
      <c r="VVI613" s="294"/>
      <c r="VVJ613" s="294"/>
      <c r="VVK613" s="294"/>
      <c r="VVL613" s="294"/>
      <c r="VVM613" s="294"/>
      <c r="VVN613" s="294"/>
      <c r="VVO613" s="294"/>
      <c r="VVP613" s="294"/>
      <c r="VVQ613" s="294"/>
      <c r="VVR613" s="294"/>
      <c r="VVS613" s="294"/>
      <c r="VVT613" s="294"/>
      <c r="VVU613" s="294"/>
      <c r="VVV613" s="294"/>
      <c r="VVW613" s="294"/>
      <c r="VVX613" s="294"/>
      <c r="VVY613" s="294"/>
      <c r="VVZ613" s="294"/>
      <c r="VWA613" s="294"/>
      <c r="VWB613" s="294"/>
      <c r="VWC613" s="294"/>
      <c r="VWD613" s="294"/>
      <c r="VWE613" s="294"/>
      <c r="VWF613" s="294"/>
      <c r="VWG613" s="294"/>
      <c r="VWH613" s="294"/>
      <c r="VWI613" s="294"/>
      <c r="VWJ613" s="294"/>
      <c r="VWK613" s="294"/>
      <c r="VWL613" s="294"/>
      <c r="VWM613" s="294"/>
      <c r="VWN613" s="294"/>
      <c r="VWO613" s="294"/>
      <c r="VWP613" s="294"/>
      <c r="VWQ613" s="294"/>
      <c r="VWR613" s="294"/>
      <c r="VWS613" s="294"/>
      <c r="VWT613" s="294"/>
      <c r="VWU613" s="294"/>
      <c r="VWV613" s="294"/>
      <c r="VWW613" s="294"/>
      <c r="VWX613" s="294"/>
      <c r="VWY613" s="294"/>
      <c r="VWZ613" s="294"/>
      <c r="VXA613" s="294"/>
      <c r="VXB613" s="294"/>
      <c r="VXC613" s="294"/>
      <c r="VXD613" s="294"/>
      <c r="VXE613" s="294"/>
      <c r="VXF613" s="294"/>
      <c r="VXG613" s="294"/>
      <c r="VXH613" s="294"/>
      <c r="VXI613" s="294"/>
      <c r="VXJ613" s="294"/>
      <c r="VXK613" s="294"/>
      <c r="VXL613" s="294"/>
      <c r="VXM613" s="294"/>
      <c r="VXN613" s="294"/>
      <c r="VXO613" s="294"/>
      <c r="VXP613" s="294"/>
      <c r="VXQ613" s="294"/>
      <c r="VXR613" s="294"/>
      <c r="VXS613" s="294"/>
      <c r="VXT613" s="294"/>
      <c r="VXU613" s="294"/>
      <c r="VXV613" s="294"/>
      <c r="VXW613" s="294"/>
      <c r="VXX613" s="294"/>
      <c r="VXY613" s="294"/>
      <c r="VXZ613" s="294"/>
      <c r="VYA613" s="294"/>
      <c r="VYB613" s="294"/>
      <c r="VYC613" s="294"/>
      <c r="VYD613" s="294"/>
      <c r="VYE613" s="294"/>
      <c r="VYF613" s="294"/>
      <c r="VYG613" s="294"/>
      <c r="VYH613" s="294"/>
      <c r="VYI613" s="294"/>
      <c r="VYJ613" s="294"/>
      <c r="VYK613" s="294"/>
      <c r="VYL613" s="294"/>
      <c r="VYM613" s="294"/>
      <c r="VYN613" s="294"/>
      <c r="VYO613" s="294"/>
      <c r="VYP613" s="294"/>
      <c r="VYQ613" s="294"/>
      <c r="VYR613" s="294"/>
      <c r="VYS613" s="294"/>
      <c r="VYT613" s="294"/>
      <c r="VYU613" s="294"/>
      <c r="VYV613" s="294"/>
      <c r="VYW613" s="294"/>
      <c r="VYX613" s="294"/>
      <c r="VYY613" s="294"/>
      <c r="VYZ613" s="294"/>
      <c r="VZA613" s="294"/>
      <c r="VZB613" s="294"/>
      <c r="VZC613" s="294"/>
      <c r="VZD613" s="294"/>
      <c r="VZE613" s="294"/>
      <c r="VZF613" s="294"/>
      <c r="VZG613" s="294"/>
      <c r="VZH613" s="294"/>
      <c r="VZI613" s="294"/>
      <c r="VZJ613" s="294"/>
      <c r="VZK613" s="294"/>
      <c r="VZL613" s="294"/>
      <c r="VZM613" s="294"/>
      <c r="VZN613" s="294"/>
      <c r="VZO613" s="294"/>
      <c r="VZP613" s="294"/>
      <c r="VZQ613" s="294"/>
      <c r="VZR613" s="294"/>
      <c r="VZS613" s="294"/>
      <c r="VZT613" s="294"/>
      <c r="VZU613" s="294"/>
      <c r="VZV613" s="294"/>
      <c r="VZW613" s="294"/>
      <c r="VZX613" s="294"/>
      <c r="VZY613" s="294"/>
      <c r="VZZ613" s="294"/>
      <c r="WAA613" s="294"/>
      <c r="WAB613" s="294"/>
      <c r="WAC613" s="294"/>
      <c r="WAD613" s="294"/>
      <c r="WAE613" s="294"/>
      <c r="WAF613" s="294"/>
      <c r="WAG613" s="294"/>
      <c r="WAH613" s="294"/>
      <c r="WAI613" s="294"/>
      <c r="WAJ613" s="294"/>
      <c r="WAK613" s="294"/>
      <c r="WAL613" s="294"/>
      <c r="WAM613" s="294"/>
      <c r="WAN613" s="294"/>
      <c r="WAO613" s="294"/>
      <c r="WAP613" s="294"/>
      <c r="WAQ613" s="294"/>
      <c r="WAR613" s="294"/>
      <c r="WAS613" s="294"/>
      <c r="WAT613" s="294"/>
      <c r="WAU613" s="294"/>
      <c r="WAV613" s="294"/>
      <c r="WAW613" s="294"/>
      <c r="WAX613" s="294"/>
      <c r="WAY613" s="294"/>
      <c r="WAZ613" s="294"/>
      <c r="WBA613" s="294"/>
      <c r="WBB613" s="294"/>
      <c r="WBC613" s="294"/>
      <c r="WBD613" s="294"/>
      <c r="WBE613" s="294"/>
      <c r="WBF613" s="294"/>
      <c r="WBG613" s="294"/>
      <c r="WBH613" s="294"/>
      <c r="WBI613" s="294"/>
      <c r="WBJ613" s="294"/>
      <c r="WBK613" s="294"/>
      <c r="WBL613" s="294"/>
      <c r="WBM613" s="294"/>
      <c r="WBN613" s="294"/>
      <c r="WBO613" s="294"/>
      <c r="WBP613" s="294"/>
      <c r="WBQ613" s="294"/>
      <c r="WBR613" s="294"/>
      <c r="WBS613" s="294"/>
      <c r="WBT613" s="294"/>
      <c r="WBU613" s="294"/>
      <c r="WBV613" s="294"/>
      <c r="WBW613" s="294"/>
      <c r="WBX613" s="294"/>
      <c r="WBY613" s="294"/>
      <c r="WBZ613" s="294"/>
      <c r="WCA613" s="294"/>
      <c r="WCB613" s="294"/>
      <c r="WCC613" s="294"/>
      <c r="WCD613" s="294"/>
      <c r="WCE613" s="294"/>
      <c r="WCF613" s="294"/>
      <c r="WCG613" s="294"/>
      <c r="WCH613" s="294"/>
      <c r="WCI613" s="294"/>
      <c r="WCJ613" s="294"/>
      <c r="WCK613" s="294"/>
      <c r="WCL613" s="294"/>
      <c r="WCM613" s="294"/>
      <c r="WCN613" s="294"/>
      <c r="WCO613" s="294"/>
      <c r="WCP613" s="294"/>
      <c r="WCQ613" s="294"/>
      <c r="WCR613" s="294"/>
      <c r="WCS613" s="294"/>
      <c r="WCT613" s="294"/>
      <c r="WCU613" s="294"/>
      <c r="WCV613" s="294"/>
      <c r="WCW613" s="294"/>
      <c r="WCX613" s="294"/>
      <c r="WCY613" s="294"/>
      <c r="WCZ613" s="294"/>
      <c r="WDA613" s="294"/>
      <c r="WDB613" s="294"/>
      <c r="WDC613" s="294"/>
      <c r="WDD613" s="294"/>
      <c r="WDE613" s="294"/>
      <c r="WDF613" s="294"/>
      <c r="WDG613" s="294"/>
      <c r="WDH613" s="294"/>
      <c r="WDI613" s="294"/>
      <c r="WDJ613" s="294"/>
      <c r="WDK613" s="294"/>
      <c r="WDL613" s="294"/>
      <c r="WDM613" s="294"/>
      <c r="WDN613" s="294"/>
      <c r="WDO613" s="294"/>
      <c r="WDP613" s="294"/>
      <c r="WDQ613" s="294"/>
      <c r="WDR613" s="294"/>
      <c r="WDS613" s="294"/>
      <c r="WDT613" s="294"/>
      <c r="WDU613" s="294"/>
      <c r="WDV613" s="294"/>
      <c r="WDW613" s="294"/>
      <c r="WDX613" s="294"/>
      <c r="WDY613" s="294"/>
      <c r="WDZ613" s="294"/>
      <c r="WEA613" s="294"/>
      <c r="WEB613" s="294"/>
      <c r="WEC613" s="294"/>
      <c r="WED613" s="294"/>
      <c r="WEE613" s="294"/>
      <c r="WEF613" s="294"/>
      <c r="WEG613" s="294"/>
      <c r="WEH613" s="294"/>
      <c r="WEI613" s="294"/>
      <c r="WEJ613" s="294"/>
      <c r="WEK613" s="294"/>
      <c r="WEL613" s="294"/>
      <c r="WEM613" s="294"/>
      <c r="WEN613" s="294"/>
      <c r="WEO613" s="294"/>
      <c r="WEP613" s="294"/>
      <c r="WEQ613" s="294"/>
      <c r="WER613" s="294"/>
      <c r="WES613" s="294"/>
      <c r="WET613" s="294"/>
      <c r="WEU613" s="294"/>
      <c r="WEV613" s="294"/>
      <c r="WEW613" s="294"/>
      <c r="WEX613" s="294"/>
      <c r="WEY613" s="294"/>
      <c r="WEZ613" s="294"/>
      <c r="WFA613" s="294"/>
      <c r="WFB613" s="294"/>
      <c r="WFC613" s="294"/>
      <c r="WFD613" s="294"/>
      <c r="WFE613" s="294"/>
      <c r="WFF613" s="294"/>
      <c r="WFG613" s="294"/>
      <c r="WFH613" s="294"/>
      <c r="WFI613" s="294"/>
      <c r="WFJ613" s="294"/>
      <c r="WFK613" s="294"/>
      <c r="WFL613" s="294"/>
      <c r="WFM613" s="294"/>
      <c r="WFN613" s="294"/>
      <c r="WFO613" s="294"/>
      <c r="WFP613" s="294"/>
      <c r="WFQ613" s="294"/>
      <c r="WFR613" s="294"/>
      <c r="WFS613" s="294"/>
      <c r="WFT613" s="294"/>
      <c r="WFU613" s="294"/>
      <c r="WFV613" s="294"/>
      <c r="WFW613" s="294"/>
      <c r="WFX613" s="294"/>
      <c r="WFY613" s="294"/>
      <c r="WFZ613" s="294"/>
      <c r="WGA613" s="294"/>
      <c r="WGB613" s="294"/>
      <c r="WGC613" s="294"/>
      <c r="WGD613" s="294"/>
      <c r="WGE613" s="294"/>
      <c r="WGF613" s="294"/>
      <c r="WGG613" s="294"/>
      <c r="WGH613" s="294"/>
      <c r="WGI613" s="294"/>
      <c r="WGJ613" s="294"/>
      <c r="WGK613" s="294"/>
      <c r="WGL613" s="294"/>
      <c r="WGM613" s="294"/>
      <c r="WGN613" s="294"/>
      <c r="WGO613" s="294"/>
      <c r="WGP613" s="294"/>
      <c r="WGQ613" s="294"/>
      <c r="WGR613" s="294"/>
      <c r="WGS613" s="294"/>
      <c r="WGT613" s="294"/>
      <c r="WGU613" s="294"/>
      <c r="WGV613" s="294"/>
      <c r="WGW613" s="294"/>
      <c r="WGX613" s="294"/>
      <c r="WGY613" s="294"/>
      <c r="WGZ613" s="294"/>
      <c r="WHA613" s="294"/>
      <c r="WHB613" s="294"/>
      <c r="WHC613" s="294"/>
      <c r="WHD613" s="294"/>
      <c r="WHE613" s="294"/>
      <c r="WHF613" s="294"/>
      <c r="WHG613" s="294"/>
      <c r="WHH613" s="294"/>
      <c r="WHI613" s="294"/>
      <c r="WHJ613" s="294"/>
      <c r="WHK613" s="294"/>
      <c r="WHL613" s="294"/>
      <c r="WHM613" s="294"/>
      <c r="WHN613" s="294"/>
      <c r="WHO613" s="294"/>
      <c r="WHP613" s="294"/>
      <c r="WHQ613" s="294"/>
      <c r="WHR613" s="294"/>
      <c r="WHS613" s="294"/>
      <c r="WHT613" s="294"/>
      <c r="WHU613" s="294"/>
      <c r="WHV613" s="294"/>
      <c r="WHW613" s="294"/>
      <c r="WHX613" s="294"/>
      <c r="WHY613" s="294"/>
      <c r="WHZ613" s="294"/>
      <c r="WIA613" s="294"/>
      <c r="WIB613" s="294"/>
      <c r="WIC613" s="294"/>
      <c r="WID613" s="294"/>
      <c r="WIE613" s="294"/>
      <c r="WIF613" s="294"/>
      <c r="WIG613" s="294"/>
      <c r="WIH613" s="294"/>
      <c r="WII613" s="294"/>
      <c r="WIJ613" s="294"/>
      <c r="WIK613" s="294"/>
      <c r="WIL613" s="294"/>
      <c r="WIM613" s="294"/>
      <c r="WIN613" s="294"/>
      <c r="WIO613" s="294"/>
      <c r="WIP613" s="294"/>
      <c r="WIQ613" s="294"/>
      <c r="WIR613" s="294"/>
      <c r="WIS613" s="294"/>
      <c r="WIT613" s="294"/>
      <c r="WIU613" s="294"/>
      <c r="WIV613" s="294"/>
      <c r="WIW613" s="294"/>
      <c r="WIX613" s="294"/>
      <c r="WIY613" s="294"/>
      <c r="WIZ613" s="294"/>
      <c r="WJA613" s="294"/>
      <c r="WJB613" s="294"/>
      <c r="WJC613" s="294"/>
      <c r="WJD613" s="294"/>
      <c r="WJE613" s="294"/>
      <c r="WJF613" s="294"/>
      <c r="WJG613" s="294"/>
      <c r="WJH613" s="294"/>
      <c r="WJI613" s="294"/>
      <c r="WJJ613" s="294"/>
      <c r="WJK613" s="294"/>
      <c r="WJL613" s="294"/>
      <c r="WJM613" s="294"/>
      <c r="WJN613" s="294"/>
      <c r="WJO613" s="294"/>
      <c r="WJP613" s="294"/>
      <c r="WJQ613" s="294"/>
      <c r="WJR613" s="294"/>
      <c r="WJS613" s="294"/>
      <c r="WJT613" s="294"/>
      <c r="WJU613" s="294"/>
      <c r="WJV613" s="294"/>
      <c r="WJW613" s="294"/>
      <c r="WJX613" s="294"/>
      <c r="WJY613" s="294"/>
      <c r="WJZ613" s="294"/>
      <c r="WKA613" s="294"/>
      <c r="WKB613" s="294"/>
      <c r="WKC613" s="294"/>
      <c r="WKD613" s="294"/>
      <c r="WKE613" s="294"/>
      <c r="WKF613" s="294"/>
      <c r="WKG613" s="294"/>
      <c r="WKH613" s="294"/>
      <c r="WKI613" s="294"/>
      <c r="WKJ613" s="294"/>
      <c r="WKK613" s="294"/>
      <c r="WKL613" s="294"/>
      <c r="WKM613" s="294"/>
      <c r="WKN613" s="294"/>
      <c r="WKO613" s="294"/>
      <c r="WKP613" s="294"/>
      <c r="WKQ613" s="294"/>
      <c r="WKR613" s="294"/>
      <c r="WKS613" s="294"/>
      <c r="WKT613" s="294"/>
      <c r="WKU613" s="294"/>
      <c r="WKV613" s="294"/>
      <c r="WKW613" s="294"/>
      <c r="WKX613" s="294"/>
      <c r="WKY613" s="294"/>
      <c r="WKZ613" s="294"/>
      <c r="WLA613" s="294"/>
      <c r="WLB613" s="294"/>
      <c r="WLC613" s="294"/>
      <c r="WLD613" s="294"/>
      <c r="WLE613" s="294"/>
      <c r="WLF613" s="294"/>
      <c r="WLG613" s="294"/>
      <c r="WLH613" s="294"/>
      <c r="WLI613" s="294"/>
      <c r="WLJ613" s="294"/>
      <c r="WLK613" s="294"/>
      <c r="WLL613" s="294"/>
      <c r="WLM613" s="294"/>
      <c r="WLN613" s="294"/>
      <c r="WLO613" s="294"/>
      <c r="WLP613" s="294"/>
      <c r="WLQ613" s="294"/>
      <c r="WLR613" s="294"/>
      <c r="WLS613" s="294"/>
      <c r="WLT613" s="294"/>
      <c r="WLU613" s="294"/>
      <c r="WLV613" s="294"/>
      <c r="WLW613" s="294"/>
      <c r="WLX613" s="294"/>
      <c r="WLY613" s="294"/>
      <c r="WLZ613" s="294"/>
      <c r="WMA613" s="294"/>
      <c r="WMB613" s="294"/>
      <c r="WMC613" s="294"/>
      <c r="WMD613" s="294"/>
      <c r="WME613" s="294"/>
      <c r="WMF613" s="294"/>
      <c r="WMG613" s="294"/>
      <c r="WMH613" s="294"/>
      <c r="WMI613" s="294"/>
      <c r="WMJ613" s="294"/>
      <c r="WMK613" s="294"/>
      <c r="WML613" s="294"/>
      <c r="WMM613" s="294"/>
      <c r="WMN613" s="294"/>
      <c r="WMO613" s="294"/>
      <c r="WMP613" s="294"/>
      <c r="WMQ613" s="294"/>
      <c r="WMR613" s="294"/>
      <c r="WMS613" s="294"/>
      <c r="WMT613" s="294"/>
      <c r="WMU613" s="294"/>
      <c r="WMV613" s="294"/>
      <c r="WMW613" s="294"/>
      <c r="WMX613" s="294"/>
      <c r="WMY613" s="294"/>
      <c r="WMZ613" s="294"/>
      <c r="WNA613" s="294"/>
      <c r="WNB613" s="294"/>
      <c r="WNC613" s="294"/>
      <c r="WND613" s="294"/>
      <c r="WNE613" s="294"/>
      <c r="WNF613" s="294"/>
      <c r="WNG613" s="294"/>
      <c r="WNH613" s="294"/>
      <c r="WNI613" s="294"/>
      <c r="WNJ613" s="294"/>
      <c r="WNK613" s="294"/>
      <c r="WNL613" s="294"/>
      <c r="WNM613" s="294"/>
      <c r="WNN613" s="294"/>
      <c r="WNO613" s="294"/>
      <c r="WNP613" s="294"/>
      <c r="WNQ613" s="294"/>
      <c r="WNR613" s="294"/>
      <c r="WNS613" s="294"/>
      <c r="WNT613" s="294"/>
      <c r="WNU613" s="294"/>
      <c r="WNV613" s="294"/>
      <c r="WNW613" s="294"/>
      <c r="WNX613" s="294"/>
      <c r="WNY613" s="294"/>
      <c r="WNZ613" s="294"/>
      <c r="WOA613" s="294"/>
      <c r="WOB613" s="294"/>
      <c r="WOC613" s="294"/>
      <c r="WOD613" s="294"/>
      <c r="WOE613" s="294"/>
      <c r="WOF613" s="294"/>
      <c r="WOG613" s="294"/>
      <c r="WOH613" s="294"/>
      <c r="WOI613" s="294"/>
      <c r="WOJ613" s="294"/>
      <c r="WOK613" s="294"/>
      <c r="WOL613" s="294"/>
      <c r="WOM613" s="294"/>
      <c r="WON613" s="294"/>
      <c r="WOO613" s="294"/>
      <c r="WOP613" s="294"/>
      <c r="WOQ613" s="294"/>
      <c r="WOR613" s="294"/>
      <c r="WOS613" s="294"/>
      <c r="WOT613" s="294"/>
      <c r="WOU613" s="294"/>
      <c r="WOV613" s="294"/>
      <c r="WOW613" s="294"/>
      <c r="WOX613" s="294"/>
      <c r="WOY613" s="294"/>
      <c r="WOZ613" s="294"/>
      <c r="WPA613" s="294"/>
      <c r="WPB613" s="294"/>
      <c r="WPC613" s="294"/>
      <c r="WPD613" s="294"/>
      <c r="WPE613" s="294"/>
      <c r="WPF613" s="294"/>
      <c r="WPG613" s="294"/>
      <c r="WPH613" s="294"/>
      <c r="WPI613" s="294"/>
      <c r="WPJ613" s="294"/>
      <c r="WPK613" s="294"/>
      <c r="WPL613" s="294"/>
      <c r="WPM613" s="294"/>
      <c r="WPN613" s="294"/>
      <c r="WPO613" s="294"/>
      <c r="WPP613" s="294"/>
      <c r="WPQ613" s="294"/>
      <c r="WPR613" s="294"/>
      <c r="WPS613" s="294"/>
      <c r="WPT613" s="294"/>
      <c r="WPU613" s="294"/>
      <c r="WPV613" s="294"/>
      <c r="WPW613" s="294"/>
      <c r="WPX613" s="294"/>
      <c r="WPY613" s="294"/>
      <c r="WPZ613" s="294"/>
      <c r="WQA613" s="294"/>
      <c r="WQB613" s="294"/>
      <c r="WQC613" s="294"/>
      <c r="WQD613" s="294"/>
      <c r="WQE613" s="294"/>
      <c r="WQF613" s="294"/>
      <c r="WQG613" s="294"/>
      <c r="WQH613" s="294"/>
      <c r="WQI613" s="294"/>
      <c r="WQJ613" s="294"/>
      <c r="WQK613" s="294"/>
      <c r="WQL613" s="294"/>
      <c r="WQM613" s="294"/>
      <c r="WQN613" s="294"/>
      <c r="WQO613" s="294"/>
      <c r="WQP613" s="294"/>
      <c r="WQQ613" s="294"/>
      <c r="WQR613" s="294"/>
      <c r="WQS613" s="294"/>
      <c r="WQT613" s="294"/>
      <c r="WQU613" s="294"/>
      <c r="WQV613" s="294"/>
      <c r="WQW613" s="294"/>
      <c r="WQX613" s="294"/>
      <c r="WQY613" s="294"/>
      <c r="WQZ613" s="294"/>
      <c r="WRA613" s="294"/>
      <c r="WRB613" s="294"/>
      <c r="WRC613" s="294"/>
      <c r="WRD613" s="294"/>
      <c r="WRE613" s="294"/>
      <c r="WRF613" s="294"/>
      <c r="WRG613" s="294"/>
      <c r="WRH613" s="294"/>
      <c r="WRI613" s="294"/>
      <c r="WRJ613" s="294"/>
      <c r="WRK613" s="294"/>
      <c r="WRL613" s="294"/>
      <c r="WRM613" s="294"/>
      <c r="WRN613" s="294"/>
      <c r="WRO613" s="294"/>
      <c r="WRP613" s="294"/>
      <c r="WRQ613" s="294"/>
      <c r="WRR613" s="294"/>
      <c r="WRS613" s="294"/>
      <c r="WRT613" s="294"/>
      <c r="WRU613" s="294"/>
      <c r="WRV613" s="294"/>
      <c r="WRW613" s="294"/>
      <c r="WRX613" s="294"/>
      <c r="WRY613" s="294"/>
      <c r="WRZ613" s="294"/>
      <c r="WSA613" s="294"/>
      <c r="WSB613" s="294"/>
      <c r="WSC613" s="294"/>
      <c r="WSD613" s="294"/>
      <c r="WSE613" s="294"/>
      <c r="WSF613" s="294"/>
      <c r="WSG613" s="294"/>
      <c r="WSH613" s="294"/>
      <c r="WSI613" s="294"/>
      <c r="WSJ613" s="294"/>
      <c r="WSK613" s="294"/>
      <c r="WSL613" s="294"/>
      <c r="WSM613" s="294"/>
      <c r="WSN613" s="294"/>
      <c r="WSO613" s="294"/>
      <c r="WSP613" s="294"/>
      <c r="WSQ613" s="294"/>
      <c r="WSR613" s="294"/>
      <c r="WSS613" s="294"/>
      <c r="WST613" s="294"/>
      <c r="WSU613" s="294"/>
      <c r="WSV613" s="294"/>
      <c r="WSW613" s="294"/>
      <c r="WSX613" s="294"/>
      <c r="WSY613" s="294"/>
      <c r="WSZ613" s="294"/>
      <c r="WTA613" s="294"/>
      <c r="WTB613" s="294"/>
      <c r="WTC613" s="294"/>
      <c r="WTD613" s="294"/>
      <c r="WTE613" s="294"/>
      <c r="WTF613" s="294"/>
      <c r="WTG613" s="294"/>
      <c r="WTH613" s="294"/>
      <c r="WTI613" s="294"/>
      <c r="WTJ613" s="294"/>
      <c r="WTK613" s="294"/>
      <c r="WTL613" s="294"/>
      <c r="WTM613" s="294"/>
      <c r="WTN613" s="294"/>
      <c r="WTO613" s="294"/>
      <c r="WTP613" s="294"/>
      <c r="WTQ613" s="294"/>
      <c r="WTR613" s="294"/>
      <c r="WTS613" s="294"/>
      <c r="WTT613" s="294"/>
      <c r="WTU613" s="294"/>
      <c r="WTV613" s="294"/>
      <c r="WTW613" s="294"/>
      <c r="WTX613" s="294"/>
      <c r="WTY613" s="294"/>
      <c r="WTZ613" s="294"/>
      <c r="WUA613" s="294"/>
      <c r="WUB613" s="294"/>
      <c r="WUC613" s="294"/>
      <c r="WUD613" s="294"/>
      <c r="WUE613" s="294"/>
      <c r="WUF613" s="294"/>
      <c r="WUG613" s="294"/>
      <c r="WUH613" s="294"/>
      <c r="WUI613" s="294"/>
      <c r="WUJ613" s="294"/>
      <c r="WUK613" s="294"/>
      <c r="WUL613" s="294"/>
      <c r="WUM613" s="294"/>
      <c r="WUN613" s="294"/>
      <c r="WUO613" s="294"/>
      <c r="WUP613" s="294"/>
      <c r="WUQ613" s="294"/>
      <c r="WUR613" s="294"/>
      <c r="WUS613" s="294"/>
      <c r="WUT613" s="294"/>
      <c r="WUU613" s="294"/>
      <c r="WUV613" s="294"/>
      <c r="WUW613" s="294"/>
      <c r="WUX613" s="294"/>
      <c r="WUY613" s="294"/>
      <c r="WUZ613" s="294"/>
      <c r="WVA613" s="294"/>
      <c r="WVB613" s="294"/>
      <c r="WVC613" s="294"/>
      <c r="WVD613" s="294"/>
      <c r="WVE613" s="294"/>
      <c r="WVF613" s="294"/>
      <c r="WVG613" s="294"/>
      <c r="WVH613" s="294"/>
      <c r="WVI613" s="294"/>
      <c r="WVJ613" s="294"/>
      <c r="WVK613" s="294"/>
      <c r="WVL613" s="294"/>
      <c r="WVM613" s="294"/>
      <c r="WVN613" s="294"/>
      <c r="WVO613" s="294"/>
      <c r="WVP613" s="294"/>
      <c r="WVQ613" s="294"/>
      <c r="WVR613" s="294"/>
      <c r="WVS613" s="294"/>
      <c r="WVT613" s="294"/>
      <c r="WVU613" s="294"/>
      <c r="WVV613" s="294"/>
      <c r="WVW613" s="294"/>
      <c r="WVX613" s="294"/>
      <c r="WVY613" s="294"/>
      <c r="WVZ613" s="294"/>
      <c r="WWA613" s="294"/>
      <c r="WWB613" s="294"/>
      <c r="WWC613" s="294"/>
      <c r="WWD613" s="294"/>
      <c r="WWE613" s="294"/>
      <c r="WWF613" s="294"/>
      <c r="WWG613" s="294"/>
      <c r="WWH613" s="294"/>
      <c r="WWI613" s="294"/>
      <c r="WWJ613" s="294"/>
      <c r="WWK613" s="294"/>
      <c r="WWL613" s="294"/>
      <c r="WWM613" s="294"/>
      <c r="WWN613" s="294"/>
      <c r="WWO613" s="294"/>
      <c r="WWP613" s="294"/>
      <c r="WWQ613" s="294"/>
      <c r="WWR613" s="294"/>
      <c r="WWS613" s="294"/>
      <c r="WWT613" s="294"/>
      <c r="WWU613" s="294"/>
      <c r="WWV613" s="294"/>
      <c r="WWW613" s="294"/>
      <c r="WWX613" s="294"/>
      <c r="WWY613" s="294"/>
      <c r="WWZ613" s="294"/>
      <c r="WXA613" s="294"/>
      <c r="WXB613" s="294"/>
      <c r="WXC613" s="294"/>
      <c r="WXD613" s="294"/>
      <c r="WXE613" s="294"/>
      <c r="WXF613" s="294"/>
      <c r="WXG613" s="294"/>
      <c r="WXH613" s="294"/>
      <c r="WXI613" s="294"/>
      <c r="WXJ613" s="294"/>
      <c r="WXK613" s="294"/>
      <c r="WXL613" s="294"/>
      <c r="WXM613" s="294"/>
      <c r="WXN613" s="294"/>
      <c r="WXO613" s="294"/>
      <c r="WXP613" s="294"/>
      <c r="WXQ613" s="294"/>
      <c r="WXR613" s="294"/>
      <c r="WXS613" s="294"/>
      <c r="WXT613" s="294"/>
      <c r="WXU613" s="294"/>
      <c r="WXV613" s="294"/>
      <c r="WXW613" s="294"/>
      <c r="WXX613" s="294"/>
      <c r="WXY613" s="294"/>
      <c r="WXZ613" s="294"/>
      <c r="WYA613" s="294"/>
      <c r="WYB613" s="294"/>
      <c r="WYC613" s="294"/>
      <c r="WYD613" s="294"/>
      <c r="WYE613" s="294"/>
      <c r="WYF613" s="294"/>
      <c r="WYG613" s="294"/>
      <c r="WYH613" s="294"/>
      <c r="WYI613" s="294"/>
      <c r="WYJ613" s="294"/>
      <c r="WYK613" s="294"/>
      <c r="WYL613" s="294"/>
      <c r="WYM613" s="294"/>
      <c r="WYN613" s="294"/>
      <c r="WYO613" s="294"/>
      <c r="WYP613" s="294"/>
      <c r="WYQ613" s="294"/>
      <c r="WYR613" s="294"/>
      <c r="WYS613" s="294"/>
      <c r="WYT613" s="294"/>
      <c r="WYU613" s="294"/>
      <c r="WYV613" s="294"/>
      <c r="WYW613" s="294"/>
      <c r="WYX613" s="294"/>
      <c r="WYY613" s="294"/>
      <c r="WYZ613" s="294"/>
      <c r="WZA613" s="294"/>
      <c r="WZB613" s="294"/>
      <c r="WZC613" s="294"/>
      <c r="WZD613" s="294"/>
      <c r="WZE613" s="294"/>
      <c r="WZF613" s="294"/>
      <c r="WZG613" s="294"/>
      <c r="WZH613" s="294"/>
      <c r="WZI613" s="294"/>
      <c r="WZJ613" s="294"/>
      <c r="WZK613" s="294"/>
      <c r="WZL613" s="294"/>
      <c r="WZM613" s="294"/>
      <c r="WZN613" s="294"/>
      <c r="WZO613" s="294"/>
      <c r="WZP613" s="294"/>
      <c r="WZQ613" s="294"/>
      <c r="WZR613" s="294"/>
      <c r="WZS613" s="294"/>
      <c r="WZT613" s="294"/>
      <c r="WZU613" s="294"/>
      <c r="WZV613" s="294"/>
      <c r="WZW613" s="294"/>
      <c r="WZX613" s="294"/>
      <c r="WZY613" s="294"/>
      <c r="WZZ613" s="294"/>
      <c r="XAA613" s="294"/>
      <c r="XAB613" s="294"/>
      <c r="XAC613" s="294"/>
      <c r="XAD613" s="294"/>
      <c r="XAE613" s="294"/>
      <c r="XAF613" s="294"/>
      <c r="XAG613" s="294"/>
      <c r="XAH613" s="294"/>
      <c r="XAI613" s="294"/>
      <c r="XAJ613" s="294"/>
      <c r="XAK613" s="294"/>
      <c r="XAL613" s="294"/>
      <c r="XAM613" s="294"/>
      <c r="XAN613" s="294"/>
      <c r="XAO613" s="294"/>
      <c r="XAP613" s="294"/>
      <c r="XAQ613" s="294"/>
      <c r="XAR613" s="294"/>
      <c r="XAS613" s="294"/>
      <c r="XAT613" s="294"/>
      <c r="XAU613" s="294"/>
      <c r="XAV613" s="294"/>
      <c r="XAW613" s="294"/>
      <c r="XAX613" s="294"/>
      <c r="XAY613" s="294"/>
      <c r="XAZ613" s="294"/>
      <c r="XBA613" s="294"/>
      <c r="XBB613" s="294"/>
      <c r="XBC613" s="294"/>
      <c r="XBD613" s="294"/>
      <c r="XBE613" s="294"/>
      <c r="XBF613" s="294"/>
      <c r="XBG613" s="294"/>
      <c r="XBH613" s="294"/>
      <c r="XBI613" s="294"/>
      <c r="XBJ613" s="294"/>
      <c r="XBK613" s="294"/>
      <c r="XBL613" s="294"/>
      <c r="XBM613" s="294"/>
      <c r="XBN613" s="294"/>
      <c r="XBO613" s="294"/>
      <c r="XBP613" s="294"/>
      <c r="XBQ613" s="294"/>
      <c r="XBR613" s="294"/>
      <c r="XBS613" s="294"/>
      <c r="XBT613" s="294"/>
      <c r="XBU613" s="294"/>
      <c r="XBV613" s="294"/>
      <c r="XBW613" s="294"/>
      <c r="XBX613" s="294"/>
      <c r="XBY613" s="294"/>
      <c r="XBZ613" s="294"/>
      <c r="XCA613" s="294"/>
      <c r="XCB613" s="294"/>
      <c r="XCC613" s="294"/>
      <c r="XCD613" s="294"/>
      <c r="XCE613" s="294"/>
      <c r="XCF613" s="294"/>
      <c r="XCG613" s="294"/>
      <c r="XCH613" s="294"/>
      <c r="XCI613" s="294"/>
      <c r="XCJ613" s="294"/>
      <c r="XCK613" s="294"/>
      <c r="XCL613" s="294"/>
      <c r="XCM613" s="294"/>
      <c r="XCN613" s="294"/>
      <c r="XCO613" s="294"/>
      <c r="XCP613" s="294"/>
      <c r="XCQ613" s="294"/>
      <c r="XCR613" s="294"/>
      <c r="XCS613" s="294"/>
      <c r="XCT613" s="294"/>
      <c r="XCU613" s="294"/>
      <c r="XCV613" s="294"/>
      <c r="XCW613" s="294"/>
      <c r="XCX613" s="294"/>
      <c r="XCY613" s="294"/>
      <c r="XCZ613" s="294"/>
      <c r="XDA613" s="294"/>
      <c r="XDB613" s="294"/>
      <c r="XDC613" s="294"/>
      <c r="XDD613" s="294"/>
      <c r="XDE613" s="294"/>
      <c r="XDF613" s="294"/>
      <c r="XDG613" s="294"/>
      <c r="XDH613" s="294"/>
      <c r="XDI613" s="294"/>
      <c r="XDJ613" s="294"/>
      <c r="XDK613" s="294"/>
      <c r="XDL613" s="294"/>
      <c r="XDM613" s="294"/>
      <c r="XDN613" s="294"/>
      <c r="XDO613" s="294"/>
      <c r="XDP613" s="294"/>
      <c r="XDQ613" s="294"/>
      <c r="XDR613" s="294"/>
      <c r="XDS613" s="294"/>
      <c r="XDT613" s="294"/>
      <c r="XDU613" s="294"/>
      <c r="XDV613" s="294"/>
      <c r="XDW613" s="294"/>
      <c r="XDX613" s="294"/>
      <c r="XDY613" s="294"/>
      <c r="XDZ613" s="294"/>
      <c r="XEA613" s="294"/>
      <c r="XEB613" s="294"/>
      <c r="XEC613" s="294"/>
      <c r="XED613" s="294"/>
      <c r="XEE613" s="294"/>
      <c r="XEF613" s="294"/>
      <c r="XEG613" s="294"/>
      <c r="XEH613" s="294"/>
      <c r="XEI613" s="294"/>
      <c r="XEJ613" s="294"/>
      <c r="XEK613" s="294"/>
      <c r="XEL613" s="294"/>
      <c r="XEM613" s="294"/>
      <c r="XEN613" s="294"/>
      <c r="XEO613" s="294"/>
      <c r="XEP613" s="294"/>
      <c r="XEQ613" s="294"/>
      <c r="XER613" s="294"/>
      <c r="XES613" s="294"/>
      <c r="XET613" s="294"/>
      <c r="XEU613" s="294"/>
      <c r="XEV613" s="294"/>
      <c r="XEW613" s="294"/>
      <c r="XEX613" s="294"/>
      <c r="XEY613" s="294"/>
      <c r="XEZ613" s="294"/>
      <c r="XFA613" s="294"/>
      <c r="XFB613" s="294"/>
      <c r="XFC613" s="294"/>
      <c r="XFD613" s="294"/>
    </row>
    <row r="614" spans="1:16384" s="295" customFormat="1" ht="30">
      <c r="A614" s="140" t="s">
        <v>6</v>
      </c>
      <c r="B614" s="129">
        <v>612</v>
      </c>
      <c r="C614" s="141" t="s">
        <v>1747</v>
      </c>
      <c r="D614" s="242" t="s">
        <v>3118</v>
      </c>
      <c r="E614" s="141" t="s">
        <v>2595</v>
      </c>
      <c r="F614" s="141" t="s">
        <v>2594</v>
      </c>
      <c r="G614" s="242" t="s">
        <v>1840</v>
      </c>
      <c r="H614" s="242" t="s">
        <v>2593</v>
      </c>
      <c r="I614" s="242" t="s">
        <v>2592</v>
      </c>
      <c r="J614" s="242" t="s">
        <v>935</v>
      </c>
      <c r="K614" s="242" t="s">
        <v>192</v>
      </c>
      <c r="L614" s="242" t="s">
        <v>198</v>
      </c>
      <c r="M614" s="242" t="s">
        <v>1840</v>
      </c>
      <c r="N614" s="242">
        <v>100</v>
      </c>
      <c r="O614" s="242">
        <v>30</v>
      </c>
      <c r="P614" s="242" t="s">
        <v>1840</v>
      </c>
      <c r="Q614" s="242">
        <v>8</v>
      </c>
      <c r="R614" s="242">
        <v>2</v>
      </c>
      <c r="S614" s="242">
        <v>2</v>
      </c>
      <c r="T614" s="242">
        <v>1</v>
      </c>
      <c r="U614" s="141" t="s">
        <v>2591</v>
      </c>
      <c r="V614" s="141" t="s">
        <v>803</v>
      </c>
      <c r="W614" s="242">
        <v>200</v>
      </c>
      <c r="X614" s="242" t="s">
        <v>1840</v>
      </c>
      <c r="Y614" s="242" t="s">
        <v>339</v>
      </c>
      <c r="Z614" s="242" t="s">
        <v>339</v>
      </c>
      <c r="AA614" s="242">
        <v>1</v>
      </c>
      <c r="AB614" s="242">
        <v>1</v>
      </c>
      <c r="AC614" s="242" t="s">
        <v>1840</v>
      </c>
      <c r="AD614" s="242">
        <v>1</v>
      </c>
      <c r="AE614" s="242" t="s">
        <v>1840</v>
      </c>
      <c r="AF614" s="242">
        <v>0</v>
      </c>
      <c r="AG614" s="242">
        <v>0</v>
      </c>
      <c r="AH614" s="242">
        <v>1</v>
      </c>
      <c r="AI614" s="242" t="s">
        <v>198</v>
      </c>
      <c r="AJ614" s="290" t="s">
        <v>2590</v>
      </c>
      <c r="AK614" s="242" t="s">
        <v>1940</v>
      </c>
      <c r="AL614" s="290" t="s">
        <v>1941</v>
      </c>
      <c r="AM614" s="242"/>
      <c r="AN614" s="291" t="s">
        <v>1942</v>
      </c>
      <c r="AO614" s="291"/>
      <c r="AP614" s="291"/>
      <c r="AQ614" s="291"/>
      <c r="AR614" s="291"/>
      <c r="AS614" s="292"/>
      <c r="AT614" s="291"/>
      <c r="AU614" s="291"/>
      <c r="AV614" s="291"/>
      <c r="AW614" s="292"/>
      <c r="AX614" s="293"/>
      <c r="AY614" s="294"/>
      <c r="AZ614" s="294"/>
      <c r="BA614" s="294"/>
      <c r="BB614" s="294"/>
      <c r="BC614" s="294"/>
      <c r="BD614" s="294"/>
      <c r="BE614" s="294"/>
      <c r="BF614" s="294"/>
      <c r="BG614" s="294"/>
      <c r="BH614" s="294"/>
      <c r="BI614" s="294"/>
      <c r="BJ614" s="294"/>
      <c r="BK614" s="294"/>
      <c r="BL614" s="294"/>
      <c r="BM614" s="294"/>
      <c r="BN614" s="294"/>
      <c r="BO614" s="294"/>
      <c r="BP614" s="294"/>
      <c r="BQ614" s="294"/>
      <c r="BR614" s="294"/>
      <c r="BS614" s="294"/>
      <c r="BT614" s="294"/>
      <c r="BU614" s="294"/>
      <c r="BV614" s="294"/>
      <c r="BW614" s="294"/>
      <c r="BX614" s="294"/>
      <c r="BY614" s="294"/>
      <c r="BZ614" s="294"/>
      <c r="CA614" s="294"/>
      <c r="CB614" s="294"/>
      <c r="CC614" s="294"/>
      <c r="CD614" s="294"/>
      <c r="CE614" s="294"/>
      <c r="CF614" s="294"/>
      <c r="CG614" s="294"/>
      <c r="CH614" s="294"/>
      <c r="CI614" s="294"/>
      <c r="CJ614" s="294"/>
      <c r="CK614" s="294"/>
      <c r="CL614" s="294"/>
      <c r="CM614" s="294"/>
      <c r="CN614" s="294"/>
      <c r="CO614" s="294"/>
      <c r="CP614" s="294"/>
      <c r="CQ614" s="294"/>
      <c r="CR614" s="294"/>
      <c r="CS614" s="294"/>
      <c r="CT614" s="294"/>
      <c r="CU614" s="294"/>
      <c r="CV614" s="294"/>
      <c r="CW614" s="294"/>
      <c r="CX614" s="294"/>
      <c r="CY614" s="294"/>
      <c r="CZ614" s="294"/>
      <c r="DA614" s="294"/>
      <c r="DB614" s="294"/>
      <c r="DC614" s="294"/>
      <c r="DD614" s="294"/>
      <c r="DE614" s="294"/>
      <c r="DF614" s="294"/>
      <c r="DG614" s="294"/>
      <c r="DH614" s="294"/>
      <c r="DI614" s="294"/>
      <c r="DJ614" s="294"/>
      <c r="DK614" s="294"/>
      <c r="DL614" s="294"/>
      <c r="DM614" s="294"/>
      <c r="DN614" s="294"/>
      <c r="DO614" s="294"/>
      <c r="DP614" s="294"/>
      <c r="DQ614" s="294"/>
      <c r="DR614" s="294"/>
      <c r="DS614" s="294"/>
      <c r="DT614" s="294"/>
      <c r="DU614" s="294"/>
      <c r="DV614" s="294"/>
      <c r="DW614" s="294"/>
      <c r="DX614" s="294"/>
      <c r="DY614" s="294"/>
      <c r="DZ614" s="294"/>
      <c r="EA614" s="294"/>
      <c r="EB614" s="294"/>
      <c r="EC614" s="294"/>
      <c r="ED614" s="294"/>
      <c r="EE614" s="294"/>
      <c r="EF614" s="294"/>
      <c r="EG614" s="294"/>
      <c r="EH614" s="294"/>
      <c r="EI614" s="294"/>
      <c r="EJ614" s="294"/>
      <c r="EK614" s="294"/>
      <c r="EL614" s="294"/>
      <c r="EM614" s="294"/>
      <c r="EN614" s="294"/>
      <c r="EO614" s="294"/>
      <c r="EP614" s="294"/>
      <c r="EQ614" s="294"/>
      <c r="ER614" s="294"/>
      <c r="ES614" s="294"/>
      <c r="ET614" s="294"/>
      <c r="EU614" s="294"/>
      <c r="EV614" s="294"/>
      <c r="EW614" s="294"/>
      <c r="EX614" s="294"/>
      <c r="EY614" s="294"/>
      <c r="EZ614" s="294"/>
      <c r="FA614" s="294"/>
      <c r="FB614" s="294"/>
      <c r="FC614" s="294"/>
      <c r="FD614" s="294"/>
      <c r="FE614" s="294"/>
      <c r="FF614" s="294"/>
      <c r="FG614" s="294"/>
      <c r="FH614" s="294"/>
      <c r="FI614" s="294"/>
      <c r="FJ614" s="294"/>
      <c r="FK614" s="294"/>
      <c r="FL614" s="294"/>
      <c r="FM614" s="294"/>
      <c r="FN614" s="294"/>
      <c r="FO614" s="294"/>
      <c r="FP614" s="294"/>
      <c r="FQ614" s="294"/>
      <c r="FR614" s="294"/>
      <c r="FS614" s="294"/>
      <c r="FT614" s="294"/>
      <c r="FU614" s="294"/>
      <c r="FV614" s="294"/>
      <c r="FW614" s="294"/>
      <c r="FX614" s="294"/>
      <c r="FY614" s="294"/>
      <c r="FZ614" s="294"/>
      <c r="GA614" s="294"/>
      <c r="GB614" s="294"/>
      <c r="GC614" s="294"/>
      <c r="GD614" s="294"/>
      <c r="GE614" s="294"/>
      <c r="GF614" s="294"/>
      <c r="GG614" s="294"/>
      <c r="GH614" s="294"/>
      <c r="GI614" s="294"/>
      <c r="GJ614" s="294"/>
      <c r="GK614" s="294"/>
      <c r="GL614" s="294"/>
      <c r="GM614" s="294"/>
      <c r="GN614" s="294"/>
      <c r="GO614" s="294"/>
      <c r="GP614" s="294"/>
      <c r="GQ614" s="294"/>
      <c r="GR614" s="294"/>
      <c r="GS614" s="294"/>
      <c r="GT614" s="294"/>
      <c r="GU614" s="294"/>
      <c r="GV614" s="294"/>
      <c r="GW614" s="294"/>
      <c r="GX614" s="294"/>
      <c r="GY614" s="294"/>
      <c r="GZ614" s="294"/>
      <c r="HA614" s="294"/>
      <c r="HB614" s="294"/>
      <c r="HC614" s="294"/>
      <c r="HD614" s="294"/>
      <c r="HE614" s="294"/>
      <c r="HF614" s="294"/>
      <c r="HG614" s="294"/>
      <c r="HH614" s="294"/>
      <c r="HI614" s="294"/>
      <c r="HJ614" s="294"/>
      <c r="HK614" s="294"/>
      <c r="HL614" s="294"/>
      <c r="HM614" s="294"/>
      <c r="HN614" s="294"/>
      <c r="HO614" s="294"/>
      <c r="HP614" s="294"/>
      <c r="HQ614" s="294"/>
      <c r="HR614" s="294"/>
      <c r="HS614" s="294"/>
      <c r="HT614" s="294"/>
      <c r="HU614" s="294"/>
      <c r="HV614" s="294"/>
      <c r="HW614" s="294"/>
      <c r="HX614" s="294"/>
      <c r="HY614" s="294"/>
      <c r="HZ614" s="294"/>
      <c r="IA614" s="294"/>
      <c r="IB614" s="294"/>
      <c r="IC614" s="294"/>
      <c r="ID614" s="294"/>
      <c r="IE614" s="294"/>
      <c r="IF614" s="294"/>
      <c r="IG614" s="294"/>
      <c r="IH614" s="294"/>
      <c r="II614" s="294"/>
      <c r="IJ614" s="294"/>
      <c r="IK614" s="294"/>
      <c r="IL614" s="294"/>
      <c r="IM614" s="294"/>
      <c r="IN614" s="294"/>
      <c r="IO614" s="294"/>
      <c r="IP614" s="294"/>
      <c r="IQ614" s="294"/>
      <c r="IR614" s="294"/>
      <c r="IS614" s="294"/>
      <c r="IT614" s="294"/>
      <c r="IU614" s="294"/>
      <c r="IV614" s="294"/>
      <c r="IW614" s="294"/>
      <c r="IX614" s="294"/>
      <c r="IY614" s="294"/>
      <c r="IZ614" s="294"/>
      <c r="JA614" s="294"/>
      <c r="JB614" s="294"/>
      <c r="JC614" s="294"/>
      <c r="JD614" s="294"/>
      <c r="JE614" s="294"/>
      <c r="JF614" s="294"/>
      <c r="JG614" s="294"/>
      <c r="JH614" s="294"/>
      <c r="JI614" s="294"/>
      <c r="JJ614" s="294"/>
      <c r="JK614" s="294"/>
      <c r="JL614" s="294"/>
      <c r="JM614" s="294"/>
      <c r="JN614" s="294"/>
      <c r="JO614" s="294"/>
      <c r="JP614" s="294"/>
      <c r="JQ614" s="294"/>
      <c r="JR614" s="294"/>
      <c r="JS614" s="294"/>
      <c r="JT614" s="294"/>
      <c r="JU614" s="294"/>
      <c r="JV614" s="294"/>
      <c r="JW614" s="294"/>
      <c r="JX614" s="294"/>
      <c r="JY614" s="294"/>
      <c r="JZ614" s="294"/>
      <c r="KA614" s="294"/>
      <c r="KB614" s="294"/>
      <c r="KC614" s="294"/>
      <c r="KD614" s="294"/>
      <c r="KE614" s="294"/>
      <c r="KF614" s="294"/>
      <c r="KG614" s="294"/>
      <c r="KH614" s="294"/>
      <c r="KI614" s="294"/>
      <c r="KJ614" s="294"/>
      <c r="KK614" s="294"/>
      <c r="KL614" s="294"/>
      <c r="KM614" s="294"/>
      <c r="KN614" s="294"/>
      <c r="KO614" s="294"/>
      <c r="KP614" s="294"/>
      <c r="KQ614" s="294"/>
      <c r="KR614" s="294"/>
      <c r="KS614" s="294"/>
      <c r="KT614" s="294"/>
      <c r="KU614" s="294"/>
      <c r="KV614" s="294"/>
      <c r="KW614" s="294"/>
      <c r="KX614" s="294"/>
      <c r="KY614" s="294"/>
      <c r="KZ614" s="294"/>
      <c r="LA614" s="294"/>
      <c r="LB614" s="294"/>
      <c r="LC614" s="294"/>
      <c r="LD614" s="294"/>
      <c r="LE614" s="294"/>
      <c r="LF614" s="294"/>
      <c r="LG614" s="294"/>
      <c r="LH614" s="294"/>
      <c r="LI614" s="294"/>
      <c r="LJ614" s="294"/>
      <c r="LK614" s="294"/>
      <c r="LL614" s="294"/>
      <c r="LM614" s="294"/>
      <c r="LN614" s="294"/>
      <c r="LO614" s="294"/>
      <c r="LP614" s="294"/>
      <c r="LQ614" s="294"/>
      <c r="LR614" s="294"/>
      <c r="LS614" s="294"/>
      <c r="LT614" s="294"/>
      <c r="LU614" s="294"/>
      <c r="LV614" s="294"/>
      <c r="LW614" s="294"/>
      <c r="LX614" s="294"/>
      <c r="LY614" s="294"/>
      <c r="LZ614" s="294"/>
      <c r="MA614" s="294"/>
      <c r="MB614" s="294"/>
      <c r="MC614" s="294"/>
      <c r="MD614" s="294"/>
      <c r="ME614" s="294"/>
      <c r="MF614" s="294"/>
      <c r="MG614" s="294"/>
      <c r="MH614" s="294"/>
      <c r="MI614" s="294"/>
      <c r="MJ614" s="294"/>
      <c r="MK614" s="294"/>
      <c r="ML614" s="294"/>
      <c r="MM614" s="294"/>
      <c r="MN614" s="294"/>
      <c r="MO614" s="294"/>
      <c r="MP614" s="294"/>
      <c r="MQ614" s="294"/>
      <c r="MR614" s="294"/>
      <c r="MS614" s="294"/>
      <c r="MT614" s="294"/>
      <c r="MU614" s="294"/>
      <c r="MV614" s="294"/>
      <c r="MW614" s="294"/>
      <c r="MX614" s="294"/>
      <c r="MY614" s="294"/>
      <c r="MZ614" s="294"/>
      <c r="NA614" s="294"/>
      <c r="NB614" s="294"/>
      <c r="NC614" s="294"/>
      <c r="ND614" s="294"/>
      <c r="NE614" s="294"/>
      <c r="NF614" s="294"/>
      <c r="NG614" s="294"/>
      <c r="NH614" s="294"/>
      <c r="NI614" s="294"/>
      <c r="NJ614" s="294"/>
      <c r="NK614" s="294"/>
      <c r="NL614" s="294"/>
      <c r="NM614" s="294"/>
      <c r="NN614" s="294"/>
      <c r="NO614" s="294"/>
      <c r="NP614" s="294"/>
      <c r="NQ614" s="294"/>
      <c r="NR614" s="294"/>
      <c r="NS614" s="294"/>
      <c r="NT614" s="294"/>
      <c r="NU614" s="294"/>
      <c r="NV614" s="294"/>
      <c r="NW614" s="294"/>
      <c r="NX614" s="294"/>
      <c r="NY614" s="294"/>
      <c r="NZ614" s="294"/>
      <c r="OA614" s="294"/>
      <c r="OB614" s="294"/>
      <c r="OC614" s="294"/>
      <c r="OD614" s="294"/>
      <c r="OE614" s="294"/>
      <c r="OF614" s="294"/>
      <c r="OG614" s="294"/>
      <c r="OH614" s="294"/>
      <c r="OI614" s="294"/>
      <c r="OJ614" s="294"/>
      <c r="OK614" s="294"/>
      <c r="OL614" s="294"/>
      <c r="OM614" s="294"/>
      <c r="ON614" s="294"/>
      <c r="OO614" s="294"/>
      <c r="OP614" s="294"/>
      <c r="OQ614" s="294"/>
      <c r="OR614" s="294"/>
      <c r="OS614" s="294"/>
      <c r="OT614" s="294"/>
      <c r="OU614" s="294"/>
      <c r="OV614" s="294"/>
      <c r="OW614" s="294"/>
      <c r="OX614" s="294"/>
      <c r="OY614" s="294"/>
      <c r="OZ614" s="294"/>
      <c r="PA614" s="294"/>
      <c r="PB614" s="294"/>
      <c r="PC614" s="294"/>
      <c r="PD614" s="294"/>
      <c r="PE614" s="294"/>
      <c r="PF614" s="294"/>
      <c r="PG614" s="294"/>
      <c r="PH614" s="294"/>
      <c r="PI614" s="294"/>
      <c r="PJ614" s="294"/>
      <c r="PK614" s="294"/>
      <c r="PL614" s="294"/>
      <c r="PM614" s="294"/>
      <c r="PN614" s="294"/>
      <c r="PO614" s="294"/>
      <c r="PP614" s="294"/>
      <c r="PQ614" s="294"/>
      <c r="PR614" s="294"/>
      <c r="PS614" s="294"/>
      <c r="PT614" s="294"/>
      <c r="PU614" s="294"/>
      <c r="PV614" s="294"/>
      <c r="PW614" s="294"/>
      <c r="PX614" s="294"/>
      <c r="PY614" s="294"/>
      <c r="PZ614" s="294"/>
      <c r="QA614" s="294"/>
      <c r="QB614" s="294"/>
      <c r="QC614" s="294"/>
      <c r="QD614" s="294"/>
      <c r="QE614" s="294"/>
      <c r="QF614" s="294"/>
      <c r="QG614" s="294"/>
      <c r="QH614" s="294"/>
      <c r="QI614" s="294"/>
      <c r="QJ614" s="294"/>
      <c r="QK614" s="294"/>
      <c r="QL614" s="294"/>
      <c r="QM614" s="294"/>
      <c r="QN614" s="294"/>
      <c r="QO614" s="294"/>
      <c r="QP614" s="294"/>
      <c r="QQ614" s="294"/>
      <c r="QR614" s="294"/>
      <c r="QS614" s="294"/>
      <c r="QT614" s="294"/>
      <c r="QU614" s="294"/>
      <c r="QV614" s="294"/>
      <c r="QW614" s="294"/>
      <c r="QX614" s="294"/>
      <c r="QY614" s="294"/>
      <c r="QZ614" s="294"/>
      <c r="RA614" s="294"/>
      <c r="RB614" s="294"/>
      <c r="RC614" s="294"/>
      <c r="RD614" s="294"/>
      <c r="RE614" s="294"/>
      <c r="RF614" s="294"/>
      <c r="RG614" s="294"/>
      <c r="RH614" s="294"/>
      <c r="RI614" s="294"/>
      <c r="RJ614" s="294"/>
      <c r="RK614" s="294"/>
      <c r="RL614" s="294"/>
      <c r="RM614" s="294"/>
      <c r="RN614" s="294"/>
      <c r="RO614" s="294"/>
      <c r="RP614" s="294"/>
      <c r="RQ614" s="294"/>
      <c r="RR614" s="294"/>
      <c r="RS614" s="294"/>
      <c r="RT614" s="294"/>
      <c r="RU614" s="294"/>
      <c r="RV614" s="294"/>
      <c r="RW614" s="294"/>
      <c r="RX614" s="294"/>
      <c r="RY614" s="294"/>
      <c r="RZ614" s="294"/>
      <c r="SA614" s="294"/>
      <c r="SB614" s="294"/>
      <c r="SC614" s="294"/>
      <c r="SD614" s="294"/>
      <c r="SE614" s="294"/>
      <c r="SF614" s="294"/>
      <c r="SG614" s="294"/>
      <c r="SH614" s="294"/>
      <c r="SI614" s="294"/>
      <c r="SJ614" s="294"/>
      <c r="SK614" s="294"/>
      <c r="SL614" s="294"/>
      <c r="SM614" s="294"/>
      <c r="SN614" s="294"/>
      <c r="SO614" s="294"/>
      <c r="SP614" s="294"/>
      <c r="SQ614" s="294"/>
      <c r="SR614" s="294"/>
      <c r="SS614" s="294"/>
      <c r="ST614" s="294"/>
      <c r="SU614" s="294"/>
      <c r="SV614" s="294"/>
      <c r="SW614" s="294"/>
      <c r="SX614" s="294"/>
      <c r="SY614" s="294"/>
      <c r="SZ614" s="294"/>
      <c r="TA614" s="294"/>
      <c r="TB614" s="294"/>
      <c r="TC614" s="294"/>
      <c r="TD614" s="294"/>
      <c r="TE614" s="294"/>
      <c r="TF614" s="294"/>
      <c r="TG614" s="294"/>
      <c r="TH614" s="294"/>
      <c r="TI614" s="294"/>
      <c r="TJ614" s="294"/>
      <c r="TK614" s="294"/>
      <c r="TL614" s="294"/>
      <c r="TM614" s="294"/>
      <c r="TN614" s="294"/>
      <c r="TO614" s="294"/>
      <c r="TP614" s="294"/>
      <c r="TQ614" s="294"/>
      <c r="TR614" s="294"/>
      <c r="TS614" s="294"/>
      <c r="TT614" s="294"/>
      <c r="TU614" s="294"/>
      <c r="TV614" s="294"/>
      <c r="TW614" s="294"/>
      <c r="TX614" s="294"/>
      <c r="TY614" s="294"/>
      <c r="TZ614" s="294"/>
      <c r="UA614" s="294"/>
      <c r="UB614" s="294"/>
      <c r="UC614" s="294"/>
      <c r="UD614" s="294"/>
      <c r="UE614" s="294"/>
      <c r="UF614" s="294"/>
      <c r="UG614" s="294"/>
      <c r="UH614" s="294"/>
      <c r="UI614" s="294"/>
      <c r="UJ614" s="294"/>
      <c r="UK614" s="294"/>
      <c r="UL614" s="294"/>
      <c r="UM614" s="294"/>
      <c r="UN614" s="294"/>
      <c r="UO614" s="294"/>
      <c r="UP614" s="294"/>
      <c r="UQ614" s="294"/>
      <c r="UR614" s="294"/>
      <c r="US614" s="294"/>
      <c r="UT614" s="294"/>
      <c r="UU614" s="294"/>
      <c r="UV614" s="294"/>
      <c r="UW614" s="294"/>
      <c r="UX614" s="294"/>
      <c r="UY614" s="294"/>
      <c r="UZ614" s="294"/>
      <c r="VA614" s="294"/>
      <c r="VB614" s="294"/>
      <c r="VC614" s="294"/>
      <c r="VD614" s="294"/>
      <c r="VE614" s="294"/>
      <c r="VF614" s="294"/>
      <c r="VG614" s="294"/>
      <c r="VH614" s="294"/>
      <c r="VI614" s="294"/>
      <c r="VJ614" s="294"/>
      <c r="VK614" s="294"/>
      <c r="VL614" s="294"/>
      <c r="VM614" s="294"/>
      <c r="VN614" s="294"/>
      <c r="VO614" s="294"/>
      <c r="VP614" s="294"/>
      <c r="VQ614" s="294"/>
      <c r="VR614" s="294"/>
      <c r="VS614" s="294"/>
      <c r="VT614" s="294"/>
      <c r="VU614" s="294"/>
      <c r="VV614" s="294"/>
      <c r="VW614" s="294"/>
      <c r="VX614" s="294"/>
      <c r="VY614" s="294"/>
      <c r="VZ614" s="294"/>
      <c r="WA614" s="294"/>
      <c r="WB614" s="294"/>
      <c r="WC614" s="294"/>
      <c r="WD614" s="294"/>
      <c r="WE614" s="294"/>
      <c r="WF614" s="294"/>
      <c r="WG614" s="294"/>
      <c r="WH614" s="294"/>
      <c r="WI614" s="294"/>
      <c r="WJ614" s="294"/>
      <c r="WK614" s="294"/>
      <c r="WL614" s="294"/>
      <c r="WM614" s="294"/>
      <c r="WN614" s="294"/>
      <c r="WO614" s="294"/>
      <c r="WP614" s="294"/>
      <c r="WQ614" s="294"/>
      <c r="WR614" s="294"/>
      <c r="WS614" s="294"/>
      <c r="WT614" s="294"/>
      <c r="WU614" s="294"/>
      <c r="WV614" s="294"/>
      <c r="WW614" s="294"/>
      <c r="WX614" s="294"/>
      <c r="WY614" s="294"/>
      <c r="WZ614" s="294"/>
      <c r="XA614" s="294"/>
      <c r="XB614" s="294"/>
      <c r="XC614" s="294"/>
      <c r="XD614" s="294"/>
      <c r="XE614" s="294"/>
      <c r="XF614" s="294"/>
      <c r="XG614" s="294"/>
      <c r="XH614" s="294"/>
      <c r="XI614" s="294"/>
      <c r="XJ614" s="294"/>
      <c r="XK614" s="294"/>
      <c r="XL614" s="294"/>
      <c r="XM614" s="294"/>
      <c r="XN614" s="294"/>
      <c r="XO614" s="294"/>
      <c r="XP614" s="294"/>
      <c r="XQ614" s="294"/>
      <c r="XR614" s="294"/>
      <c r="XS614" s="294"/>
      <c r="XT614" s="294"/>
      <c r="XU614" s="294"/>
      <c r="XV614" s="294"/>
      <c r="XW614" s="294"/>
      <c r="XX614" s="294"/>
      <c r="XY614" s="294"/>
      <c r="XZ614" s="294"/>
      <c r="YA614" s="294"/>
      <c r="YB614" s="294"/>
      <c r="YC614" s="294"/>
      <c r="YD614" s="294"/>
      <c r="YE614" s="294"/>
      <c r="YF614" s="294"/>
      <c r="YG614" s="294"/>
      <c r="YH614" s="294"/>
      <c r="YI614" s="294"/>
      <c r="YJ614" s="294"/>
      <c r="YK614" s="294"/>
      <c r="YL614" s="294"/>
      <c r="YM614" s="294"/>
      <c r="YN614" s="294"/>
      <c r="YO614" s="294"/>
      <c r="YP614" s="294"/>
      <c r="YQ614" s="294"/>
      <c r="YR614" s="294"/>
      <c r="YS614" s="294"/>
      <c r="YT614" s="294"/>
      <c r="YU614" s="294"/>
      <c r="YV614" s="294"/>
      <c r="YW614" s="294"/>
      <c r="YX614" s="294"/>
      <c r="YY614" s="294"/>
      <c r="YZ614" s="294"/>
      <c r="ZA614" s="294"/>
      <c r="ZB614" s="294"/>
      <c r="ZC614" s="294"/>
      <c r="ZD614" s="294"/>
      <c r="ZE614" s="294"/>
      <c r="ZF614" s="294"/>
      <c r="ZG614" s="294"/>
      <c r="ZH614" s="294"/>
      <c r="ZI614" s="294"/>
      <c r="ZJ614" s="294"/>
      <c r="ZK614" s="294"/>
      <c r="ZL614" s="294"/>
      <c r="ZM614" s="294"/>
      <c r="ZN614" s="294"/>
      <c r="ZO614" s="294"/>
      <c r="ZP614" s="294"/>
      <c r="ZQ614" s="294"/>
      <c r="ZR614" s="294"/>
      <c r="ZS614" s="294"/>
      <c r="ZT614" s="294"/>
      <c r="ZU614" s="294"/>
      <c r="ZV614" s="294"/>
      <c r="ZW614" s="294"/>
      <c r="ZX614" s="294"/>
      <c r="ZY614" s="294"/>
      <c r="ZZ614" s="294"/>
      <c r="AAA614" s="294"/>
      <c r="AAB614" s="294"/>
      <c r="AAC614" s="294"/>
      <c r="AAD614" s="294"/>
      <c r="AAE614" s="294"/>
      <c r="AAF614" s="294"/>
      <c r="AAG614" s="294"/>
      <c r="AAH614" s="294"/>
      <c r="AAI614" s="294"/>
      <c r="AAJ614" s="294"/>
      <c r="AAK614" s="294"/>
      <c r="AAL614" s="294"/>
      <c r="AAM614" s="294"/>
      <c r="AAN614" s="294"/>
      <c r="AAO614" s="294"/>
      <c r="AAP614" s="294"/>
      <c r="AAQ614" s="294"/>
      <c r="AAR614" s="294"/>
      <c r="AAS614" s="294"/>
      <c r="AAT614" s="294"/>
      <c r="AAU614" s="294"/>
      <c r="AAV614" s="294"/>
      <c r="AAW614" s="294"/>
      <c r="AAX614" s="294"/>
      <c r="AAY614" s="294"/>
      <c r="AAZ614" s="294"/>
      <c r="ABA614" s="294"/>
      <c r="ABB614" s="294"/>
      <c r="ABC614" s="294"/>
      <c r="ABD614" s="294"/>
      <c r="ABE614" s="294"/>
      <c r="ABF614" s="294"/>
      <c r="ABG614" s="294"/>
      <c r="ABH614" s="294"/>
      <c r="ABI614" s="294"/>
      <c r="ABJ614" s="294"/>
      <c r="ABK614" s="294"/>
      <c r="ABL614" s="294"/>
      <c r="ABM614" s="294"/>
      <c r="ABN614" s="294"/>
      <c r="ABO614" s="294"/>
      <c r="ABP614" s="294"/>
      <c r="ABQ614" s="294"/>
      <c r="ABR614" s="294"/>
      <c r="ABS614" s="294"/>
      <c r="ABT614" s="294"/>
      <c r="ABU614" s="294"/>
      <c r="ABV614" s="294"/>
      <c r="ABW614" s="294"/>
      <c r="ABX614" s="294"/>
      <c r="ABY614" s="294"/>
      <c r="ABZ614" s="294"/>
      <c r="ACA614" s="294"/>
      <c r="ACB614" s="294"/>
      <c r="ACC614" s="294"/>
      <c r="ACD614" s="294"/>
      <c r="ACE614" s="294"/>
      <c r="ACF614" s="294"/>
      <c r="ACG614" s="294"/>
      <c r="ACH614" s="294"/>
      <c r="ACI614" s="294"/>
      <c r="ACJ614" s="294"/>
      <c r="ACK614" s="294"/>
      <c r="ACL614" s="294"/>
      <c r="ACM614" s="294"/>
      <c r="ACN614" s="294"/>
      <c r="ACO614" s="294"/>
      <c r="ACP614" s="294"/>
      <c r="ACQ614" s="294"/>
      <c r="ACR614" s="294"/>
      <c r="ACS614" s="294"/>
      <c r="ACT614" s="294"/>
      <c r="ACU614" s="294"/>
      <c r="ACV614" s="294"/>
      <c r="ACW614" s="294"/>
      <c r="ACX614" s="294"/>
      <c r="ACY614" s="294"/>
      <c r="ACZ614" s="294"/>
      <c r="ADA614" s="294"/>
      <c r="ADB614" s="294"/>
      <c r="ADC614" s="294"/>
      <c r="ADD614" s="294"/>
      <c r="ADE614" s="294"/>
      <c r="ADF614" s="294"/>
      <c r="ADG614" s="294"/>
      <c r="ADH614" s="294"/>
      <c r="ADI614" s="294"/>
      <c r="ADJ614" s="294"/>
      <c r="ADK614" s="294"/>
      <c r="ADL614" s="294"/>
      <c r="ADM614" s="294"/>
      <c r="ADN614" s="294"/>
      <c r="ADO614" s="294"/>
      <c r="ADP614" s="294"/>
      <c r="ADQ614" s="294"/>
      <c r="ADR614" s="294"/>
      <c r="ADS614" s="294"/>
      <c r="ADT614" s="294"/>
      <c r="ADU614" s="294"/>
      <c r="ADV614" s="294"/>
      <c r="ADW614" s="294"/>
      <c r="ADX614" s="294"/>
      <c r="ADY614" s="294"/>
      <c r="ADZ614" s="294"/>
      <c r="AEA614" s="294"/>
      <c r="AEB614" s="294"/>
      <c r="AEC614" s="294"/>
      <c r="AED614" s="294"/>
      <c r="AEE614" s="294"/>
      <c r="AEF614" s="294"/>
      <c r="AEG614" s="294"/>
      <c r="AEH614" s="294"/>
      <c r="AEI614" s="294"/>
      <c r="AEJ614" s="294"/>
      <c r="AEK614" s="294"/>
      <c r="AEL614" s="294"/>
      <c r="AEM614" s="294"/>
      <c r="AEN614" s="294"/>
      <c r="AEO614" s="294"/>
      <c r="AEP614" s="294"/>
      <c r="AEQ614" s="294"/>
      <c r="AER614" s="294"/>
      <c r="AES614" s="294"/>
      <c r="AET614" s="294"/>
      <c r="AEU614" s="294"/>
      <c r="AEV614" s="294"/>
      <c r="AEW614" s="294"/>
      <c r="AEX614" s="294"/>
      <c r="AEY614" s="294"/>
      <c r="AEZ614" s="294"/>
      <c r="AFA614" s="294"/>
      <c r="AFB614" s="294"/>
      <c r="AFC614" s="294"/>
      <c r="AFD614" s="294"/>
      <c r="AFE614" s="294"/>
      <c r="AFF614" s="294"/>
      <c r="AFG614" s="294"/>
      <c r="AFH614" s="294"/>
      <c r="AFI614" s="294"/>
      <c r="AFJ614" s="294"/>
      <c r="AFK614" s="294"/>
      <c r="AFL614" s="294"/>
      <c r="AFM614" s="294"/>
      <c r="AFN614" s="294"/>
      <c r="AFO614" s="294"/>
      <c r="AFP614" s="294"/>
      <c r="AFQ614" s="294"/>
      <c r="AFR614" s="294"/>
      <c r="AFS614" s="294"/>
      <c r="AFT614" s="294"/>
      <c r="AFU614" s="294"/>
      <c r="AFV614" s="294"/>
      <c r="AFW614" s="294"/>
      <c r="AFX614" s="294"/>
      <c r="AFY614" s="294"/>
      <c r="AFZ614" s="294"/>
      <c r="AGA614" s="294"/>
      <c r="AGB614" s="294"/>
      <c r="AGC614" s="294"/>
      <c r="AGD614" s="294"/>
      <c r="AGE614" s="294"/>
      <c r="AGF614" s="294"/>
      <c r="AGG614" s="294"/>
      <c r="AGH614" s="294"/>
      <c r="AGI614" s="294"/>
      <c r="AGJ614" s="294"/>
      <c r="AGK614" s="294"/>
      <c r="AGL614" s="294"/>
      <c r="AGM614" s="294"/>
      <c r="AGN614" s="294"/>
      <c r="AGO614" s="294"/>
      <c r="AGP614" s="294"/>
      <c r="AGQ614" s="294"/>
      <c r="AGR614" s="294"/>
      <c r="AGS614" s="294"/>
      <c r="AGT614" s="294"/>
      <c r="AGU614" s="294"/>
      <c r="AGV614" s="294"/>
      <c r="AGW614" s="294"/>
      <c r="AGX614" s="294"/>
      <c r="AGY614" s="294"/>
      <c r="AGZ614" s="294"/>
      <c r="AHA614" s="294"/>
      <c r="AHB614" s="294"/>
      <c r="AHC614" s="294"/>
      <c r="AHD614" s="294"/>
      <c r="AHE614" s="294"/>
      <c r="AHF614" s="294"/>
      <c r="AHG614" s="294"/>
      <c r="AHH614" s="294"/>
      <c r="AHI614" s="294"/>
      <c r="AHJ614" s="294"/>
      <c r="AHK614" s="294"/>
      <c r="AHL614" s="294"/>
      <c r="AHM614" s="294"/>
      <c r="AHN614" s="294"/>
      <c r="AHO614" s="294"/>
      <c r="AHP614" s="294"/>
      <c r="AHQ614" s="294"/>
      <c r="AHR614" s="294"/>
      <c r="AHS614" s="294"/>
      <c r="AHT614" s="294"/>
      <c r="AHU614" s="294"/>
      <c r="AHV614" s="294"/>
      <c r="AHW614" s="294"/>
      <c r="AHX614" s="294"/>
      <c r="AHY614" s="294"/>
      <c r="AHZ614" s="294"/>
      <c r="AIA614" s="294"/>
      <c r="AIB614" s="294"/>
      <c r="AIC614" s="294"/>
      <c r="AID614" s="294"/>
      <c r="AIE614" s="294"/>
      <c r="AIF614" s="294"/>
      <c r="AIG614" s="294"/>
      <c r="AIH614" s="294"/>
      <c r="AII614" s="294"/>
      <c r="AIJ614" s="294"/>
      <c r="AIK614" s="294"/>
      <c r="AIL614" s="294"/>
      <c r="AIM614" s="294"/>
      <c r="AIN614" s="294"/>
      <c r="AIO614" s="294"/>
      <c r="AIP614" s="294"/>
      <c r="AIQ614" s="294"/>
      <c r="AIR614" s="294"/>
      <c r="AIS614" s="294"/>
      <c r="AIT614" s="294"/>
      <c r="AIU614" s="294"/>
      <c r="AIV614" s="294"/>
      <c r="AIW614" s="294"/>
      <c r="AIX614" s="294"/>
      <c r="AIY614" s="294"/>
      <c r="AIZ614" s="294"/>
      <c r="AJA614" s="294"/>
      <c r="AJB614" s="294"/>
      <c r="AJC614" s="294"/>
      <c r="AJD614" s="294"/>
      <c r="AJE614" s="294"/>
      <c r="AJF614" s="294"/>
      <c r="AJG614" s="294"/>
      <c r="AJH614" s="294"/>
      <c r="AJI614" s="294"/>
      <c r="AJJ614" s="294"/>
      <c r="AJK614" s="294"/>
      <c r="AJL614" s="294"/>
      <c r="AJM614" s="294"/>
      <c r="AJN614" s="294"/>
      <c r="AJO614" s="294"/>
      <c r="AJP614" s="294"/>
      <c r="AJQ614" s="294"/>
      <c r="AJR614" s="294"/>
      <c r="AJS614" s="294"/>
      <c r="AJT614" s="294"/>
      <c r="AJU614" s="294"/>
      <c r="AJV614" s="294"/>
      <c r="AJW614" s="294"/>
      <c r="AJX614" s="294"/>
      <c r="AJY614" s="294"/>
      <c r="AJZ614" s="294"/>
      <c r="AKA614" s="294"/>
      <c r="AKB614" s="294"/>
      <c r="AKC614" s="294"/>
      <c r="AKD614" s="294"/>
      <c r="AKE614" s="294"/>
      <c r="AKF614" s="294"/>
      <c r="AKG614" s="294"/>
      <c r="AKH614" s="294"/>
      <c r="AKI614" s="294"/>
      <c r="AKJ614" s="294"/>
      <c r="AKK614" s="294"/>
      <c r="AKL614" s="294"/>
      <c r="AKM614" s="294"/>
      <c r="AKN614" s="294"/>
      <c r="AKO614" s="294"/>
      <c r="AKP614" s="294"/>
      <c r="AKQ614" s="294"/>
      <c r="AKR614" s="294"/>
      <c r="AKS614" s="294"/>
      <c r="AKT614" s="294"/>
      <c r="AKU614" s="294"/>
      <c r="AKV614" s="294"/>
      <c r="AKW614" s="294"/>
      <c r="AKX614" s="294"/>
      <c r="AKY614" s="294"/>
      <c r="AKZ614" s="294"/>
      <c r="ALA614" s="294"/>
      <c r="ALB614" s="294"/>
      <c r="ALC614" s="294"/>
      <c r="ALD614" s="294"/>
      <c r="ALE614" s="294"/>
      <c r="ALF614" s="294"/>
      <c r="ALG614" s="294"/>
      <c r="ALH614" s="294"/>
      <c r="ALI614" s="294"/>
      <c r="ALJ614" s="294"/>
      <c r="ALK614" s="294"/>
      <c r="ALL614" s="294"/>
      <c r="ALM614" s="294"/>
      <c r="ALN614" s="294"/>
      <c r="ALO614" s="294"/>
      <c r="ALP614" s="294"/>
      <c r="ALQ614" s="294"/>
      <c r="ALR614" s="294"/>
      <c r="ALS614" s="294"/>
      <c r="ALT614" s="294"/>
      <c r="ALU614" s="294"/>
      <c r="ALV614" s="294"/>
      <c r="ALW614" s="294"/>
      <c r="ALX614" s="294"/>
      <c r="ALY614" s="294"/>
      <c r="ALZ614" s="294"/>
      <c r="AMA614" s="294"/>
      <c r="AMB614" s="294"/>
      <c r="AMC614" s="294"/>
      <c r="AMD614" s="294"/>
      <c r="AME614" s="294"/>
      <c r="AMF614" s="294"/>
      <c r="AMG614" s="294"/>
      <c r="AMH614" s="294"/>
      <c r="AMI614" s="294"/>
      <c r="AMJ614" s="294"/>
      <c r="AMK614" s="294"/>
      <c r="AML614" s="294"/>
      <c r="AMM614" s="294"/>
      <c r="AMN614" s="294"/>
      <c r="AMO614" s="294"/>
      <c r="AMP614" s="294"/>
      <c r="AMQ614" s="294"/>
      <c r="AMR614" s="294"/>
      <c r="AMS614" s="294"/>
      <c r="AMT614" s="294"/>
      <c r="AMU614" s="294"/>
      <c r="AMV614" s="294"/>
      <c r="AMW614" s="294"/>
      <c r="AMX614" s="294"/>
      <c r="AMY614" s="294"/>
      <c r="AMZ614" s="294"/>
      <c r="ANA614" s="294"/>
      <c r="ANB614" s="294"/>
      <c r="ANC614" s="294"/>
      <c r="AND614" s="294"/>
      <c r="ANE614" s="294"/>
      <c r="ANF614" s="294"/>
      <c r="ANG614" s="294"/>
      <c r="ANH614" s="294"/>
      <c r="ANI614" s="294"/>
      <c r="ANJ614" s="294"/>
      <c r="ANK614" s="294"/>
      <c r="ANL614" s="294"/>
      <c r="ANM614" s="294"/>
      <c r="ANN614" s="294"/>
      <c r="ANO614" s="294"/>
      <c r="ANP614" s="294"/>
      <c r="ANQ614" s="294"/>
      <c r="ANR614" s="294"/>
      <c r="ANS614" s="294"/>
      <c r="ANT614" s="294"/>
      <c r="ANU614" s="294"/>
      <c r="ANV614" s="294"/>
      <c r="ANW614" s="294"/>
      <c r="ANX614" s="294"/>
      <c r="ANY614" s="294"/>
      <c r="ANZ614" s="294"/>
      <c r="AOA614" s="294"/>
      <c r="AOB614" s="294"/>
      <c r="AOC614" s="294"/>
      <c r="AOD614" s="294"/>
      <c r="AOE614" s="294"/>
      <c r="AOF614" s="294"/>
      <c r="AOG614" s="294"/>
      <c r="AOH614" s="294"/>
      <c r="AOI614" s="294"/>
      <c r="AOJ614" s="294"/>
      <c r="AOK614" s="294"/>
      <c r="AOL614" s="294"/>
      <c r="AOM614" s="294"/>
      <c r="AON614" s="294"/>
      <c r="AOO614" s="294"/>
      <c r="AOP614" s="294"/>
      <c r="AOQ614" s="294"/>
      <c r="AOR614" s="294"/>
      <c r="AOS614" s="294"/>
      <c r="AOT614" s="294"/>
      <c r="AOU614" s="294"/>
      <c r="AOV614" s="294"/>
      <c r="AOW614" s="294"/>
      <c r="AOX614" s="294"/>
      <c r="AOY614" s="294"/>
      <c r="AOZ614" s="294"/>
      <c r="APA614" s="294"/>
      <c r="APB614" s="294"/>
      <c r="APC614" s="294"/>
      <c r="APD614" s="294"/>
      <c r="APE614" s="294"/>
      <c r="APF614" s="294"/>
      <c r="APG614" s="294"/>
      <c r="APH614" s="294"/>
      <c r="API614" s="294"/>
      <c r="APJ614" s="294"/>
      <c r="APK614" s="294"/>
      <c r="APL614" s="294"/>
      <c r="APM614" s="294"/>
      <c r="APN614" s="294"/>
      <c r="APO614" s="294"/>
      <c r="APP614" s="294"/>
      <c r="APQ614" s="294"/>
      <c r="APR614" s="294"/>
      <c r="APS614" s="294"/>
      <c r="APT614" s="294"/>
      <c r="APU614" s="294"/>
      <c r="APV614" s="294"/>
      <c r="APW614" s="294"/>
      <c r="APX614" s="294"/>
      <c r="APY614" s="294"/>
      <c r="APZ614" s="294"/>
      <c r="AQA614" s="294"/>
      <c r="AQB614" s="294"/>
      <c r="AQC614" s="294"/>
      <c r="AQD614" s="294"/>
      <c r="AQE614" s="294"/>
      <c r="AQF614" s="294"/>
      <c r="AQG614" s="294"/>
      <c r="AQH614" s="294"/>
      <c r="AQI614" s="294"/>
      <c r="AQJ614" s="294"/>
      <c r="AQK614" s="294"/>
      <c r="AQL614" s="294"/>
      <c r="AQM614" s="294"/>
      <c r="AQN614" s="294"/>
      <c r="AQO614" s="294"/>
      <c r="AQP614" s="294"/>
      <c r="AQQ614" s="294"/>
      <c r="AQR614" s="294"/>
      <c r="AQS614" s="294"/>
      <c r="AQT614" s="294"/>
      <c r="AQU614" s="294"/>
      <c r="AQV614" s="294"/>
      <c r="AQW614" s="294"/>
      <c r="AQX614" s="294"/>
      <c r="AQY614" s="294"/>
      <c r="AQZ614" s="294"/>
      <c r="ARA614" s="294"/>
      <c r="ARB614" s="294"/>
      <c r="ARC614" s="294"/>
      <c r="ARD614" s="294"/>
      <c r="ARE614" s="294"/>
      <c r="ARF614" s="294"/>
      <c r="ARG614" s="294"/>
      <c r="ARH614" s="294"/>
      <c r="ARI614" s="294"/>
      <c r="ARJ614" s="294"/>
      <c r="ARK614" s="294"/>
      <c r="ARL614" s="294"/>
      <c r="ARM614" s="294"/>
      <c r="ARN614" s="294"/>
      <c r="ARO614" s="294"/>
      <c r="ARP614" s="294"/>
      <c r="ARQ614" s="294"/>
      <c r="ARR614" s="294"/>
      <c r="ARS614" s="294"/>
      <c r="ART614" s="294"/>
      <c r="ARU614" s="294"/>
      <c r="ARV614" s="294"/>
      <c r="ARW614" s="294"/>
      <c r="ARX614" s="294"/>
      <c r="ARY614" s="294"/>
      <c r="ARZ614" s="294"/>
      <c r="ASA614" s="294"/>
      <c r="ASB614" s="294"/>
      <c r="ASC614" s="294"/>
      <c r="ASD614" s="294"/>
      <c r="ASE614" s="294"/>
      <c r="ASF614" s="294"/>
      <c r="ASG614" s="294"/>
      <c r="ASH614" s="294"/>
      <c r="ASI614" s="294"/>
      <c r="ASJ614" s="294"/>
      <c r="ASK614" s="294"/>
      <c r="ASL614" s="294"/>
      <c r="ASM614" s="294"/>
      <c r="ASN614" s="294"/>
      <c r="ASO614" s="294"/>
      <c r="ASP614" s="294"/>
      <c r="ASQ614" s="294"/>
      <c r="ASR614" s="294"/>
      <c r="ASS614" s="294"/>
      <c r="AST614" s="294"/>
      <c r="ASU614" s="294"/>
      <c r="ASV614" s="294"/>
      <c r="ASW614" s="294"/>
      <c r="ASX614" s="294"/>
      <c r="ASY614" s="294"/>
      <c r="ASZ614" s="294"/>
      <c r="ATA614" s="294"/>
      <c r="ATB614" s="294"/>
      <c r="ATC614" s="294"/>
      <c r="ATD614" s="294"/>
      <c r="ATE614" s="294"/>
      <c r="ATF614" s="294"/>
      <c r="ATG614" s="294"/>
      <c r="ATH614" s="294"/>
      <c r="ATI614" s="294"/>
      <c r="ATJ614" s="294"/>
      <c r="ATK614" s="294"/>
      <c r="ATL614" s="294"/>
      <c r="ATM614" s="294"/>
      <c r="ATN614" s="294"/>
      <c r="ATO614" s="294"/>
      <c r="ATP614" s="294"/>
      <c r="ATQ614" s="294"/>
      <c r="ATR614" s="294"/>
      <c r="ATS614" s="294"/>
      <c r="ATT614" s="294"/>
      <c r="ATU614" s="294"/>
      <c r="ATV614" s="294"/>
      <c r="ATW614" s="294"/>
      <c r="ATX614" s="294"/>
      <c r="ATY614" s="294"/>
      <c r="ATZ614" s="294"/>
      <c r="AUA614" s="294"/>
      <c r="AUB614" s="294"/>
      <c r="AUC614" s="294"/>
      <c r="AUD614" s="294"/>
      <c r="AUE614" s="294"/>
      <c r="AUF614" s="294"/>
      <c r="AUG614" s="294"/>
      <c r="AUH614" s="294"/>
      <c r="AUI614" s="294"/>
      <c r="AUJ614" s="294"/>
      <c r="AUK614" s="294"/>
      <c r="AUL614" s="294"/>
      <c r="AUM614" s="294"/>
      <c r="AUN614" s="294"/>
      <c r="AUO614" s="294"/>
      <c r="AUP614" s="294"/>
      <c r="AUQ614" s="294"/>
      <c r="AUR614" s="294"/>
      <c r="AUS614" s="294"/>
      <c r="AUT614" s="294"/>
      <c r="AUU614" s="294"/>
      <c r="AUV614" s="294"/>
      <c r="AUW614" s="294"/>
      <c r="AUX614" s="294"/>
      <c r="AUY614" s="294"/>
      <c r="AUZ614" s="294"/>
      <c r="AVA614" s="294"/>
      <c r="AVB614" s="294"/>
      <c r="AVC614" s="294"/>
      <c r="AVD614" s="294"/>
      <c r="AVE614" s="294"/>
      <c r="AVF614" s="294"/>
      <c r="AVG614" s="294"/>
      <c r="AVH614" s="294"/>
      <c r="AVI614" s="294"/>
      <c r="AVJ614" s="294"/>
      <c r="AVK614" s="294"/>
      <c r="AVL614" s="294"/>
      <c r="AVM614" s="294"/>
      <c r="AVN614" s="294"/>
      <c r="AVO614" s="294"/>
      <c r="AVP614" s="294"/>
      <c r="AVQ614" s="294"/>
      <c r="AVR614" s="294"/>
      <c r="AVS614" s="294"/>
      <c r="AVT614" s="294"/>
      <c r="AVU614" s="294"/>
      <c r="AVV614" s="294"/>
      <c r="AVW614" s="294"/>
      <c r="AVX614" s="294"/>
      <c r="AVY614" s="294"/>
      <c r="AVZ614" s="294"/>
      <c r="AWA614" s="294"/>
      <c r="AWB614" s="294"/>
      <c r="AWC614" s="294"/>
      <c r="AWD614" s="294"/>
      <c r="AWE614" s="294"/>
      <c r="AWF614" s="294"/>
      <c r="AWG614" s="294"/>
      <c r="AWH614" s="294"/>
      <c r="AWI614" s="294"/>
      <c r="AWJ614" s="294"/>
      <c r="AWK614" s="294"/>
      <c r="AWL614" s="294"/>
      <c r="AWM614" s="294"/>
      <c r="AWN614" s="294"/>
      <c r="AWO614" s="294"/>
      <c r="AWP614" s="294"/>
      <c r="AWQ614" s="294"/>
      <c r="AWR614" s="294"/>
      <c r="AWS614" s="294"/>
      <c r="AWT614" s="294"/>
      <c r="AWU614" s="294"/>
      <c r="AWV614" s="294"/>
      <c r="AWW614" s="294"/>
      <c r="AWX614" s="294"/>
      <c r="AWY614" s="294"/>
      <c r="AWZ614" s="294"/>
      <c r="AXA614" s="294"/>
      <c r="AXB614" s="294"/>
      <c r="AXC614" s="294"/>
      <c r="AXD614" s="294"/>
      <c r="AXE614" s="294"/>
      <c r="AXF614" s="294"/>
      <c r="AXG614" s="294"/>
      <c r="AXH614" s="294"/>
      <c r="AXI614" s="294"/>
      <c r="AXJ614" s="294"/>
      <c r="AXK614" s="294"/>
      <c r="AXL614" s="294"/>
      <c r="AXM614" s="294"/>
      <c r="AXN614" s="294"/>
      <c r="AXO614" s="294"/>
      <c r="AXP614" s="294"/>
      <c r="AXQ614" s="294"/>
      <c r="AXR614" s="294"/>
      <c r="AXS614" s="294"/>
      <c r="AXT614" s="294"/>
      <c r="AXU614" s="294"/>
      <c r="AXV614" s="294"/>
      <c r="AXW614" s="294"/>
      <c r="AXX614" s="294"/>
      <c r="AXY614" s="294"/>
      <c r="AXZ614" s="294"/>
      <c r="AYA614" s="294"/>
      <c r="AYB614" s="294"/>
      <c r="AYC614" s="294"/>
      <c r="AYD614" s="294"/>
      <c r="AYE614" s="294"/>
      <c r="AYF614" s="294"/>
      <c r="AYG614" s="294"/>
      <c r="AYH614" s="294"/>
      <c r="AYI614" s="294"/>
      <c r="AYJ614" s="294"/>
      <c r="AYK614" s="294"/>
      <c r="AYL614" s="294"/>
      <c r="AYM614" s="294"/>
      <c r="AYN614" s="294"/>
      <c r="AYO614" s="294"/>
      <c r="AYP614" s="294"/>
      <c r="AYQ614" s="294"/>
      <c r="AYR614" s="294"/>
      <c r="AYS614" s="294"/>
      <c r="AYT614" s="294"/>
      <c r="AYU614" s="294"/>
      <c r="AYV614" s="294"/>
      <c r="AYW614" s="294"/>
      <c r="AYX614" s="294"/>
      <c r="AYY614" s="294"/>
      <c r="AYZ614" s="294"/>
      <c r="AZA614" s="294"/>
      <c r="AZB614" s="294"/>
      <c r="AZC614" s="294"/>
      <c r="AZD614" s="294"/>
      <c r="AZE614" s="294"/>
      <c r="AZF614" s="294"/>
      <c r="AZG614" s="294"/>
      <c r="AZH614" s="294"/>
      <c r="AZI614" s="294"/>
      <c r="AZJ614" s="294"/>
      <c r="AZK614" s="294"/>
      <c r="AZL614" s="294"/>
      <c r="AZM614" s="294"/>
      <c r="AZN614" s="294"/>
      <c r="AZO614" s="294"/>
      <c r="AZP614" s="294"/>
      <c r="AZQ614" s="294"/>
      <c r="AZR614" s="294"/>
      <c r="AZS614" s="294"/>
      <c r="AZT614" s="294"/>
      <c r="AZU614" s="294"/>
      <c r="AZV614" s="294"/>
      <c r="AZW614" s="294"/>
      <c r="AZX614" s="294"/>
      <c r="AZY614" s="294"/>
      <c r="AZZ614" s="294"/>
      <c r="BAA614" s="294"/>
      <c r="BAB614" s="294"/>
      <c r="BAC614" s="294"/>
      <c r="BAD614" s="294"/>
      <c r="BAE614" s="294"/>
      <c r="BAF614" s="294"/>
      <c r="BAG614" s="294"/>
      <c r="BAH614" s="294"/>
      <c r="BAI614" s="294"/>
      <c r="BAJ614" s="294"/>
      <c r="BAK614" s="294"/>
      <c r="BAL614" s="294"/>
      <c r="BAM614" s="294"/>
      <c r="BAN614" s="294"/>
      <c r="BAO614" s="294"/>
      <c r="BAP614" s="294"/>
      <c r="BAQ614" s="294"/>
      <c r="BAR614" s="294"/>
      <c r="BAS614" s="294"/>
      <c r="BAT614" s="294"/>
      <c r="BAU614" s="294"/>
      <c r="BAV614" s="294"/>
      <c r="BAW614" s="294"/>
      <c r="BAX614" s="294"/>
      <c r="BAY614" s="294"/>
      <c r="BAZ614" s="294"/>
      <c r="BBA614" s="294"/>
      <c r="BBB614" s="294"/>
      <c r="BBC614" s="294"/>
      <c r="BBD614" s="294"/>
      <c r="BBE614" s="294"/>
      <c r="BBF614" s="294"/>
      <c r="BBG614" s="294"/>
      <c r="BBH614" s="294"/>
      <c r="BBI614" s="294"/>
      <c r="BBJ614" s="294"/>
      <c r="BBK614" s="294"/>
      <c r="BBL614" s="294"/>
      <c r="BBM614" s="294"/>
      <c r="BBN614" s="294"/>
      <c r="BBO614" s="294"/>
      <c r="BBP614" s="294"/>
      <c r="BBQ614" s="294"/>
      <c r="BBR614" s="294"/>
      <c r="BBS614" s="294"/>
      <c r="BBT614" s="294"/>
      <c r="BBU614" s="294"/>
      <c r="BBV614" s="294"/>
      <c r="BBW614" s="294"/>
      <c r="BBX614" s="294"/>
      <c r="BBY614" s="294"/>
      <c r="BBZ614" s="294"/>
      <c r="BCA614" s="294"/>
      <c r="BCB614" s="294"/>
      <c r="BCC614" s="294"/>
      <c r="BCD614" s="294"/>
      <c r="BCE614" s="294"/>
      <c r="BCF614" s="294"/>
      <c r="BCG614" s="294"/>
      <c r="BCH614" s="294"/>
      <c r="BCI614" s="294"/>
      <c r="BCJ614" s="294"/>
      <c r="BCK614" s="294"/>
      <c r="BCL614" s="294"/>
      <c r="BCM614" s="294"/>
      <c r="BCN614" s="294"/>
      <c r="BCO614" s="294"/>
      <c r="BCP614" s="294"/>
      <c r="BCQ614" s="294"/>
      <c r="BCR614" s="294"/>
      <c r="BCS614" s="294"/>
      <c r="BCT614" s="294"/>
      <c r="BCU614" s="294"/>
      <c r="BCV614" s="294"/>
      <c r="BCW614" s="294"/>
      <c r="BCX614" s="294"/>
      <c r="BCY614" s="294"/>
      <c r="BCZ614" s="294"/>
      <c r="BDA614" s="294"/>
      <c r="BDB614" s="294"/>
      <c r="BDC614" s="294"/>
      <c r="BDD614" s="294"/>
      <c r="BDE614" s="294"/>
      <c r="BDF614" s="294"/>
      <c r="BDG614" s="294"/>
      <c r="BDH614" s="294"/>
      <c r="BDI614" s="294"/>
      <c r="BDJ614" s="294"/>
      <c r="BDK614" s="294"/>
      <c r="BDL614" s="294"/>
      <c r="BDM614" s="294"/>
      <c r="BDN614" s="294"/>
      <c r="BDO614" s="294"/>
      <c r="BDP614" s="294"/>
      <c r="BDQ614" s="294"/>
      <c r="BDR614" s="294"/>
      <c r="BDS614" s="294"/>
      <c r="BDT614" s="294"/>
      <c r="BDU614" s="294"/>
      <c r="BDV614" s="294"/>
      <c r="BDW614" s="294"/>
      <c r="BDX614" s="294"/>
      <c r="BDY614" s="294"/>
      <c r="BDZ614" s="294"/>
      <c r="BEA614" s="294"/>
      <c r="BEB614" s="294"/>
      <c r="BEC614" s="294"/>
      <c r="BED614" s="294"/>
      <c r="BEE614" s="294"/>
      <c r="BEF614" s="294"/>
      <c r="BEG614" s="294"/>
      <c r="BEH614" s="294"/>
      <c r="BEI614" s="294"/>
      <c r="BEJ614" s="294"/>
      <c r="BEK614" s="294"/>
      <c r="BEL614" s="294"/>
      <c r="BEM614" s="294"/>
      <c r="BEN614" s="294"/>
      <c r="BEO614" s="294"/>
      <c r="BEP614" s="294"/>
      <c r="BEQ614" s="294"/>
      <c r="BER614" s="294"/>
      <c r="BES614" s="294"/>
      <c r="BET614" s="294"/>
      <c r="BEU614" s="294"/>
      <c r="BEV614" s="294"/>
      <c r="BEW614" s="294"/>
      <c r="BEX614" s="294"/>
      <c r="BEY614" s="294"/>
      <c r="BEZ614" s="294"/>
      <c r="BFA614" s="294"/>
      <c r="BFB614" s="294"/>
      <c r="BFC614" s="294"/>
      <c r="BFD614" s="294"/>
      <c r="BFE614" s="294"/>
      <c r="BFF614" s="294"/>
      <c r="BFG614" s="294"/>
      <c r="BFH614" s="294"/>
      <c r="BFI614" s="294"/>
      <c r="BFJ614" s="294"/>
      <c r="BFK614" s="294"/>
      <c r="BFL614" s="294"/>
      <c r="BFM614" s="294"/>
      <c r="BFN614" s="294"/>
      <c r="BFO614" s="294"/>
      <c r="BFP614" s="294"/>
      <c r="BFQ614" s="294"/>
      <c r="BFR614" s="294"/>
      <c r="BFS614" s="294"/>
      <c r="BFT614" s="294"/>
      <c r="BFU614" s="294"/>
      <c r="BFV614" s="294"/>
      <c r="BFW614" s="294"/>
      <c r="BFX614" s="294"/>
      <c r="BFY614" s="294"/>
      <c r="BFZ614" s="294"/>
      <c r="BGA614" s="294"/>
      <c r="BGB614" s="294"/>
      <c r="BGC614" s="294"/>
      <c r="BGD614" s="294"/>
      <c r="BGE614" s="294"/>
      <c r="BGF614" s="294"/>
      <c r="BGG614" s="294"/>
      <c r="BGH614" s="294"/>
      <c r="BGI614" s="294"/>
      <c r="BGJ614" s="294"/>
      <c r="BGK614" s="294"/>
      <c r="BGL614" s="294"/>
      <c r="BGM614" s="294"/>
      <c r="BGN614" s="294"/>
      <c r="BGO614" s="294"/>
      <c r="BGP614" s="294"/>
      <c r="BGQ614" s="294"/>
      <c r="BGR614" s="294"/>
      <c r="BGS614" s="294"/>
      <c r="BGT614" s="294"/>
      <c r="BGU614" s="294"/>
      <c r="BGV614" s="294"/>
      <c r="BGW614" s="294"/>
      <c r="BGX614" s="294"/>
      <c r="BGY614" s="294"/>
      <c r="BGZ614" s="294"/>
      <c r="BHA614" s="294"/>
      <c r="BHB614" s="294"/>
      <c r="BHC614" s="294"/>
      <c r="BHD614" s="294"/>
      <c r="BHE614" s="294"/>
      <c r="BHF614" s="294"/>
      <c r="BHG614" s="294"/>
      <c r="BHH614" s="294"/>
      <c r="BHI614" s="294"/>
      <c r="BHJ614" s="294"/>
      <c r="BHK614" s="294"/>
      <c r="BHL614" s="294"/>
      <c r="BHM614" s="294"/>
      <c r="BHN614" s="294"/>
      <c r="BHO614" s="294"/>
      <c r="BHP614" s="294"/>
      <c r="BHQ614" s="294"/>
      <c r="BHR614" s="294"/>
      <c r="BHS614" s="294"/>
      <c r="BHT614" s="294"/>
      <c r="BHU614" s="294"/>
      <c r="BHV614" s="294"/>
      <c r="BHW614" s="294"/>
      <c r="BHX614" s="294"/>
      <c r="BHY614" s="294"/>
      <c r="BHZ614" s="294"/>
      <c r="BIA614" s="294"/>
      <c r="BIB614" s="294"/>
      <c r="BIC614" s="294"/>
      <c r="BID614" s="294"/>
      <c r="BIE614" s="294"/>
      <c r="BIF614" s="294"/>
      <c r="BIG614" s="294"/>
      <c r="BIH614" s="294"/>
      <c r="BII614" s="294"/>
      <c r="BIJ614" s="294"/>
      <c r="BIK614" s="294"/>
      <c r="BIL614" s="294"/>
      <c r="BIM614" s="294"/>
      <c r="BIN614" s="294"/>
      <c r="BIO614" s="294"/>
      <c r="BIP614" s="294"/>
      <c r="BIQ614" s="294"/>
      <c r="BIR614" s="294"/>
      <c r="BIS614" s="294"/>
      <c r="BIT614" s="294"/>
      <c r="BIU614" s="294"/>
      <c r="BIV614" s="294"/>
      <c r="BIW614" s="294"/>
      <c r="BIX614" s="294"/>
      <c r="BIY614" s="294"/>
      <c r="BIZ614" s="294"/>
      <c r="BJA614" s="294"/>
      <c r="BJB614" s="294"/>
      <c r="BJC614" s="294"/>
      <c r="BJD614" s="294"/>
      <c r="BJE614" s="294"/>
      <c r="BJF614" s="294"/>
      <c r="BJG614" s="294"/>
      <c r="BJH614" s="294"/>
      <c r="BJI614" s="294"/>
      <c r="BJJ614" s="294"/>
      <c r="BJK614" s="294"/>
      <c r="BJL614" s="294"/>
      <c r="BJM614" s="294"/>
      <c r="BJN614" s="294"/>
      <c r="BJO614" s="294"/>
      <c r="BJP614" s="294"/>
      <c r="BJQ614" s="294"/>
      <c r="BJR614" s="294"/>
      <c r="BJS614" s="294"/>
      <c r="BJT614" s="294"/>
      <c r="BJU614" s="294"/>
      <c r="BJV614" s="294"/>
      <c r="BJW614" s="294"/>
      <c r="BJX614" s="294"/>
      <c r="BJY614" s="294"/>
      <c r="BJZ614" s="294"/>
      <c r="BKA614" s="294"/>
      <c r="BKB614" s="294"/>
      <c r="BKC614" s="294"/>
      <c r="BKD614" s="294"/>
      <c r="BKE614" s="294"/>
      <c r="BKF614" s="294"/>
      <c r="BKG614" s="294"/>
      <c r="BKH614" s="294"/>
      <c r="BKI614" s="294"/>
      <c r="BKJ614" s="294"/>
      <c r="BKK614" s="294"/>
      <c r="BKL614" s="294"/>
      <c r="BKM614" s="294"/>
      <c r="BKN614" s="294"/>
      <c r="BKO614" s="294"/>
      <c r="BKP614" s="294"/>
      <c r="BKQ614" s="294"/>
      <c r="BKR614" s="294"/>
      <c r="BKS614" s="294"/>
      <c r="BKT614" s="294"/>
      <c r="BKU614" s="294"/>
      <c r="BKV614" s="294"/>
      <c r="BKW614" s="294"/>
      <c r="BKX614" s="294"/>
      <c r="BKY614" s="294"/>
      <c r="BKZ614" s="294"/>
      <c r="BLA614" s="294"/>
      <c r="BLB614" s="294"/>
      <c r="BLC614" s="294"/>
      <c r="BLD614" s="294"/>
      <c r="BLE614" s="294"/>
      <c r="BLF614" s="294"/>
      <c r="BLG614" s="294"/>
      <c r="BLH614" s="294"/>
      <c r="BLI614" s="294"/>
      <c r="BLJ614" s="294"/>
      <c r="BLK614" s="294"/>
      <c r="BLL614" s="294"/>
      <c r="BLM614" s="294"/>
      <c r="BLN614" s="294"/>
      <c r="BLO614" s="294"/>
      <c r="BLP614" s="294"/>
      <c r="BLQ614" s="294"/>
      <c r="BLR614" s="294"/>
      <c r="BLS614" s="294"/>
      <c r="BLT614" s="294"/>
      <c r="BLU614" s="294"/>
      <c r="BLV614" s="294"/>
      <c r="BLW614" s="294"/>
      <c r="BLX614" s="294"/>
      <c r="BLY614" s="294"/>
      <c r="BLZ614" s="294"/>
      <c r="BMA614" s="294"/>
      <c r="BMB614" s="294"/>
      <c r="BMC614" s="294"/>
      <c r="BMD614" s="294"/>
      <c r="BME614" s="294"/>
      <c r="BMF614" s="294"/>
      <c r="BMG614" s="294"/>
      <c r="BMH614" s="294"/>
      <c r="BMI614" s="294"/>
      <c r="BMJ614" s="294"/>
      <c r="BMK614" s="294"/>
      <c r="BML614" s="294"/>
      <c r="BMM614" s="294"/>
      <c r="BMN614" s="294"/>
      <c r="BMO614" s="294"/>
      <c r="BMP614" s="294"/>
      <c r="BMQ614" s="294"/>
      <c r="BMR614" s="294"/>
      <c r="BMS614" s="294"/>
      <c r="BMT614" s="294"/>
      <c r="BMU614" s="294"/>
      <c r="BMV614" s="294"/>
      <c r="BMW614" s="294"/>
      <c r="BMX614" s="294"/>
      <c r="BMY614" s="294"/>
      <c r="BMZ614" s="294"/>
      <c r="BNA614" s="294"/>
      <c r="BNB614" s="294"/>
      <c r="BNC614" s="294"/>
      <c r="BND614" s="294"/>
      <c r="BNE614" s="294"/>
      <c r="BNF614" s="294"/>
      <c r="BNG614" s="294"/>
      <c r="BNH614" s="294"/>
      <c r="BNI614" s="294"/>
      <c r="BNJ614" s="294"/>
      <c r="BNK614" s="294"/>
      <c r="BNL614" s="294"/>
      <c r="BNM614" s="294"/>
      <c r="BNN614" s="294"/>
      <c r="BNO614" s="294"/>
      <c r="BNP614" s="294"/>
      <c r="BNQ614" s="294"/>
      <c r="BNR614" s="294"/>
      <c r="BNS614" s="294"/>
      <c r="BNT614" s="294"/>
      <c r="BNU614" s="294"/>
      <c r="BNV614" s="294"/>
      <c r="BNW614" s="294"/>
      <c r="BNX614" s="294"/>
      <c r="BNY614" s="294"/>
      <c r="BNZ614" s="294"/>
      <c r="BOA614" s="294"/>
      <c r="BOB614" s="294"/>
      <c r="BOC614" s="294"/>
      <c r="BOD614" s="294"/>
      <c r="BOE614" s="294"/>
      <c r="BOF614" s="294"/>
      <c r="BOG614" s="294"/>
      <c r="BOH614" s="294"/>
      <c r="BOI614" s="294"/>
      <c r="BOJ614" s="294"/>
      <c r="BOK614" s="294"/>
      <c r="BOL614" s="294"/>
      <c r="BOM614" s="294"/>
      <c r="BON614" s="294"/>
      <c r="BOO614" s="294"/>
      <c r="BOP614" s="294"/>
      <c r="BOQ614" s="294"/>
      <c r="BOR614" s="294"/>
      <c r="BOS614" s="294"/>
      <c r="BOT614" s="294"/>
      <c r="BOU614" s="294"/>
      <c r="BOV614" s="294"/>
      <c r="BOW614" s="294"/>
      <c r="BOX614" s="294"/>
      <c r="BOY614" s="294"/>
      <c r="BOZ614" s="294"/>
      <c r="BPA614" s="294"/>
      <c r="BPB614" s="294"/>
      <c r="BPC614" s="294"/>
      <c r="BPD614" s="294"/>
      <c r="BPE614" s="294"/>
      <c r="BPF614" s="294"/>
      <c r="BPG614" s="294"/>
      <c r="BPH614" s="294"/>
      <c r="BPI614" s="294"/>
      <c r="BPJ614" s="294"/>
      <c r="BPK614" s="294"/>
      <c r="BPL614" s="294"/>
      <c r="BPM614" s="294"/>
      <c r="BPN614" s="294"/>
      <c r="BPO614" s="294"/>
      <c r="BPP614" s="294"/>
      <c r="BPQ614" s="294"/>
      <c r="BPR614" s="294"/>
      <c r="BPS614" s="294"/>
      <c r="BPT614" s="294"/>
      <c r="BPU614" s="294"/>
      <c r="BPV614" s="294"/>
      <c r="BPW614" s="294"/>
      <c r="BPX614" s="294"/>
      <c r="BPY614" s="294"/>
      <c r="BPZ614" s="294"/>
      <c r="BQA614" s="294"/>
      <c r="BQB614" s="294"/>
      <c r="BQC614" s="294"/>
      <c r="BQD614" s="294"/>
      <c r="BQE614" s="294"/>
      <c r="BQF614" s="294"/>
      <c r="BQG614" s="294"/>
      <c r="BQH614" s="294"/>
      <c r="BQI614" s="294"/>
      <c r="BQJ614" s="294"/>
      <c r="BQK614" s="294"/>
      <c r="BQL614" s="294"/>
      <c r="BQM614" s="294"/>
      <c r="BQN614" s="294"/>
      <c r="BQO614" s="294"/>
      <c r="BQP614" s="294"/>
      <c r="BQQ614" s="294"/>
      <c r="BQR614" s="294"/>
      <c r="BQS614" s="294"/>
      <c r="BQT614" s="294"/>
      <c r="BQU614" s="294"/>
      <c r="BQV614" s="294"/>
      <c r="BQW614" s="294"/>
      <c r="BQX614" s="294"/>
      <c r="BQY614" s="294"/>
      <c r="BQZ614" s="294"/>
      <c r="BRA614" s="294"/>
      <c r="BRB614" s="294"/>
      <c r="BRC614" s="294"/>
      <c r="BRD614" s="294"/>
      <c r="BRE614" s="294"/>
      <c r="BRF614" s="294"/>
      <c r="BRG614" s="294"/>
      <c r="BRH614" s="294"/>
      <c r="BRI614" s="294"/>
      <c r="BRJ614" s="294"/>
      <c r="BRK614" s="294"/>
      <c r="BRL614" s="294"/>
      <c r="BRM614" s="294"/>
      <c r="BRN614" s="294"/>
      <c r="BRO614" s="294"/>
      <c r="BRP614" s="294"/>
      <c r="BRQ614" s="294"/>
      <c r="BRR614" s="294"/>
      <c r="BRS614" s="294"/>
      <c r="BRT614" s="294"/>
      <c r="BRU614" s="294"/>
      <c r="BRV614" s="294"/>
      <c r="BRW614" s="294"/>
      <c r="BRX614" s="294"/>
      <c r="BRY614" s="294"/>
      <c r="BRZ614" s="294"/>
      <c r="BSA614" s="294"/>
      <c r="BSB614" s="294"/>
      <c r="BSC614" s="294"/>
      <c r="BSD614" s="294"/>
      <c r="BSE614" s="294"/>
      <c r="BSF614" s="294"/>
      <c r="BSG614" s="294"/>
      <c r="BSH614" s="294"/>
      <c r="BSI614" s="294"/>
      <c r="BSJ614" s="294"/>
      <c r="BSK614" s="294"/>
      <c r="BSL614" s="294"/>
      <c r="BSM614" s="294"/>
      <c r="BSN614" s="294"/>
      <c r="BSO614" s="294"/>
      <c r="BSP614" s="294"/>
      <c r="BSQ614" s="294"/>
      <c r="BSR614" s="294"/>
      <c r="BSS614" s="294"/>
      <c r="BST614" s="294"/>
      <c r="BSU614" s="294"/>
      <c r="BSV614" s="294"/>
      <c r="BSW614" s="294"/>
      <c r="BSX614" s="294"/>
      <c r="BSY614" s="294"/>
      <c r="BSZ614" s="294"/>
      <c r="BTA614" s="294"/>
      <c r="BTB614" s="294"/>
      <c r="BTC614" s="294"/>
      <c r="BTD614" s="294"/>
      <c r="BTE614" s="294"/>
      <c r="BTF614" s="294"/>
      <c r="BTG614" s="294"/>
      <c r="BTH614" s="294"/>
      <c r="BTI614" s="294"/>
      <c r="BTJ614" s="294"/>
      <c r="BTK614" s="294"/>
      <c r="BTL614" s="294"/>
      <c r="BTM614" s="294"/>
      <c r="BTN614" s="294"/>
      <c r="BTO614" s="294"/>
      <c r="BTP614" s="294"/>
      <c r="BTQ614" s="294"/>
      <c r="BTR614" s="294"/>
      <c r="BTS614" s="294"/>
      <c r="BTT614" s="294"/>
      <c r="BTU614" s="294"/>
      <c r="BTV614" s="294"/>
      <c r="BTW614" s="294"/>
      <c r="BTX614" s="294"/>
      <c r="BTY614" s="294"/>
      <c r="BTZ614" s="294"/>
      <c r="BUA614" s="294"/>
      <c r="BUB614" s="294"/>
      <c r="BUC614" s="294"/>
      <c r="BUD614" s="294"/>
      <c r="BUE614" s="294"/>
      <c r="BUF614" s="294"/>
      <c r="BUG614" s="294"/>
      <c r="BUH614" s="294"/>
      <c r="BUI614" s="294"/>
      <c r="BUJ614" s="294"/>
      <c r="BUK614" s="294"/>
      <c r="BUL614" s="294"/>
      <c r="BUM614" s="294"/>
      <c r="BUN614" s="294"/>
      <c r="BUO614" s="294"/>
      <c r="BUP614" s="294"/>
      <c r="BUQ614" s="294"/>
      <c r="BUR614" s="294"/>
      <c r="BUS614" s="294"/>
      <c r="BUT614" s="294"/>
      <c r="BUU614" s="294"/>
      <c r="BUV614" s="294"/>
      <c r="BUW614" s="294"/>
      <c r="BUX614" s="294"/>
      <c r="BUY614" s="294"/>
      <c r="BUZ614" s="294"/>
      <c r="BVA614" s="294"/>
      <c r="BVB614" s="294"/>
      <c r="BVC614" s="294"/>
      <c r="BVD614" s="294"/>
      <c r="BVE614" s="294"/>
      <c r="BVF614" s="294"/>
      <c r="BVG614" s="294"/>
      <c r="BVH614" s="294"/>
      <c r="BVI614" s="294"/>
      <c r="BVJ614" s="294"/>
      <c r="BVK614" s="294"/>
      <c r="BVL614" s="294"/>
      <c r="BVM614" s="294"/>
      <c r="BVN614" s="294"/>
      <c r="BVO614" s="294"/>
      <c r="BVP614" s="294"/>
      <c r="BVQ614" s="294"/>
      <c r="BVR614" s="294"/>
      <c r="BVS614" s="294"/>
      <c r="BVT614" s="294"/>
      <c r="BVU614" s="294"/>
      <c r="BVV614" s="294"/>
      <c r="BVW614" s="294"/>
      <c r="BVX614" s="294"/>
      <c r="BVY614" s="294"/>
      <c r="BVZ614" s="294"/>
      <c r="BWA614" s="294"/>
      <c r="BWB614" s="294"/>
      <c r="BWC614" s="294"/>
      <c r="BWD614" s="294"/>
      <c r="BWE614" s="294"/>
      <c r="BWF614" s="294"/>
      <c r="BWG614" s="294"/>
      <c r="BWH614" s="294"/>
      <c r="BWI614" s="294"/>
      <c r="BWJ614" s="294"/>
      <c r="BWK614" s="294"/>
      <c r="BWL614" s="294"/>
      <c r="BWM614" s="294"/>
      <c r="BWN614" s="294"/>
      <c r="BWO614" s="294"/>
      <c r="BWP614" s="294"/>
      <c r="BWQ614" s="294"/>
      <c r="BWR614" s="294"/>
      <c r="BWS614" s="294"/>
      <c r="BWT614" s="294"/>
      <c r="BWU614" s="294"/>
      <c r="BWV614" s="294"/>
      <c r="BWW614" s="294"/>
      <c r="BWX614" s="294"/>
      <c r="BWY614" s="294"/>
      <c r="BWZ614" s="294"/>
      <c r="BXA614" s="294"/>
      <c r="BXB614" s="294"/>
      <c r="BXC614" s="294"/>
      <c r="BXD614" s="294"/>
      <c r="BXE614" s="294"/>
      <c r="BXF614" s="294"/>
      <c r="BXG614" s="294"/>
      <c r="BXH614" s="294"/>
      <c r="BXI614" s="294"/>
      <c r="BXJ614" s="294"/>
      <c r="BXK614" s="294"/>
      <c r="BXL614" s="294"/>
      <c r="BXM614" s="294"/>
      <c r="BXN614" s="294"/>
      <c r="BXO614" s="294"/>
      <c r="BXP614" s="294"/>
      <c r="BXQ614" s="294"/>
      <c r="BXR614" s="294"/>
      <c r="BXS614" s="294"/>
      <c r="BXT614" s="294"/>
      <c r="BXU614" s="294"/>
      <c r="BXV614" s="294"/>
      <c r="BXW614" s="294"/>
      <c r="BXX614" s="294"/>
      <c r="BXY614" s="294"/>
      <c r="BXZ614" s="294"/>
      <c r="BYA614" s="294"/>
      <c r="BYB614" s="294"/>
      <c r="BYC614" s="294"/>
      <c r="BYD614" s="294"/>
      <c r="BYE614" s="294"/>
      <c r="BYF614" s="294"/>
      <c r="BYG614" s="294"/>
      <c r="BYH614" s="294"/>
      <c r="BYI614" s="294"/>
      <c r="BYJ614" s="294"/>
      <c r="BYK614" s="294"/>
      <c r="BYL614" s="294"/>
      <c r="BYM614" s="294"/>
      <c r="BYN614" s="294"/>
      <c r="BYO614" s="294"/>
      <c r="BYP614" s="294"/>
      <c r="BYQ614" s="294"/>
      <c r="BYR614" s="294"/>
      <c r="BYS614" s="294"/>
      <c r="BYT614" s="294"/>
      <c r="BYU614" s="294"/>
      <c r="BYV614" s="294"/>
      <c r="BYW614" s="294"/>
      <c r="BYX614" s="294"/>
      <c r="BYY614" s="294"/>
      <c r="BYZ614" s="294"/>
      <c r="BZA614" s="294"/>
      <c r="BZB614" s="294"/>
      <c r="BZC614" s="294"/>
      <c r="BZD614" s="294"/>
      <c r="BZE614" s="294"/>
      <c r="BZF614" s="294"/>
      <c r="BZG614" s="294"/>
      <c r="BZH614" s="294"/>
      <c r="BZI614" s="294"/>
      <c r="BZJ614" s="294"/>
      <c r="BZK614" s="294"/>
      <c r="BZL614" s="294"/>
      <c r="BZM614" s="294"/>
      <c r="BZN614" s="294"/>
      <c r="BZO614" s="294"/>
      <c r="BZP614" s="294"/>
      <c r="BZQ614" s="294"/>
      <c r="BZR614" s="294"/>
      <c r="BZS614" s="294"/>
      <c r="BZT614" s="294"/>
      <c r="BZU614" s="294"/>
      <c r="BZV614" s="294"/>
      <c r="BZW614" s="294"/>
      <c r="BZX614" s="294"/>
      <c r="BZY614" s="294"/>
      <c r="BZZ614" s="294"/>
      <c r="CAA614" s="294"/>
      <c r="CAB614" s="294"/>
      <c r="CAC614" s="294"/>
      <c r="CAD614" s="294"/>
      <c r="CAE614" s="294"/>
      <c r="CAF614" s="294"/>
      <c r="CAG614" s="294"/>
      <c r="CAH614" s="294"/>
      <c r="CAI614" s="294"/>
      <c r="CAJ614" s="294"/>
      <c r="CAK614" s="294"/>
      <c r="CAL614" s="294"/>
      <c r="CAM614" s="294"/>
      <c r="CAN614" s="294"/>
      <c r="CAO614" s="294"/>
      <c r="CAP614" s="294"/>
      <c r="CAQ614" s="294"/>
      <c r="CAR614" s="294"/>
      <c r="CAS614" s="294"/>
      <c r="CAT614" s="294"/>
      <c r="CAU614" s="294"/>
      <c r="CAV614" s="294"/>
      <c r="CAW614" s="294"/>
      <c r="CAX614" s="294"/>
      <c r="CAY614" s="294"/>
      <c r="CAZ614" s="294"/>
      <c r="CBA614" s="294"/>
      <c r="CBB614" s="294"/>
      <c r="CBC614" s="294"/>
      <c r="CBD614" s="294"/>
      <c r="CBE614" s="294"/>
      <c r="CBF614" s="294"/>
      <c r="CBG614" s="294"/>
      <c r="CBH614" s="294"/>
      <c r="CBI614" s="294"/>
      <c r="CBJ614" s="294"/>
      <c r="CBK614" s="294"/>
      <c r="CBL614" s="294"/>
      <c r="CBM614" s="294"/>
      <c r="CBN614" s="294"/>
      <c r="CBO614" s="294"/>
      <c r="CBP614" s="294"/>
      <c r="CBQ614" s="294"/>
      <c r="CBR614" s="294"/>
      <c r="CBS614" s="294"/>
      <c r="CBT614" s="294"/>
      <c r="CBU614" s="294"/>
      <c r="CBV614" s="294"/>
      <c r="CBW614" s="294"/>
      <c r="CBX614" s="294"/>
      <c r="CBY614" s="294"/>
      <c r="CBZ614" s="294"/>
      <c r="CCA614" s="294"/>
      <c r="CCB614" s="294"/>
      <c r="CCC614" s="294"/>
      <c r="CCD614" s="294"/>
      <c r="CCE614" s="294"/>
      <c r="CCF614" s="294"/>
      <c r="CCG614" s="294"/>
      <c r="CCH614" s="294"/>
      <c r="CCI614" s="294"/>
      <c r="CCJ614" s="294"/>
      <c r="CCK614" s="294"/>
      <c r="CCL614" s="294"/>
      <c r="CCM614" s="294"/>
      <c r="CCN614" s="294"/>
      <c r="CCO614" s="294"/>
      <c r="CCP614" s="294"/>
      <c r="CCQ614" s="294"/>
      <c r="CCR614" s="294"/>
      <c r="CCS614" s="294"/>
      <c r="CCT614" s="294"/>
      <c r="CCU614" s="294"/>
      <c r="CCV614" s="294"/>
      <c r="CCW614" s="294"/>
      <c r="CCX614" s="294"/>
      <c r="CCY614" s="294"/>
      <c r="CCZ614" s="294"/>
      <c r="CDA614" s="294"/>
      <c r="CDB614" s="294"/>
      <c r="CDC614" s="294"/>
      <c r="CDD614" s="294"/>
      <c r="CDE614" s="294"/>
      <c r="CDF614" s="294"/>
      <c r="CDG614" s="294"/>
      <c r="CDH614" s="294"/>
      <c r="CDI614" s="294"/>
      <c r="CDJ614" s="294"/>
      <c r="CDK614" s="294"/>
      <c r="CDL614" s="294"/>
      <c r="CDM614" s="294"/>
      <c r="CDN614" s="294"/>
      <c r="CDO614" s="294"/>
      <c r="CDP614" s="294"/>
      <c r="CDQ614" s="294"/>
      <c r="CDR614" s="294"/>
      <c r="CDS614" s="294"/>
      <c r="CDT614" s="294"/>
      <c r="CDU614" s="294"/>
      <c r="CDV614" s="294"/>
      <c r="CDW614" s="294"/>
      <c r="CDX614" s="294"/>
      <c r="CDY614" s="294"/>
      <c r="CDZ614" s="294"/>
      <c r="CEA614" s="294"/>
      <c r="CEB614" s="294"/>
      <c r="CEC614" s="294"/>
      <c r="CED614" s="294"/>
      <c r="CEE614" s="294"/>
      <c r="CEF614" s="294"/>
      <c r="CEG614" s="294"/>
      <c r="CEH614" s="294"/>
      <c r="CEI614" s="294"/>
      <c r="CEJ614" s="294"/>
      <c r="CEK614" s="294"/>
      <c r="CEL614" s="294"/>
      <c r="CEM614" s="294"/>
      <c r="CEN614" s="294"/>
      <c r="CEO614" s="294"/>
      <c r="CEP614" s="294"/>
      <c r="CEQ614" s="294"/>
      <c r="CER614" s="294"/>
      <c r="CES614" s="294"/>
      <c r="CET614" s="294"/>
      <c r="CEU614" s="294"/>
      <c r="CEV614" s="294"/>
      <c r="CEW614" s="294"/>
      <c r="CEX614" s="294"/>
      <c r="CEY614" s="294"/>
      <c r="CEZ614" s="294"/>
      <c r="CFA614" s="294"/>
      <c r="CFB614" s="294"/>
      <c r="CFC614" s="294"/>
      <c r="CFD614" s="294"/>
      <c r="CFE614" s="294"/>
      <c r="CFF614" s="294"/>
      <c r="CFG614" s="294"/>
      <c r="CFH614" s="294"/>
      <c r="CFI614" s="294"/>
      <c r="CFJ614" s="294"/>
      <c r="CFK614" s="294"/>
      <c r="CFL614" s="294"/>
      <c r="CFM614" s="294"/>
      <c r="CFN614" s="294"/>
      <c r="CFO614" s="294"/>
      <c r="CFP614" s="294"/>
      <c r="CFQ614" s="294"/>
      <c r="CFR614" s="294"/>
      <c r="CFS614" s="294"/>
      <c r="CFT614" s="294"/>
      <c r="CFU614" s="294"/>
      <c r="CFV614" s="294"/>
      <c r="CFW614" s="294"/>
      <c r="CFX614" s="294"/>
      <c r="CFY614" s="294"/>
      <c r="CFZ614" s="294"/>
      <c r="CGA614" s="294"/>
      <c r="CGB614" s="294"/>
      <c r="CGC614" s="294"/>
      <c r="CGD614" s="294"/>
      <c r="CGE614" s="294"/>
      <c r="CGF614" s="294"/>
      <c r="CGG614" s="294"/>
      <c r="CGH614" s="294"/>
      <c r="CGI614" s="294"/>
      <c r="CGJ614" s="294"/>
      <c r="CGK614" s="294"/>
      <c r="CGL614" s="294"/>
      <c r="CGM614" s="294"/>
      <c r="CGN614" s="294"/>
      <c r="CGO614" s="294"/>
      <c r="CGP614" s="294"/>
      <c r="CGQ614" s="294"/>
      <c r="CGR614" s="294"/>
      <c r="CGS614" s="294"/>
      <c r="CGT614" s="294"/>
      <c r="CGU614" s="294"/>
      <c r="CGV614" s="294"/>
      <c r="CGW614" s="294"/>
      <c r="CGX614" s="294"/>
      <c r="CGY614" s="294"/>
      <c r="CGZ614" s="294"/>
      <c r="CHA614" s="294"/>
      <c r="CHB614" s="294"/>
      <c r="CHC614" s="294"/>
      <c r="CHD614" s="294"/>
      <c r="CHE614" s="294"/>
      <c r="CHF614" s="294"/>
      <c r="CHG614" s="294"/>
      <c r="CHH614" s="294"/>
      <c r="CHI614" s="294"/>
      <c r="CHJ614" s="294"/>
      <c r="CHK614" s="294"/>
      <c r="CHL614" s="294"/>
      <c r="CHM614" s="294"/>
      <c r="CHN614" s="294"/>
      <c r="CHO614" s="294"/>
      <c r="CHP614" s="294"/>
      <c r="CHQ614" s="294"/>
      <c r="CHR614" s="294"/>
      <c r="CHS614" s="294"/>
      <c r="CHT614" s="294"/>
      <c r="CHU614" s="294"/>
      <c r="CHV614" s="294"/>
      <c r="CHW614" s="294"/>
      <c r="CHX614" s="294"/>
      <c r="CHY614" s="294"/>
      <c r="CHZ614" s="294"/>
      <c r="CIA614" s="294"/>
      <c r="CIB614" s="294"/>
      <c r="CIC614" s="294"/>
      <c r="CID614" s="294"/>
      <c r="CIE614" s="294"/>
      <c r="CIF614" s="294"/>
      <c r="CIG614" s="294"/>
      <c r="CIH614" s="294"/>
      <c r="CII614" s="294"/>
      <c r="CIJ614" s="294"/>
      <c r="CIK614" s="294"/>
      <c r="CIL614" s="294"/>
      <c r="CIM614" s="294"/>
      <c r="CIN614" s="294"/>
      <c r="CIO614" s="294"/>
      <c r="CIP614" s="294"/>
      <c r="CIQ614" s="294"/>
      <c r="CIR614" s="294"/>
      <c r="CIS614" s="294"/>
      <c r="CIT614" s="294"/>
      <c r="CIU614" s="294"/>
      <c r="CIV614" s="294"/>
      <c r="CIW614" s="294"/>
      <c r="CIX614" s="294"/>
      <c r="CIY614" s="294"/>
      <c r="CIZ614" s="294"/>
      <c r="CJA614" s="294"/>
      <c r="CJB614" s="294"/>
      <c r="CJC614" s="294"/>
      <c r="CJD614" s="294"/>
      <c r="CJE614" s="294"/>
      <c r="CJF614" s="294"/>
      <c r="CJG614" s="294"/>
      <c r="CJH614" s="294"/>
      <c r="CJI614" s="294"/>
      <c r="CJJ614" s="294"/>
      <c r="CJK614" s="294"/>
      <c r="CJL614" s="294"/>
      <c r="CJM614" s="294"/>
      <c r="CJN614" s="294"/>
      <c r="CJO614" s="294"/>
      <c r="CJP614" s="294"/>
      <c r="CJQ614" s="294"/>
      <c r="CJR614" s="294"/>
      <c r="CJS614" s="294"/>
      <c r="CJT614" s="294"/>
      <c r="CJU614" s="294"/>
      <c r="CJV614" s="294"/>
      <c r="CJW614" s="294"/>
      <c r="CJX614" s="294"/>
      <c r="CJY614" s="294"/>
      <c r="CJZ614" s="294"/>
      <c r="CKA614" s="294"/>
      <c r="CKB614" s="294"/>
      <c r="CKC614" s="294"/>
      <c r="CKD614" s="294"/>
      <c r="CKE614" s="294"/>
      <c r="CKF614" s="294"/>
      <c r="CKG614" s="294"/>
      <c r="CKH614" s="294"/>
      <c r="CKI614" s="294"/>
      <c r="CKJ614" s="294"/>
      <c r="CKK614" s="294"/>
      <c r="CKL614" s="294"/>
      <c r="CKM614" s="294"/>
      <c r="CKN614" s="294"/>
      <c r="CKO614" s="294"/>
      <c r="CKP614" s="294"/>
      <c r="CKQ614" s="294"/>
      <c r="CKR614" s="294"/>
      <c r="CKS614" s="294"/>
      <c r="CKT614" s="294"/>
      <c r="CKU614" s="294"/>
      <c r="CKV614" s="294"/>
      <c r="CKW614" s="294"/>
      <c r="CKX614" s="294"/>
      <c r="CKY614" s="294"/>
      <c r="CKZ614" s="294"/>
      <c r="CLA614" s="294"/>
      <c r="CLB614" s="294"/>
      <c r="CLC614" s="294"/>
      <c r="CLD614" s="294"/>
      <c r="CLE614" s="294"/>
      <c r="CLF614" s="294"/>
      <c r="CLG614" s="294"/>
      <c r="CLH614" s="294"/>
      <c r="CLI614" s="294"/>
      <c r="CLJ614" s="294"/>
      <c r="CLK614" s="294"/>
      <c r="CLL614" s="294"/>
      <c r="CLM614" s="294"/>
      <c r="CLN614" s="294"/>
      <c r="CLO614" s="294"/>
      <c r="CLP614" s="294"/>
      <c r="CLQ614" s="294"/>
      <c r="CLR614" s="294"/>
      <c r="CLS614" s="294"/>
      <c r="CLT614" s="294"/>
      <c r="CLU614" s="294"/>
      <c r="CLV614" s="294"/>
      <c r="CLW614" s="294"/>
      <c r="CLX614" s="294"/>
      <c r="CLY614" s="294"/>
      <c r="CLZ614" s="294"/>
      <c r="CMA614" s="294"/>
      <c r="CMB614" s="294"/>
      <c r="CMC614" s="294"/>
      <c r="CMD614" s="294"/>
      <c r="CME614" s="294"/>
      <c r="CMF614" s="294"/>
      <c r="CMG614" s="294"/>
      <c r="CMH614" s="294"/>
      <c r="CMI614" s="294"/>
      <c r="CMJ614" s="294"/>
      <c r="CMK614" s="294"/>
      <c r="CML614" s="294"/>
      <c r="CMM614" s="294"/>
      <c r="CMN614" s="294"/>
      <c r="CMO614" s="294"/>
      <c r="CMP614" s="294"/>
      <c r="CMQ614" s="294"/>
      <c r="CMR614" s="294"/>
      <c r="CMS614" s="294"/>
      <c r="CMT614" s="294"/>
      <c r="CMU614" s="294"/>
      <c r="CMV614" s="294"/>
      <c r="CMW614" s="294"/>
      <c r="CMX614" s="294"/>
      <c r="CMY614" s="294"/>
      <c r="CMZ614" s="294"/>
      <c r="CNA614" s="294"/>
      <c r="CNB614" s="294"/>
      <c r="CNC614" s="294"/>
      <c r="CND614" s="294"/>
      <c r="CNE614" s="294"/>
      <c r="CNF614" s="294"/>
      <c r="CNG614" s="294"/>
      <c r="CNH614" s="294"/>
      <c r="CNI614" s="294"/>
      <c r="CNJ614" s="294"/>
      <c r="CNK614" s="294"/>
      <c r="CNL614" s="294"/>
      <c r="CNM614" s="294"/>
      <c r="CNN614" s="294"/>
      <c r="CNO614" s="294"/>
      <c r="CNP614" s="294"/>
      <c r="CNQ614" s="294"/>
      <c r="CNR614" s="294"/>
      <c r="CNS614" s="294"/>
      <c r="CNT614" s="294"/>
      <c r="CNU614" s="294"/>
      <c r="CNV614" s="294"/>
      <c r="CNW614" s="294"/>
      <c r="CNX614" s="294"/>
      <c r="CNY614" s="294"/>
      <c r="CNZ614" s="294"/>
      <c r="COA614" s="294"/>
      <c r="COB614" s="294"/>
      <c r="COC614" s="294"/>
      <c r="COD614" s="294"/>
      <c r="COE614" s="294"/>
      <c r="COF614" s="294"/>
      <c r="COG614" s="294"/>
      <c r="COH614" s="294"/>
      <c r="COI614" s="294"/>
      <c r="COJ614" s="294"/>
      <c r="COK614" s="294"/>
      <c r="COL614" s="294"/>
      <c r="COM614" s="294"/>
      <c r="CON614" s="294"/>
      <c r="COO614" s="294"/>
      <c r="COP614" s="294"/>
      <c r="COQ614" s="294"/>
      <c r="COR614" s="294"/>
      <c r="COS614" s="294"/>
      <c r="COT614" s="294"/>
      <c r="COU614" s="294"/>
      <c r="COV614" s="294"/>
      <c r="COW614" s="294"/>
      <c r="COX614" s="294"/>
      <c r="COY614" s="294"/>
      <c r="COZ614" s="294"/>
      <c r="CPA614" s="294"/>
      <c r="CPB614" s="294"/>
      <c r="CPC614" s="294"/>
      <c r="CPD614" s="294"/>
      <c r="CPE614" s="294"/>
      <c r="CPF614" s="294"/>
      <c r="CPG614" s="294"/>
      <c r="CPH614" s="294"/>
      <c r="CPI614" s="294"/>
      <c r="CPJ614" s="294"/>
      <c r="CPK614" s="294"/>
      <c r="CPL614" s="294"/>
      <c r="CPM614" s="294"/>
      <c r="CPN614" s="294"/>
      <c r="CPO614" s="294"/>
      <c r="CPP614" s="294"/>
      <c r="CPQ614" s="294"/>
      <c r="CPR614" s="294"/>
      <c r="CPS614" s="294"/>
      <c r="CPT614" s="294"/>
      <c r="CPU614" s="294"/>
      <c r="CPV614" s="294"/>
      <c r="CPW614" s="294"/>
      <c r="CPX614" s="294"/>
      <c r="CPY614" s="294"/>
      <c r="CPZ614" s="294"/>
      <c r="CQA614" s="294"/>
      <c r="CQB614" s="294"/>
      <c r="CQC614" s="294"/>
      <c r="CQD614" s="294"/>
      <c r="CQE614" s="294"/>
      <c r="CQF614" s="294"/>
      <c r="CQG614" s="294"/>
      <c r="CQH614" s="294"/>
      <c r="CQI614" s="294"/>
      <c r="CQJ614" s="294"/>
      <c r="CQK614" s="294"/>
      <c r="CQL614" s="294"/>
      <c r="CQM614" s="294"/>
      <c r="CQN614" s="294"/>
      <c r="CQO614" s="294"/>
      <c r="CQP614" s="294"/>
      <c r="CQQ614" s="294"/>
      <c r="CQR614" s="294"/>
      <c r="CQS614" s="294"/>
      <c r="CQT614" s="294"/>
      <c r="CQU614" s="294"/>
      <c r="CQV614" s="294"/>
      <c r="CQW614" s="294"/>
      <c r="CQX614" s="294"/>
      <c r="CQY614" s="294"/>
      <c r="CQZ614" s="294"/>
      <c r="CRA614" s="294"/>
      <c r="CRB614" s="294"/>
      <c r="CRC614" s="294"/>
      <c r="CRD614" s="294"/>
      <c r="CRE614" s="294"/>
      <c r="CRF614" s="294"/>
      <c r="CRG614" s="294"/>
      <c r="CRH614" s="294"/>
      <c r="CRI614" s="294"/>
      <c r="CRJ614" s="294"/>
      <c r="CRK614" s="294"/>
      <c r="CRL614" s="294"/>
      <c r="CRM614" s="294"/>
      <c r="CRN614" s="294"/>
      <c r="CRO614" s="294"/>
      <c r="CRP614" s="294"/>
      <c r="CRQ614" s="294"/>
      <c r="CRR614" s="294"/>
      <c r="CRS614" s="294"/>
      <c r="CRT614" s="294"/>
      <c r="CRU614" s="294"/>
      <c r="CRV614" s="294"/>
      <c r="CRW614" s="294"/>
      <c r="CRX614" s="294"/>
      <c r="CRY614" s="294"/>
      <c r="CRZ614" s="294"/>
      <c r="CSA614" s="294"/>
      <c r="CSB614" s="294"/>
      <c r="CSC614" s="294"/>
      <c r="CSD614" s="294"/>
      <c r="CSE614" s="294"/>
      <c r="CSF614" s="294"/>
      <c r="CSG614" s="294"/>
      <c r="CSH614" s="294"/>
      <c r="CSI614" s="294"/>
      <c r="CSJ614" s="294"/>
      <c r="CSK614" s="294"/>
      <c r="CSL614" s="294"/>
      <c r="CSM614" s="294"/>
      <c r="CSN614" s="294"/>
      <c r="CSO614" s="294"/>
      <c r="CSP614" s="294"/>
      <c r="CSQ614" s="294"/>
      <c r="CSR614" s="294"/>
      <c r="CSS614" s="294"/>
      <c r="CST614" s="294"/>
      <c r="CSU614" s="294"/>
      <c r="CSV614" s="294"/>
      <c r="CSW614" s="294"/>
      <c r="CSX614" s="294"/>
      <c r="CSY614" s="294"/>
      <c r="CSZ614" s="294"/>
      <c r="CTA614" s="294"/>
      <c r="CTB614" s="294"/>
      <c r="CTC614" s="294"/>
      <c r="CTD614" s="294"/>
      <c r="CTE614" s="294"/>
      <c r="CTF614" s="294"/>
      <c r="CTG614" s="294"/>
      <c r="CTH614" s="294"/>
      <c r="CTI614" s="294"/>
      <c r="CTJ614" s="294"/>
      <c r="CTK614" s="294"/>
      <c r="CTL614" s="294"/>
      <c r="CTM614" s="294"/>
      <c r="CTN614" s="294"/>
      <c r="CTO614" s="294"/>
      <c r="CTP614" s="294"/>
      <c r="CTQ614" s="294"/>
      <c r="CTR614" s="294"/>
      <c r="CTS614" s="294"/>
      <c r="CTT614" s="294"/>
      <c r="CTU614" s="294"/>
      <c r="CTV614" s="294"/>
      <c r="CTW614" s="294"/>
      <c r="CTX614" s="294"/>
      <c r="CTY614" s="294"/>
      <c r="CTZ614" s="294"/>
      <c r="CUA614" s="294"/>
      <c r="CUB614" s="294"/>
      <c r="CUC614" s="294"/>
      <c r="CUD614" s="294"/>
      <c r="CUE614" s="294"/>
      <c r="CUF614" s="294"/>
      <c r="CUG614" s="294"/>
      <c r="CUH614" s="294"/>
      <c r="CUI614" s="294"/>
      <c r="CUJ614" s="294"/>
      <c r="CUK614" s="294"/>
      <c r="CUL614" s="294"/>
      <c r="CUM614" s="294"/>
      <c r="CUN614" s="294"/>
      <c r="CUO614" s="294"/>
      <c r="CUP614" s="294"/>
      <c r="CUQ614" s="294"/>
      <c r="CUR614" s="294"/>
      <c r="CUS614" s="294"/>
      <c r="CUT614" s="294"/>
      <c r="CUU614" s="294"/>
      <c r="CUV614" s="294"/>
      <c r="CUW614" s="294"/>
      <c r="CUX614" s="294"/>
      <c r="CUY614" s="294"/>
      <c r="CUZ614" s="294"/>
      <c r="CVA614" s="294"/>
      <c r="CVB614" s="294"/>
      <c r="CVC614" s="294"/>
      <c r="CVD614" s="294"/>
      <c r="CVE614" s="294"/>
      <c r="CVF614" s="294"/>
      <c r="CVG614" s="294"/>
      <c r="CVH614" s="294"/>
      <c r="CVI614" s="294"/>
      <c r="CVJ614" s="294"/>
      <c r="CVK614" s="294"/>
      <c r="CVL614" s="294"/>
      <c r="CVM614" s="294"/>
      <c r="CVN614" s="294"/>
      <c r="CVO614" s="294"/>
      <c r="CVP614" s="294"/>
      <c r="CVQ614" s="294"/>
      <c r="CVR614" s="294"/>
      <c r="CVS614" s="294"/>
      <c r="CVT614" s="294"/>
      <c r="CVU614" s="294"/>
      <c r="CVV614" s="294"/>
      <c r="CVW614" s="294"/>
      <c r="CVX614" s="294"/>
      <c r="CVY614" s="294"/>
      <c r="CVZ614" s="294"/>
      <c r="CWA614" s="294"/>
      <c r="CWB614" s="294"/>
      <c r="CWC614" s="294"/>
      <c r="CWD614" s="294"/>
      <c r="CWE614" s="294"/>
      <c r="CWF614" s="294"/>
      <c r="CWG614" s="294"/>
      <c r="CWH614" s="294"/>
      <c r="CWI614" s="294"/>
      <c r="CWJ614" s="294"/>
      <c r="CWK614" s="294"/>
      <c r="CWL614" s="294"/>
      <c r="CWM614" s="294"/>
      <c r="CWN614" s="294"/>
      <c r="CWO614" s="294"/>
      <c r="CWP614" s="294"/>
      <c r="CWQ614" s="294"/>
      <c r="CWR614" s="294"/>
      <c r="CWS614" s="294"/>
      <c r="CWT614" s="294"/>
      <c r="CWU614" s="294"/>
      <c r="CWV614" s="294"/>
      <c r="CWW614" s="294"/>
      <c r="CWX614" s="294"/>
      <c r="CWY614" s="294"/>
      <c r="CWZ614" s="294"/>
      <c r="CXA614" s="294"/>
      <c r="CXB614" s="294"/>
      <c r="CXC614" s="294"/>
      <c r="CXD614" s="294"/>
      <c r="CXE614" s="294"/>
      <c r="CXF614" s="294"/>
      <c r="CXG614" s="294"/>
      <c r="CXH614" s="294"/>
      <c r="CXI614" s="294"/>
      <c r="CXJ614" s="294"/>
      <c r="CXK614" s="294"/>
      <c r="CXL614" s="294"/>
      <c r="CXM614" s="294"/>
      <c r="CXN614" s="294"/>
      <c r="CXO614" s="294"/>
      <c r="CXP614" s="294"/>
      <c r="CXQ614" s="294"/>
      <c r="CXR614" s="294"/>
      <c r="CXS614" s="294"/>
      <c r="CXT614" s="294"/>
      <c r="CXU614" s="294"/>
      <c r="CXV614" s="294"/>
      <c r="CXW614" s="294"/>
      <c r="CXX614" s="294"/>
      <c r="CXY614" s="294"/>
      <c r="CXZ614" s="294"/>
      <c r="CYA614" s="294"/>
      <c r="CYB614" s="294"/>
      <c r="CYC614" s="294"/>
      <c r="CYD614" s="294"/>
      <c r="CYE614" s="294"/>
      <c r="CYF614" s="294"/>
      <c r="CYG614" s="294"/>
      <c r="CYH614" s="294"/>
      <c r="CYI614" s="294"/>
      <c r="CYJ614" s="294"/>
      <c r="CYK614" s="294"/>
      <c r="CYL614" s="294"/>
      <c r="CYM614" s="294"/>
      <c r="CYN614" s="294"/>
      <c r="CYO614" s="294"/>
      <c r="CYP614" s="294"/>
      <c r="CYQ614" s="294"/>
      <c r="CYR614" s="294"/>
      <c r="CYS614" s="294"/>
      <c r="CYT614" s="294"/>
      <c r="CYU614" s="294"/>
      <c r="CYV614" s="294"/>
      <c r="CYW614" s="294"/>
      <c r="CYX614" s="294"/>
      <c r="CYY614" s="294"/>
      <c r="CYZ614" s="294"/>
      <c r="CZA614" s="294"/>
      <c r="CZB614" s="294"/>
      <c r="CZC614" s="294"/>
      <c r="CZD614" s="294"/>
      <c r="CZE614" s="294"/>
      <c r="CZF614" s="294"/>
      <c r="CZG614" s="294"/>
      <c r="CZH614" s="294"/>
      <c r="CZI614" s="294"/>
      <c r="CZJ614" s="294"/>
      <c r="CZK614" s="294"/>
      <c r="CZL614" s="294"/>
      <c r="CZM614" s="294"/>
      <c r="CZN614" s="294"/>
      <c r="CZO614" s="294"/>
      <c r="CZP614" s="294"/>
      <c r="CZQ614" s="294"/>
      <c r="CZR614" s="294"/>
      <c r="CZS614" s="294"/>
      <c r="CZT614" s="294"/>
      <c r="CZU614" s="294"/>
      <c r="CZV614" s="294"/>
      <c r="CZW614" s="294"/>
      <c r="CZX614" s="294"/>
      <c r="CZY614" s="294"/>
      <c r="CZZ614" s="294"/>
      <c r="DAA614" s="294"/>
      <c r="DAB614" s="294"/>
      <c r="DAC614" s="294"/>
      <c r="DAD614" s="294"/>
      <c r="DAE614" s="294"/>
      <c r="DAF614" s="294"/>
      <c r="DAG614" s="294"/>
      <c r="DAH614" s="294"/>
      <c r="DAI614" s="294"/>
      <c r="DAJ614" s="294"/>
      <c r="DAK614" s="294"/>
      <c r="DAL614" s="294"/>
      <c r="DAM614" s="294"/>
      <c r="DAN614" s="294"/>
      <c r="DAO614" s="294"/>
      <c r="DAP614" s="294"/>
      <c r="DAQ614" s="294"/>
      <c r="DAR614" s="294"/>
      <c r="DAS614" s="294"/>
      <c r="DAT614" s="294"/>
      <c r="DAU614" s="294"/>
      <c r="DAV614" s="294"/>
      <c r="DAW614" s="294"/>
      <c r="DAX614" s="294"/>
      <c r="DAY614" s="294"/>
      <c r="DAZ614" s="294"/>
      <c r="DBA614" s="294"/>
      <c r="DBB614" s="294"/>
      <c r="DBC614" s="294"/>
      <c r="DBD614" s="294"/>
      <c r="DBE614" s="294"/>
      <c r="DBF614" s="294"/>
      <c r="DBG614" s="294"/>
      <c r="DBH614" s="294"/>
      <c r="DBI614" s="294"/>
      <c r="DBJ614" s="294"/>
      <c r="DBK614" s="294"/>
      <c r="DBL614" s="294"/>
      <c r="DBM614" s="294"/>
      <c r="DBN614" s="294"/>
      <c r="DBO614" s="294"/>
      <c r="DBP614" s="294"/>
      <c r="DBQ614" s="294"/>
      <c r="DBR614" s="294"/>
      <c r="DBS614" s="294"/>
      <c r="DBT614" s="294"/>
      <c r="DBU614" s="294"/>
      <c r="DBV614" s="294"/>
      <c r="DBW614" s="294"/>
      <c r="DBX614" s="294"/>
      <c r="DBY614" s="294"/>
      <c r="DBZ614" s="294"/>
      <c r="DCA614" s="294"/>
      <c r="DCB614" s="294"/>
      <c r="DCC614" s="294"/>
      <c r="DCD614" s="294"/>
      <c r="DCE614" s="294"/>
      <c r="DCF614" s="294"/>
      <c r="DCG614" s="294"/>
      <c r="DCH614" s="294"/>
      <c r="DCI614" s="294"/>
      <c r="DCJ614" s="294"/>
      <c r="DCK614" s="294"/>
      <c r="DCL614" s="294"/>
      <c r="DCM614" s="294"/>
      <c r="DCN614" s="294"/>
      <c r="DCO614" s="294"/>
      <c r="DCP614" s="294"/>
      <c r="DCQ614" s="294"/>
      <c r="DCR614" s="294"/>
      <c r="DCS614" s="294"/>
      <c r="DCT614" s="294"/>
      <c r="DCU614" s="294"/>
      <c r="DCV614" s="294"/>
      <c r="DCW614" s="294"/>
      <c r="DCX614" s="294"/>
      <c r="DCY614" s="294"/>
      <c r="DCZ614" s="294"/>
      <c r="DDA614" s="294"/>
      <c r="DDB614" s="294"/>
      <c r="DDC614" s="294"/>
      <c r="DDD614" s="294"/>
      <c r="DDE614" s="294"/>
      <c r="DDF614" s="294"/>
      <c r="DDG614" s="294"/>
      <c r="DDH614" s="294"/>
      <c r="DDI614" s="294"/>
      <c r="DDJ614" s="294"/>
      <c r="DDK614" s="294"/>
      <c r="DDL614" s="294"/>
      <c r="DDM614" s="294"/>
      <c r="DDN614" s="294"/>
      <c r="DDO614" s="294"/>
      <c r="DDP614" s="294"/>
      <c r="DDQ614" s="294"/>
      <c r="DDR614" s="294"/>
      <c r="DDS614" s="294"/>
      <c r="DDT614" s="294"/>
      <c r="DDU614" s="294"/>
      <c r="DDV614" s="294"/>
      <c r="DDW614" s="294"/>
      <c r="DDX614" s="294"/>
      <c r="DDY614" s="294"/>
      <c r="DDZ614" s="294"/>
      <c r="DEA614" s="294"/>
      <c r="DEB614" s="294"/>
      <c r="DEC614" s="294"/>
      <c r="DED614" s="294"/>
      <c r="DEE614" s="294"/>
      <c r="DEF614" s="294"/>
      <c r="DEG614" s="294"/>
      <c r="DEH614" s="294"/>
      <c r="DEI614" s="294"/>
      <c r="DEJ614" s="294"/>
      <c r="DEK614" s="294"/>
      <c r="DEL614" s="294"/>
      <c r="DEM614" s="294"/>
      <c r="DEN614" s="294"/>
      <c r="DEO614" s="294"/>
      <c r="DEP614" s="294"/>
      <c r="DEQ614" s="294"/>
      <c r="DER614" s="294"/>
      <c r="DES614" s="294"/>
      <c r="DET614" s="294"/>
      <c r="DEU614" s="294"/>
      <c r="DEV614" s="294"/>
      <c r="DEW614" s="294"/>
      <c r="DEX614" s="294"/>
      <c r="DEY614" s="294"/>
      <c r="DEZ614" s="294"/>
      <c r="DFA614" s="294"/>
      <c r="DFB614" s="294"/>
      <c r="DFC614" s="294"/>
      <c r="DFD614" s="294"/>
      <c r="DFE614" s="294"/>
      <c r="DFF614" s="294"/>
      <c r="DFG614" s="294"/>
      <c r="DFH614" s="294"/>
      <c r="DFI614" s="294"/>
      <c r="DFJ614" s="294"/>
      <c r="DFK614" s="294"/>
      <c r="DFL614" s="294"/>
      <c r="DFM614" s="294"/>
      <c r="DFN614" s="294"/>
      <c r="DFO614" s="294"/>
      <c r="DFP614" s="294"/>
      <c r="DFQ614" s="294"/>
      <c r="DFR614" s="294"/>
      <c r="DFS614" s="294"/>
      <c r="DFT614" s="294"/>
      <c r="DFU614" s="294"/>
      <c r="DFV614" s="294"/>
      <c r="DFW614" s="294"/>
      <c r="DFX614" s="294"/>
      <c r="DFY614" s="294"/>
      <c r="DFZ614" s="294"/>
      <c r="DGA614" s="294"/>
      <c r="DGB614" s="294"/>
      <c r="DGC614" s="294"/>
      <c r="DGD614" s="294"/>
      <c r="DGE614" s="294"/>
      <c r="DGF614" s="294"/>
      <c r="DGG614" s="294"/>
      <c r="DGH614" s="294"/>
      <c r="DGI614" s="294"/>
      <c r="DGJ614" s="294"/>
      <c r="DGK614" s="294"/>
      <c r="DGL614" s="294"/>
      <c r="DGM614" s="294"/>
      <c r="DGN614" s="294"/>
      <c r="DGO614" s="294"/>
      <c r="DGP614" s="294"/>
      <c r="DGQ614" s="294"/>
      <c r="DGR614" s="294"/>
      <c r="DGS614" s="294"/>
      <c r="DGT614" s="294"/>
      <c r="DGU614" s="294"/>
      <c r="DGV614" s="294"/>
      <c r="DGW614" s="294"/>
      <c r="DGX614" s="294"/>
      <c r="DGY614" s="294"/>
      <c r="DGZ614" s="294"/>
      <c r="DHA614" s="294"/>
      <c r="DHB614" s="294"/>
      <c r="DHC614" s="294"/>
      <c r="DHD614" s="294"/>
      <c r="DHE614" s="294"/>
      <c r="DHF614" s="294"/>
      <c r="DHG614" s="294"/>
      <c r="DHH614" s="294"/>
      <c r="DHI614" s="294"/>
      <c r="DHJ614" s="294"/>
      <c r="DHK614" s="294"/>
      <c r="DHL614" s="294"/>
      <c r="DHM614" s="294"/>
      <c r="DHN614" s="294"/>
      <c r="DHO614" s="294"/>
      <c r="DHP614" s="294"/>
      <c r="DHQ614" s="294"/>
      <c r="DHR614" s="294"/>
      <c r="DHS614" s="294"/>
      <c r="DHT614" s="294"/>
      <c r="DHU614" s="294"/>
      <c r="DHV614" s="294"/>
      <c r="DHW614" s="294"/>
      <c r="DHX614" s="294"/>
      <c r="DHY614" s="294"/>
      <c r="DHZ614" s="294"/>
      <c r="DIA614" s="294"/>
      <c r="DIB614" s="294"/>
      <c r="DIC614" s="294"/>
      <c r="DID614" s="294"/>
      <c r="DIE614" s="294"/>
      <c r="DIF614" s="294"/>
      <c r="DIG614" s="294"/>
      <c r="DIH614" s="294"/>
      <c r="DII614" s="294"/>
      <c r="DIJ614" s="294"/>
      <c r="DIK614" s="294"/>
      <c r="DIL614" s="294"/>
      <c r="DIM614" s="294"/>
      <c r="DIN614" s="294"/>
      <c r="DIO614" s="294"/>
      <c r="DIP614" s="294"/>
      <c r="DIQ614" s="294"/>
      <c r="DIR614" s="294"/>
      <c r="DIS614" s="294"/>
      <c r="DIT614" s="294"/>
      <c r="DIU614" s="294"/>
      <c r="DIV614" s="294"/>
      <c r="DIW614" s="294"/>
      <c r="DIX614" s="294"/>
      <c r="DIY614" s="294"/>
      <c r="DIZ614" s="294"/>
      <c r="DJA614" s="294"/>
      <c r="DJB614" s="294"/>
      <c r="DJC614" s="294"/>
      <c r="DJD614" s="294"/>
      <c r="DJE614" s="294"/>
      <c r="DJF614" s="294"/>
      <c r="DJG614" s="294"/>
      <c r="DJH614" s="294"/>
      <c r="DJI614" s="294"/>
      <c r="DJJ614" s="294"/>
      <c r="DJK614" s="294"/>
      <c r="DJL614" s="294"/>
      <c r="DJM614" s="294"/>
      <c r="DJN614" s="294"/>
      <c r="DJO614" s="294"/>
      <c r="DJP614" s="294"/>
      <c r="DJQ614" s="294"/>
      <c r="DJR614" s="294"/>
      <c r="DJS614" s="294"/>
      <c r="DJT614" s="294"/>
      <c r="DJU614" s="294"/>
      <c r="DJV614" s="294"/>
      <c r="DJW614" s="294"/>
      <c r="DJX614" s="294"/>
      <c r="DJY614" s="294"/>
      <c r="DJZ614" s="294"/>
      <c r="DKA614" s="294"/>
      <c r="DKB614" s="294"/>
      <c r="DKC614" s="294"/>
      <c r="DKD614" s="294"/>
      <c r="DKE614" s="294"/>
      <c r="DKF614" s="294"/>
      <c r="DKG614" s="294"/>
      <c r="DKH614" s="294"/>
      <c r="DKI614" s="294"/>
      <c r="DKJ614" s="294"/>
      <c r="DKK614" s="294"/>
      <c r="DKL614" s="294"/>
      <c r="DKM614" s="294"/>
      <c r="DKN614" s="294"/>
      <c r="DKO614" s="294"/>
      <c r="DKP614" s="294"/>
      <c r="DKQ614" s="294"/>
      <c r="DKR614" s="294"/>
      <c r="DKS614" s="294"/>
      <c r="DKT614" s="294"/>
      <c r="DKU614" s="294"/>
      <c r="DKV614" s="294"/>
      <c r="DKW614" s="294"/>
      <c r="DKX614" s="294"/>
      <c r="DKY614" s="294"/>
      <c r="DKZ614" s="294"/>
      <c r="DLA614" s="294"/>
      <c r="DLB614" s="294"/>
      <c r="DLC614" s="294"/>
      <c r="DLD614" s="294"/>
      <c r="DLE614" s="294"/>
      <c r="DLF614" s="294"/>
      <c r="DLG614" s="294"/>
      <c r="DLH614" s="294"/>
      <c r="DLI614" s="294"/>
      <c r="DLJ614" s="294"/>
      <c r="DLK614" s="294"/>
      <c r="DLL614" s="294"/>
      <c r="DLM614" s="294"/>
      <c r="DLN614" s="294"/>
      <c r="DLO614" s="294"/>
      <c r="DLP614" s="294"/>
      <c r="DLQ614" s="294"/>
      <c r="DLR614" s="294"/>
      <c r="DLS614" s="294"/>
      <c r="DLT614" s="294"/>
      <c r="DLU614" s="294"/>
      <c r="DLV614" s="294"/>
      <c r="DLW614" s="294"/>
      <c r="DLX614" s="294"/>
      <c r="DLY614" s="294"/>
      <c r="DLZ614" s="294"/>
      <c r="DMA614" s="294"/>
      <c r="DMB614" s="294"/>
      <c r="DMC614" s="294"/>
      <c r="DMD614" s="294"/>
      <c r="DME614" s="294"/>
      <c r="DMF614" s="294"/>
      <c r="DMG614" s="294"/>
      <c r="DMH614" s="294"/>
      <c r="DMI614" s="294"/>
      <c r="DMJ614" s="294"/>
      <c r="DMK614" s="294"/>
      <c r="DML614" s="294"/>
      <c r="DMM614" s="294"/>
      <c r="DMN614" s="294"/>
      <c r="DMO614" s="294"/>
      <c r="DMP614" s="294"/>
      <c r="DMQ614" s="294"/>
      <c r="DMR614" s="294"/>
      <c r="DMS614" s="294"/>
      <c r="DMT614" s="294"/>
      <c r="DMU614" s="294"/>
      <c r="DMV614" s="294"/>
      <c r="DMW614" s="294"/>
      <c r="DMX614" s="294"/>
      <c r="DMY614" s="294"/>
      <c r="DMZ614" s="294"/>
      <c r="DNA614" s="294"/>
      <c r="DNB614" s="294"/>
      <c r="DNC614" s="294"/>
      <c r="DND614" s="294"/>
      <c r="DNE614" s="294"/>
      <c r="DNF614" s="294"/>
      <c r="DNG614" s="294"/>
      <c r="DNH614" s="294"/>
      <c r="DNI614" s="294"/>
      <c r="DNJ614" s="294"/>
      <c r="DNK614" s="294"/>
      <c r="DNL614" s="294"/>
      <c r="DNM614" s="294"/>
      <c r="DNN614" s="294"/>
      <c r="DNO614" s="294"/>
      <c r="DNP614" s="294"/>
      <c r="DNQ614" s="294"/>
      <c r="DNR614" s="294"/>
      <c r="DNS614" s="294"/>
      <c r="DNT614" s="294"/>
      <c r="DNU614" s="294"/>
      <c r="DNV614" s="294"/>
      <c r="DNW614" s="294"/>
      <c r="DNX614" s="294"/>
      <c r="DNY614" s="294"/>
      <c r="DNZ614" s="294"/>
      <c r="DOA614" s="294"/>
      <c r="DOB614" s="294"/>
      <c r="DOC614" s="294"/>
      <c r="DOD614" s="294"/>
      <c r="DOE614" s="294"/>
      <c r="DOF614" s="294"/>
      <c r="DOG614" s="294"/>
      <c r="DOH614" s="294"/>
      <c r="DOI614" s="294"/>
      <c r="DOJ614" s="294"/>
      <c r="DOK614" s="294"/>
      <c r="DOL614" s="294"/>
      <c r="DOM614" s="294"/>
      <c r="DON614" s="294"/>
      <c r="DOO614" s="294"/>
      <c r="DOP614" s="294"/>
      <c r="DOQ614" s="294"/>
      <c r="DOR614" s="294"/>
      <c r="DOS614" s="294"/>
      <c r="DOT614" s="294"/>
      <c r="DOU614" s="294"/>
      <c r="DOV614" s="294"/>
      <c r="DOW614" s="294"/>
      <c r="DOX614" s="294"/>
      <c r="DOY614" s="294"/>
      <c r="DOZ614" s="294"/>
      <c r="DPA614" s="294"/>
      <c r="DPB614" s="294"/>
      <c r="DPC614" s="294"/>
      <c r="DPD614" s="294"/>
      <c r="DPE614" s="294"/>
      <c r="DPF614" s="294"/>
      <c r="DPG614" s="294"/>
      <c r="DPH614" s="294"/>
      <c r="DPI614" s="294"/>
      <c r="DPJ614" s="294"/>
      <c r="DPK614" s="294"/>
      <c r="DPL614" s="294"/>
      <c r="DPM614" s="294"/>
      <c r="DPN614" s="294"/>
      <c r="DPO614" s="294"/>
      <c r="DPP614" s="294"/>
      <c r="DPQ614" s="294"/>
      <c r="DPR614" s="294"/>
      <c r="DPS614" s="294"/>
      <c r="DPT614" s="294"/>
      <c r="DPU614" s="294"/>
      <c r="DPV614" s="294"/>
      <c r="DPW614" s="294"/>
      <c r="DPX614" s="294"/>
      <c r="DPY614" s="294"/>
      <c r="DPZ614" s="294"/>
      <c r="DQA614" s="294"/>
      <c r="DQB614" s="294"/>
      <c r="DQC614" s="294"/>
      <c r="DQD614" s="294"/>
      <c r="DQE614" s="294"/>
      <c r="DQF614" s="294"/>
      <c r="DQG614" s="294"/>
      <c r="DQH614" s="294"/>
      <c r="DQI614" s="294"/>
      <c r="DQJ614" s="294"/>
      <c r="DQK614" s="294"/>
      <c r="DQL614" s="294"/>
      <c r="DQM614" s="294"/>
      <c r="DQN614" s="294"/>
      <c r="DQO614" s="294"/>
      <c r="DQP614" s="294"/>
      <c r="DQQ614" s="294"/>
      <c r="DQR614" s="294"/>
      <c r="DQS614" s="294"/>
      <c r="DQT614" s="294"/>
      <c r="DQU614" s="294"/>
      <c r="DQV614" s="294"/>
      <c r="DQW614" s="294"/>
      <c r="DQX614" s="294"/>
      <c r="DQY614" s="294"/>
      <c r="DQZ614" s="294"/>
      <c r="DRA614" s="294"/>
      <c r="DRB614" s="294"/>
      <c r="DRC614" s="294"/>
      <c r="DRD614" s="294"/>
      <c r="DRE614" s="294"/>
      <c r="DRF614" s="294"/>
      <c r="DRG614" s="294"/>
      <c r="DRH614" s="294"/>
      <c r="DRI614" s="294"/>
      <c r="DRJ614" s="294"/>
      <c r="DRK614" s="294"/>
      <c r="DRL614" s="294"/>
      <c r="DRM614" s="294"/>
      <c r="DRN614" s="294"/>
      <c r="DRO614" s="294"/>
      <c r="DRP614" s="294"/>
      <c r="DRQ614" s="294"/>
      <c r="DRR614" s="294"/>
      <c r="DRS614" s="294"/>
      <c r="DRT614" s="294"/>
      <c r="DRU614" s="294"/>
      <c r="DRV614" s="294"/>
      <c r="DRW614" s="294"/>
      <c r="DRX614" s="294"/>
      <c r="DRY614" s="294"/>
      <c r="DRZ614" s="294"/>
      <c r="DSA614" s="294"/>
      <c r="DSB614" s="294"/>
      <c r="DSC614" s="294"/>
      <c r="DSD614" s="294"/>
      <c r="DSE614" s="294"/>
      <c r="DSF614" s="294"/>
      <c r="DSG614" s="294"/>
      <c r="DSH614" s="294"/>
      <c r="DSI614" s="294"/>
      <c r="DSJ614" s="294"/>
      <c r="DSK614" s="294"/>
      <c r="DSL614" s="294"/>
      <c r="DSM614" s="294"/>
      <c r="DSN614" s="294"/>
      <c r="DSO614" s="294"/>
      <c r="DSP614" s="294"/>
      <c r="DSQ614" s="294"/>
      <c r="DSR614" s="294"/>
      <c r="DSS614" s="294"/>
      <c r="DST614" s="294"/>
      <c r="DSU614" s="294"/>
      <c r="DSV614" s="294"/>
      <c r="DSW614" s="294"/>
      <c r="DSX614" s="294"/>
      <c r="DSY614" s="294"/>
      <c r="DSZ614" s="294"/>
      <c r="DTA614" s="294"/>
      <c r="DTB614" s="294"/>
      <c r="DTC614" s="294"/>
      <c r="DTD614" s="294"/>
      <c r="DTE614" s="294"/>
      <c r="DTF614" s="294"/>
      <c r="DTG614" s="294"/>
      <c r="DTH614" s="294"/>
      <c r="DTI614" s="294"/>
      <c r="DTJ614" s="294"/>
      <c r="DTK614" s="294"/>
      <c r="DTL614" s="294"/>
      <c r="DTM614" s="294"/>
      <c r="DTN614" s="294"/>
      <c r="DTO614" s="294"/>
      <c r="DTP614" s="294"/>
      <c r="DTQ614" s="294"/>
      <c r="DTR614" s="294"/>
      <c r="DTS614" s="294"/>
      <c r="DTT614" s="294"/>
      <c r="DTU614" s="294"/>
      <c r="DTV614" s="294"/>
      <c r="DTW614" s="294"/>
      <c r="DTX614" s="294"/>
      <c r="DTY614" s="294"/>
      <c r="DTZ614" s="294"/>
      <c r="DUA614" s="294"/>
      <c r="DUB614" s="294"/>
      <c r="DUC614" s="294"/>
      <c r="DUD614" s="294"/>
      <c r="DUE614" s="294"/>
      <c r="DUF614" s="294"/>
      <c r="DUG614" s="294"/>
      <c r="DUH614" s="294"/>
      <c r="DUI614" s="294"/>
      <c r="DUJ614" s="294"/>
      <c r="DUK614" s="294"/>
      <c r="DUL614" s="294"/>
      <c r="DUM614" s="294"/>
      <c r="DUN614" s="294"/>
      <c r="DUO614" s="294"/>
      <c r="DUP614" s="294"/>
      <c r="DUQ614" s="294"/>
      <c r="DUR614" s="294"/>
      <c r="DUS614" s="294"/>
      <c r="DUT614" s="294"/>
      <c r="DUU614" s="294"/>
      <c r="DUV614" s="294"/>
      <c r="DUW614" s="294"/>
      <c r="DUX614" s="294"/>
      <c r="DUY614" s="294"/>
      <c r="DUZ614" s="294"/>
      <c r="DVA614" s="294"/>
      <c r="DVB614" s="294"/>
      <c r="DVC614" s="294"/>
      <c r="DVD614" s="294"/>
      <c r="DVE614" s="294"/>
      <c r="DVF614" s="294"/>
      <c r="DVG614" s="294"/>
      <c r="DVH614" s="294"/>
      <c r="DVI614" s="294"/>
      <c r="DVJ614" s="294"/>
      <c r="DVK614" s="294"/>
      <c r="DVL614" s="294"/>
      <c r="DVM614" s="294"/>
      <c r="DVN614" s="294"/>
      <c r="DVO614" s="294"/>
      <c r="DVP614" s="294"/>
      <c r="DVQ614" s="294"/>
      <c r="DVR614" s="294"/>
      <c r="DVS614" s="294"/>
      <c r="DVT614" s="294"/>
      <c r="DVU614" s="294"/>
      <c r="DVV614" s="294"/>
      <c r="DVW614" s="294"/>
      <c r="DVX614" s="294"/>
      <c r="DVY614" s="294"/>
      <c r="DVZ614" s="294"/>
      <c r="DWA614" s="294"/>
      <c r="DWB614" s="294"/>
      <c r="DWC614" s="294"/>
      <c r="DWD614" s="294"/>
      <c r="DWE614" s="294"/>
      <c r="DWF614" s="294"/>
      <c r="DWG614" s="294"/>
      <c r="DWH614" s="294"/>
      <c r="DWI614" s="294"/>
      <c r="DWJ614" s="294"/>
      <c r="DWK614" s="294"/>
      <c r="DWL614" s="294"/>
      <c r="DWM614" s="294"/>
      <c r="DWN614" s="294"/>
      <c r="DWO614" s="294"/>
      <c r="DWP614" s="294"/>
      <c r="DWQ614" s="294"/>
      <c r="DWR614" s="294"/>
      <c r="DWS614" s="294"/>
      <c r="DWT614" s="294"/>
      <c r="DWU614" s="294"/>
      <c r="DWV614" s="294"/>
      <c r="DWW614" s="294"/>
      <c r="DWX614" s="294"/>
      <c r="DWY614" s="294"/>
      <c r="DWZ614" s="294"/>
      <c r="DXA614" s="294"/>
      <c r="DXB614" s="294"/>
      <c r="DXC614" s="294"/>
      <c r="DXD614" s="294"/>
      <c r="DXE614" s="294"/>
      <c r="DXF614" s="294"/>
      <c r="DXG614" s="294"/>
      <c r="DXH614" s="294"/>
      <c r="DXI614" s="294"/>
      <c r="DXJ614" s="294"/>
      <c r="DXK614" s="294"/>
      <c r="DXL614" s="294"/>
      <c r="DXM614" s="294"/>
      <c r="DXN614" s="294"/>
      <c r="DXO614" s="294"/>
      <c r="DXP614" s="294"/>
      <c r="DXQ614" s="294"/>
      <c r="DXR614" s="294"/>
      <c r="DXS614" s="294"/>
      <c r="DXT614" s="294"/>
      <c r="DXU614" s="294"/>
      <c r="DXV614" s="294"/>
      <c r="DXW614" s="294"/>
      <c r="DXX614" s="294"/>
      <c r="DXY614" s="294"/>
      <c r="DXZ614" s="294"/>
      <c r="DYA614" s="294"/>
      <c r="DYB614" s="294"/>
      <c r="DYC614" s="294"/>
      <c r="DYD614" s="294"/>
      <c r="DYE614" s="294"/>
      <c r="DYF614" s="294"/>
      <c r="DYG614" s="294"/>
      <c r="DYH614" s="294"/>
      <c r="DYI614" s="294"/>
      <c r="DYJ614" s="294"/>
      <c r="DYK614" s="294"/>
      <c r="DYL614" s="294"/>
      <c r="DYM614" s="294"/>
      <c r="DYN614" s="294"/>
      <c r="DYO614" s="294"/>
      <c r="DYP614" s="294"/>
      <c r="DYQ614" s="294"/>
      <c r="DYR614" s="294"/>
      <c r="DYS614" s="294"/>
      <c r="DYT614" s="294"/>
      <c r="DYU614" s="294"/>
      <c r="DYV614" s="294"/>
      <c r="DYW614" s="294"/>
      <c r="DYX614" s="294"/>
      <c r="DYY614" s="294"/>
      <c r="DYZ614" s="294"/>
      <c r="DZA614" s="294"/>
      <c r="DZB614" s="294"/>
      <c r="DZC614" s="294"/>
      <c r="DZD614" s="294"/>
      <c r="DZE614" s="294"/>
      <c r="DZF614" s="294"/>
      <c r="DZG614" s="294"/>
      <c r="DZH614" s="294"/>
      <c r="DZI614" s="294"/>
      <c r="DZJ614" s="294"/>
      <c r="DZK614" s="294"/>
      <c r="DZL614" s="294"/>
      <c r="DZM614" s="294"/>
      <c r="DZN614" s="294"/>
      <c r="DZO614" s="294"/>
      <c r="DZP614" s="294"/>
      <c r="DZQ614" s="294"/>
      <c r="DZR614" s="294"/>
      <c r="DZS614" s="294"/>
      <c r="DZT614" s="294"/>
      <c r="DZU614" s="294"/>
      <c r="DZV614" s="294"/>
      <c r="DZW614" s="294"/>
      <c r="DZX614" s="294"/>
      <c r="DZY614" s="294"/>
      <c r="DZZ614" s="294"/>
      <c r="EAA614" s="294"/>
      <c r="EAB614" s="294"/>
      <c r="EAC614" s="294"/>
      <c r="EAD614" s="294"/>
      <c r="EAE614" s="294"/>
      <c r="EAF614" s="294"/>
      <c r="EAG614" s="294"/>
      <c r="EAH614" s="294"/>
      <c r="EAI614" s="294"/>
      <c r="EAJ614" s="294"/>
      <c r="EAK614" s="294"/>
      <c r="EAL614" s="294"/>
      <c r="EAM614" s="294"/>
      <c r="EAN614" s="294"/>
      <c r="EAO614" s="294"/>
      <c r="EAP614" s="294"/>
      <c r="EAQ614" s="294"/>
      <c r="EAR614" s="294"/>
      <c r="EAS614" s="294"/>
      <c r="EAT614" s="294"/>
      <c r="EAU614" s="294"/>
      <c r="EAV614" s="294"/>
      <c r="EAW614" s="294"/>
      <c r="EAX614" s="294"/>
      <c r="EAY614" s="294"/>
      <c r="EAZ614" s="294"/>
      <c r="EBA614" s="294"/>
      <c r="EBB614" s="294"/>
      <c r="EBC614" s="294"/>
      <c r="EBD614" s="294"/>
      <c r="EBE614" s="294"/>
      <c r="EBF614" s="294"/>
      <c r="EBG614" s="294"/>
      <c r="EBH614" s="294"/>
      <c r="EBI614" s="294"/>
      <c r="EBJ614" s="294"/>
      <c r="EBK614" s="294"/>
      <c r="EBL614" s="294"/>
      <c r="EBM614" s="294"/>
      <c r="EBN614" s="294"/>
      <c r="EBO614" s="294"/>
      <c r="EBP614" s="294"/>
      <c r="EBQ614" s="294"/>
      <c r="EBR614" s="294"/>
      <c r="EBS614" s="294"/>
      <c r="EBT614" s="294"/>
      <c r="EBU614" s="294"/>
      <c r="EBV614" s="294"/>
      <c r="EBW614" s="294"/>
      <c r="EBX614" s="294"/>
      <c r="EBY614" s="294"/>
      <c r="EBZ614" s="294"/>
      <c r="ECA614" s="294"/>
      <c r="ECB614" s="294"/>
      <c r="ECC614" s="294"/>
      <c r="ECD614" s="294"/>
      <c r="ECE614" s="294"/>
      <c r="ECF614" s="294"/>
      <c r="ECG614" s="294"/>
      <c r="ECH614" s="294"/>
      <c r="ECI614" s="294"/>
      <c r="ECJ614" s="294"/>
      <c r="ECK614" s="294"/>
      <c r="ECL614" s="294"/>
      <c r="ECM614" s="294"/>
      <c r="ECN614" s="294"/>
      <c r="ECO614" s="294"/>
      <c r="ECP614" s="294"/>
      <c r="ECQ614" s="294"/>
      <c r="ECR614" s="294"/>
      <c r="ECS614" s="294"/>
      <c r="ECT614" s="294"/>
      <c r="ECU614" s="294"/>
      <c r="ECV614" s="294"/>
      <c r="ECW614" s="294"/>
      <c r="ECX614" s="294"/>
      <c r="ECY614" s="294"/>
      <c r="ECZ614" s="294"/>
      <c r="EDA614" s="294"/>
      <c r="EDB614" s="294"/>
      <c r="EDC614" s="294"/>
      <c r="EDD614" s="294"/>
      <c r="EDE614" s="294"/>
      <c r="EDF614" s="294"/>
      <c r="EDG614" s="294"/>
      <c r="EDH614" s="294"/>
      <c r="EDI614" s="294"/>
      <c r="EDJ614" s="294"/>
      <c r="EDK614" s="294"/>
      <c r="EDL614" s="294"/>
      <c r="EDM614" s="294"/>
      <c r="EDN614" s="294"/>
      <c r="EDO614" s="294"/>
      <c r="EDP614" s="294"/>
      <c r="EDQ614" s="294"/>
      <c r="EDR614" s="294"/>
      <c r="EDS614" s="294"/>
      <c r="EDT614" s="294"/>
      <c r="EDU614" s="294"/>
      <c r="EDV614" s="294"/>
      <c r="EDW614" s="294"/>
      <c r="EDX614" s="294"/>
      <c r="EDY614" s="294"/>
      <c r="EDZ614" s="294"/>
      <c r="EEA614" s="294"/>
      <c r="EEB614" s="294"/>
      <c r="EEC614" s="294"/>
      <c r="EED614" s="294"/>
      <c r="EEE614" s="294"/>
      <c r="EEF614" s="294"/>
      <c r="EEG614" s="294"/>
      <c r="EEH614" s="294"/>
      <c r="EEI614" s="294"/>
      <c r="EEJ614" s="294"/>
      <c r="EEK614" s="294"/>
      <c r="EEL614" s="294"/>
      <c r="EEM614" s="294"/>
      <c r="EEN614" s="294"/>
      <c r="EEO614" s="294"/>
      <c r="EEP614" s="294"/>
      <c r="EEQ614" s="294"/>
      <c r="EER614" s="294"/>
      <c r="EES614" s="294"/>
      <c r="EET614" s="294"/>
      <c r="EEU614" s="294"/>
      <c r="EEV614" s="294"/>
      <c r="EEW614" s="294"/>
      <c r="EEX614" s="294"/>
      <c r="EEY614" s="294"/>
      <c r="EEZ614" s="294"/>
      <c r="EFA614" s="294"/>
      <c r="EFB614" s="294"/>
      <c r="EFC614" s="294"/>
      <c r="EFD614" s="294"/>
      <c r="EFE614" s="294"/>
      <c r="EFF614" s="294"/>
      <c r="EFG614" s="294"/>
      <c r="EFH614" s="294"/>
      <c r="EFI614" s="294"/>
      <c r="EFJ614" s="294"/>
      <c r="EFK614" s="294"/>
      <c r="EFL614" s="294"/>
      <c r="EFM614" s="294"/>
      <c r="EFN614" s="294"/>
      <c r="EFO614" s="294"/>
      <c r="EFP614" s="294"/>
      <c r="EFQ614" s="294"/>
      <c r="EFR614" s="294"/>
      <c r="EFS614" s="294"/>
      <c r="EFT614" s="294"/>
      <c r="EFU614" s="294"/>
      <c r="EFV614" s="294"/>
      <c r="EFW614" s="294"/>
      <c r="EFX614" s="294"/>
      <c r="EFY614" s="294"/>
      <c r="EFZ614" s="294"/>
      <c r="EGA614" s="294"/>
      <c r="EGB614" s="294"/>
      <c r="EGC614" s="294"/>
      <c r="EGD614" s="294"/>
      <c r="EGE614" s="294"/>
      <c r="EGF614" s="294"/>
      <c r="EGG614" s="294"/>
      <c r="EGH614" s="294"/>
      <c r="EGI614" s="294"/>
      <c r="EGJ614" s="294"/>
      <c r="EGK614" s="294"/>
      <c r="EGL614" s="294"/>
      <c r="EGM614" s="294"/>
      <c r="EGN614" s="294"/>
      <c r="EGO614" s="294"/>
      <c r="EGP614" s="294"/>
      <c r="EGQ614" s="294"/>
      <c r="EGR614" s="294"/>
      <c r="EGS614" s="294"/>
      <c r="EGT614" s="294"/>
      <c r="EGU614" s="294"/>
      <c r="EGV614" s="294"/>
      <c r="EGW614" s="294"/>
      <c r="EGX614" s="294"/>
      <c r="EGY614" s="294"/>
      <c r="EGZ614" s="294"/>
      <c r="EHA614" s="294"/>
      <c r="EHB614" s="294"/>
      <c r="EHC614" s="294"/>
      <c r="EHD614" s="294"/>
      <c r="EHE614" s="294"/>
      <c r="EHF614" s="294"/>
      <c r="EHG614" s="294"/>
      <c r="EHH614" s="294"/>
      <c r="EHI614" s="294"/>
      <c r="EHJ614" s="294"/>
      <c r="EHK614" s="294"/>
      <c r="EHL614" s="294"/>
      <c r="EHM614" s="294"/>
      <c r="EHN614" s="294"/>
      <c r="EHO614" s="294"/>
      <c r="EHP614" s="294"/>
      <c r="EHQ614" s="294"/>
      <c r="EHR614" s="294"/>
      <c r="EHS614" s="294"/>
      <c r="EHT614" s="294"/>
      <c r="EHU614" s="294"/>
      <c r="EHV614" s="294"/>
      <c r="EHW614" s="294"/>
      <c r="EHX614" s="294"/>
      <c r="EHY614" s="294"/>
      <c r="EHZ614" s="294"/>
      <c r="EIA614" s="294"/>
      <c r="EIB614" s="294"/>
      <c r="EIC614" s="294"/>
      <c r="EID614" s="294"/>
      <c r="EIE614" s="294"/>
      <c r="EIF614" s="294"/>
      <c r="EIG614" s="294"/>
      <c r="EIH614" s="294"/>
      <c r="EII614" s="294"/>
      <c r="EIJ614" s="294"/>
      <c r="EIK614" s="294"/>
      <c r="EIL614" s="294"/>
      <c r="EIM614" s="294"/>
      <c r="EIN614" s="294"/>
      <c r="EIO614" s="294"/>
      <c r="EIP614" s="294"/>
      <c r="EIQ614" s="294"/>
      <c r="EIR614" s="294"/>
      <c r="EIS614" s="294"/>
      <c r="EIT614" s="294"/>
      <c r="EIU614" s="294"/>
      <c r="EIV614" s="294"/>
      <c r="EIW614" s="294"/>
      <c r="EIX614" s="294"/>
      <c r="EIY614" s="294"/>
      <c r="EIZ614" s="294"/>
      <c r="EJA614" s="294"/>
      <c r="EJB614" s="294"/>
      <c r="EJC614" s="294"/>
      <c r="EJD614" s="294"/>
      <c r="EJE614" s="294"/>
      <c r="EJF614" s="294"/>
      <c r="EJG614" s="294"/>
      <c r="EJH614" s="294"/>
      <c r="EJI614" s="294"/>
      <c r="EJJ614" s="294"/>
      <c r="EJK614" s="294"/>
      <c r="EJL614" s="294"/>
      <c r="EJM614" s="294"/>
      <c r="EJN614" s="294"/>
      <c r="EJO614" s="294"/>
      <c r="EJP614" s="294"/>
      <c r="EJQ614" s="294"/>
      <c r="EJR614" s="294"/>
      <c r="EJS614" s="294"/>
      <c r="EJT614" s="294"/>
      <c r="EJU614" s="294"/>
      <c r="EJV614" s="294"/>
      <c r="EJW614" s="294"/>
      <c r="EJX614" s="294"/>
      <c r="EJY614" s="294"/>
      <c r="EJZ614" s="294"/>
      <c r="EKA614" s="294"/>
      <c r="EKB614" s="294"/>
      <c r="EKC614" s="294"/>
      <c r="EKD614" s="294"/>
      <c r="EKE614" s="294"/>
      <c r="EKF614" s="294"/>
      <c r="EKG614" s="294"/>
      <c r="EKH614" s="294"/>
      <c r="EKI614" s="294"/>
      <c r="EKJ614" s="294"/>
      <c r="EKK614" s="294"/>
      <c r="EKL614" s="294"/>
      <c r="EKM614" s="294"/>
      <c r="EKN614" s="294"/>
      <c r="EKO614" s="294"/>
      <c r="EKP614" s="294"/>
      <c r="EKQ614" s="294"/>
      <c r="EKR614" s="294"/>
      <c r="EKS614" s="294"/>
      <c r="EKT614" s="294"/>
      <c r="EKU614" s="294"/>
      <c r="EKV614" s="294"/>
      <c r="EKW614" s="294"/>
      <c r="EKX614" s="294"/>
      <c r="EKY614" s="294"/>
      <c r="EKZ614" s="294"/>
      <c r="ELA614" s="294"/>
      <c r="ELB614" s="294"/>
      <c r="ELC614" s="294"/>
      <c r="ELD614" s="294"/>
      <c r="ELE614" s="294"/>
      <c r="ELF614" s="294"/>
      <c r="ELG614" s="294"/>
      <c r="ELH614" s="294"/>
      <c r="ELI614" s="294"/>
      <c r="ELJ614" s="294"/>
      <c r="ELK614" s="294"/>
      <c r="ELL614" s="294"/>
      <c r="ELM614" s="294"/>
      <c r="ELN614" s="294"/>
      <c r="ELO614" s="294"/>
      <c r="ELP614" s="294"/>
      <c r="ELQ614" s="294"/>
      <c r="ELR614" s="294"/>
      <c r="ELS614" s="294"/>
      <c r="ELT614" s="294"/>
      <c r="ELU614" s="294"/>
      <c r="ELV614" s="294"/>
      <c r="ELW614" s="294"/>
      <c r="ELX614" s="294"/>
      <c r="ELY614" s="294"/>
      <c r="ELZ614" s="294"/>
      <c r="EMA614" s="294"/>
      <c r="EMB614" s="294"/>
      <c r="EMC614" s="294"/>
      <c r="EMD614" s="294"/>
      <c r="EME614" s="294"/>
      <c r="EMF614" s="294"/>
      <c r="EMG614" s="294"/>
      <c r="EMH614" s="294"/>
      <c r="EMI614" s="294"/>
      <c r="EMJ614" s="294"/>
      <c r="EMK614" s="294"/>
      <c r="EML614" s="294"/>
      <c r="EMM614" s="294"/>
      <c r="EMN614" s="294"/>
      <c r="EMO614" s="294"/>
      <c r="EMP614" s="294"/>
      <c r="EMQ614" s="294"/>
      <c r="EMR614" s="294"/>
      <c r="EMS614" s="294"/>
      <c r="EMT614" s="294"/>
      <c r="EMU614" s="294"/>
      <c r="EMV614" s="294"/>
      <c r="EMW614" s="294"/>
      <c r="EMX614" s="294"/>
      <c r="EMY614" s="294"/>
      <c r="EMZ614" s="294"/>
      <c r="ENA614" s="294"/>
      <c r="ENB614" s="294"/>
      <c r="ENC614" s="294"/>
      <c r="END614" s="294"/>
      <c r="ENE614" s="294"/>
      <c r="ENF614" s="294"/>
      <c r="ENG614" s="294"/>
      <c r="ENH614" s="294"/>
      <c r="ENI614" s="294"/>
      <c r="ENJ614" s="294"/>
      <c r="ENK614" s="294"/>
      <c r="ENL614" s="294"/>
      <c r="ENM614" s="294"/>
      <c r="ENN614" s="294"/>
      <c r="ENO614" s="294"/>
      <c r="ENP614" s="294"/>
      <c r="ENQ614" s="294"/>
      <c r="ENR614" s="294"/>
      <c r="ENS614" s="294"/>
      <c r="ENT614" s="294"/>
      <c r="ENU614" s="294"/>
      <c r="ENV614" s="294"/>
      <c r="ENW614" s="294"/>
      <c r="ENX614" s="294"/>
      <c r="ENY614" s="294"/>
      <c r="ENZ614" s="294"/>
      <c r="EOA614" s="294"/>
      <c r="EOB614" s="294"/>
      <c r="EOC614" s="294"/>
      <c r="EOD614" s="294"/>
      <c r="EOE614" s="294"/>
      <c r="EOF614" s="294"/>
      <c r="EOG614" s="294"/>
      <c r="EOH614" s="294"/>
      <c r="EOI614" s="294"/>
      <c r="EOJ614" s="294"/>
      <c r="EOK614" s="294"/>
      <c r="EOL614" s="294"/>
      <c r="EOM614" s="294"/>
      <c r="EON614" s="294"/>
      <c r="EOO614" s="294"/>
      <c r="EOP614" s="294"/>
      <c r="EOQ614" s="294"/>
      <c r="EOR614" s="294"/>
      <c r="EOS614" s="294"/>
      <c r="EOT614" s="294"/>
      <c r="EOU614" s="294"/>
      <c r="EOV614" s="294"/>
      <c r="EOW614" s="294"/>
      <c r="EOX614" s="294"/>
      <c r="EOY614" s="294"/>
      <c r="EOZ614" s="294"/>
      <c r="EPA614" s="294"/>
      <c r="EPB614" s="294"/>
      <c r="EPC614" s="294"/>
      <c r="EPD614" s="294"/>
      <c r="EPE614" s="294"/>
      <c r="EPF614" s="294"/>
      <c r="EPG614" s="294"/>
      <c r="EPH614" s="294"/>
      <c r="EPI614" s="294"/>
      <c r="EPJ614" s="294"/>
      <c r="EPK614" s="294"/>
      <c r="EPL614" s="294"/>
      <c r="EPM614" s="294"/>
      <c r="EPN614" s="294"/>
      <c r="EPO614" s="294"/>
      <c r="EPP614" s="294"/>
      <c r="EPQ614" s="294"/>
      <c r="EPR614" s="294"/>
      <c r="EPS614" s="294"/>
      <c r="EPT614" s="294"/>
      <c r="EPU614" s="294"/>
      <c r="EPV614" s="294"/>
      <c r="EPW614" s="294"/>
      <c r="EPX614" s="294"/>
      <c r="EPY614" s="294"/>
      <c r="EPZ614" s="294"/>
      <c r="EQA614" s="294"/>
      <c r="EQB614" s="294"/>
      <c r="EQC614" s="294"/>
      <c r="EQD614" s="294"/>
      <c r="EQE614" s="294"/>
      <c r="EQF614" s="294"/>
      <c r="EQG614" s="294"/>
      <c r="EQH614" s="294"/>
      <c r="EQI614" s="294"/>
      <c r="EQJ614" s="294"/>
      <c r="EQK614" s="294"/>
      <c r="EQL614" s="294"/>
      <c r="EQM614" s="294"/>
      <c r="EQN614" s="294"/>
      <c r="EQO614" s="294"/>
      <c r="EQP614" s="294"/>
      <c r="EQQ614" s="294"/>
      <c r="EQR614" s="294"/>
      <c r="EQS614" s="294"/>
      <c r="EQT614" s="294"/>
      <c r="EQU614" s="294"/>
      <c r="EQV614" s="294"/>
      <c r="EQW614" s="294"/>
      <c r="EQX614" s="294"/>
      <c r="EQY614" s="294"/>
      <c r="EQZ614" s="294"/>
      <c r="ERA614" s="294"/>
      <c r="ERB614" s="294"/>
      <c r="ERC614" s="294"/>
      <c r="ERD614" s="294"/>
      <c r="ERE614" s="294"/>
      <c r="ERF614" s="294"/>
      <c r="ERG614" s="294"/>
      <c r="ERH614" s="294"/>
      <c r="ERI614" s="294"/>
      <c r="ERJ614" s="294"/>
      <c r="ERK614" s="294"/>
      <c r="ERL614" s="294"/>
      <c r="ERM614" s="294"/>
      <c r="ERN614" s="294"/>
      <c r="ERO614" s="294"/>
      <c r="ERP614" s="294"/>
      <c r="ERQ614" s="294"/>
      <c r="ERR614" s="294"/>
      <c r="ERS614" s="294"/>
      <c r="ERT614" s="294"/>
      <c r="ERU614" s="294"/>
      <c r="ERV614" s="294"/>
      <c r="ERW614" s="294"/>
      <c r="ERX614" s="294"/>
      <c r="ERY614" s="294"/>
      <c r="ERZ614" s="294"/>
      <c r="ESA614" s="294"/>
      <c r="ESB614" s="294"/>
      <c r="ESC614" s="294"/>
      <c r="ESD614" s="294"/>
      <c r="ESE614" s="294"/>
      <c r="ESF614" s="294"/>
      <c r="ESG614" s="294"/>
      <c r="ESH614" s="294"/>
      <c r="ESI614" s="294"/>
      <c r="ESJ614" s="294"/>
      <c r="ESK614" s="294"/>
      <c r="ESL614" s="294"/>
      <c r="ESM614" s="294"/>
      <c r="ESN614" s="294"/>
      <c r="ESO614" s="294"/>
      <c r="ESP614" s="294"/>
      <c r="ESQ614" s="294"/>
      <c r="ESR614" s="294"/>
      <c r="ESS614" s="294"/>
      <c r="EST614" s="294"/>
      <c r="ESU614" s="294"/>
      <c r="ESV614" s="294"/>
      <c r="ESW614" s="294"/>
      <c r="ESX614" s="294"/>
      <c r="ESY614" s="294"/>
      <c r="ESZ614" s="294"/>
      <c r="ETA614" s="294"/>
      <c r="ETB614" s="294"/>
      <c r="ETC614" s="294"/>
      <c r="ETD614" s="294"/>
      <c r="ETE614" s="294"/>
      <c r="ETF614" s="294"/>
      <c r="ETG614" s="294"/>
      <c r="ETH614" s="294"/>
      <c r="ETI614" s="294"/>
      <c r="ETJ614" s="294"/>
      <c r="ETK614" s="294"/>
      <c r="ETL614" s="294"/>
      <c r="ETM614" s="294"/>
      <c r="ETN614" s="294"/>
      <c r="ETO614" s="294"/>
      <c r="ETP614" s="294"/>
      <c r="ETQ614" s="294"/>
      <c r="ETR614" s="294"/>
      <c r="ETS614" s="294"/>
      <c r="ETT614" s="294"/>
      <c r="ETU614" s="294"/>
      <c r="ETV614" s="294"/>
      <c r="ETW614" s="294"/>
      <c r="ETX614" s="294"/>
      <c r="ETY614" s="294"/>
      <c r="ETZ614" s="294"/>
      <c r="EUA614" s="294"/>
      <c r="EUB614" s="294"/>
      <c r="EUC614" s="294"/>
      <c r="EUD614" s="294"/>
      <c r="EUE614" s="294"/>
      <c r="EUF614" s="294"/>
      <c r="EUG614" s="294"/>
      <c r="EUH614" s="294"/>
      <c r="EUI614" s="294"/>
      <c r="EUJ614" s="294"/>
      <c r="EUK614" s="294"/>
      <c r="EUL614" s="294"/>
      <c r="EUM614" s="294"/>
      <c r="EUN614" s="294"/>
      <c r="EUO614" s="294"/>
      <c r="EUP614" s="294"/>
      <c r="EUQ614" s="294"/>
      <c r="EUR614" s="294"/>
      <c r="EUS614" s="294"/>
      <c r="EUT614" s="294"/>
      <c r="EUU614" s="294"/>
      <c r="EUV614" s="294"/>
      <c r="EUW614" s="294"/>
      <c r="EUX614" s="294"/>
      <c r="EUY614" s="294"/>
      <c r="EUZ614" s="294"/>
      <c r="EVA614" s="294"/>
      <c r="EVB614" s="294"/>
      <c r="EVC614" s="294"/>
      <c r="EVD614" s="294"/>
      <c r="EVE614" s="294"/>
      <c r="EVF614" s="294"/>
      <c r="EVG614" s="294"/>
      <c r="EVH614" s="294"/>
      <c r="EVI614" s="294"/>
      <c r="EVJ614" s="294"/>
      <c r="EVK614" s="294"/>
      <c r="EVL614" s="294"/>
      <c r="EVM614" s="294"/>
      <c r="EVN614" s="294"/>
      <c r="EVO614" s="294"/>
      <c r="EVP614" s="294"/>
      <c r="EVQ614" s="294"/>
      <c r="EVR614" s="294"/>
      <c r="EVS614" s="294"/>
      <c r="EVT614" s="294"/>
      <c r="EVU614" s="294"/>
      <c r="EVV614" s="294"/>
      <c r="EVW614" s="294"/>
      <c r="EVX614" s="294"/>
      <c r="EVY614" s="294"/>
      <c r="EVZ614" s="294"/>
      <c r="EWA614" s="294"/>
      <c r="EWB614" s="294"/>
      <c r="EWC614" s="294"/>
      <c r="EWD614" s="294"/>
      <c r="EWE614" s="294"/>
      <c r="EWF614" s="294"/>
      <c r="EWG614" s="294"/>
      <c r="EWH614" s="294"/>
      <c r="EWI614" s="294"/>
      <c r="EWJ614" s="294"/>
      <c r="EWK614" s="294"/>
      <c r="EWL614" s="294"/>
      <c r="EWM614" s="294"/>
      <c r="EWN614" s="294"/>
      <c r="EWO614" s="294"/>
      <c r="EWP614" s="294"/>
      <c r="EWQ614" s="294"/>
      <c r="EWR614" s="294"/>
      <c r="EWS614" s="294"/>
      <c r="EWT614" s="294"/>
      <c r="EWU614" s="294"/>
      <c r="EWV614" s="294"/>
      <c r="EWW614" s="294"/>
      <c r="EWX614" s="294"/>
      <c r="EWY614" s="294"/>
      <c r="EWZ614" s="294"/>
      <c r="EXA614" s="294"/>
      <c r="EXB614" s="294"/>
      <c r="EXC614" s="294"/>
      <c r="EXD614" s="294"/>
      <c r="EXE614" s="294"/>
      <c r="EXF614" s="294"/>
      <c r="EXG614" s="294"/>
      <c r="EXH614" s="294"/>
      <c r="EXI614" s="294"/>
      <c r="EXJ614" s="294"/>
      <c r="EXK614" s="294"/>
      <c r="EXL614" s="294"/>
      <c r="EXM614" s="294"/>
      <c r="EXN614" s="294"/>
      <c r="EXO614" s="294"/>
      <c r="EXP614" s="294"/>
      <c r="EXQ614" s="294"/>
      <c r="EXR614" s="294"/>
      <c r="EXS614" s="294"/>
      <c r="EXT614" s="294"/>
      <c r="EXU614" s="294"/>
      <c r="EXV614" s="294"/>
      <c r="EXW614" s="294"/>
      <c r="EXX614" s="294"/>
      <c r="EXY614" s="294"/>
      <c r="EXZ614" s="294"/>
      <c r="EYA614" s="294"/>
      <c r="EYB614" s="294"/>
      <c r="EYC614" s="294"/>
      <c r="EYD614" s="294"/>
      <c r="EYE614" s="294"/>
      <c r="EYF614" s="294"/>
      <c r="EYG614" s="294"/>
      <c r="EYH614" s="294"/>
      <c r="EYI614" s="294"/>
      <c r="EYJ614" s="294"/>
      <c r="EYK614" s="294"/>
      <c r="EYL614" s="294"/>
      <c r="EYM614" s="294"/>
      <c r="EYN614" s="294"/>
      <c r="EYO614" s="294"/>
      <c r="EYP614" s="294"/>
      <c r="EYQ614" s="294"/>
      <c r="EYR614" s="294"/>
      <c r="EYS614" s="294"/>
      <c r="EYT614" s="294"/>
      <c r="EYU614" s="294"/>
      <c r="EYV614" s="294"/>
      <c r="EYW614" s="294"/>
      <c r="EYX614" s="294"/>
      <c r="EYY614" s="294"/>
      <c r="EYZ614" s="294"/>
      <c r="EZA614" s="294"/>
      <c r="EZB614" s="294"/>
      <c r="EZC614" s="294"/>
      <c r="EZD614" s="294"/>
      <c r="EZE614" s="294"/>
      <c r="EZF614" s="294"/>
      <c r="EZG614" s="294"/>
      <c r="EZH614" s="294"/>
      <c r="EZI614" s="294"/>
      <c r="EZJ614" s="294"/>
      <c r="EZK614" s="294"/>
      <c r="EZL614" s="294"/>
      <c r="EZM614" s="294"/>
      <c r="EZN614" s="294"/>
      <c r="EZO614" s="294"/>
      <c r="EZP614" s="294"/>
      <c r="EZQ614" s="294"/>
      <c r="EZR614" s="294"/>
      <c r="EZS614" s="294"/>
      <c r="EZT614" s="294"/>
      <c r="EZU614" s="294"/>
      <c r="EZV614" s="294"/>
      <c r="EZW614" s="294"/>
      <c r="EZX614" s="294"/>
      <c r="EZY614" s="294"/>
      <c r="EZZ614" s="294"/>
      <c r="FAA614" s="294"/>
      <c r="FAB614" s="294"/>
      <c r="FAC614" s="294"/>
      <c r="FAD614" s="294"/>
      <c r="FAE614" s="294"/>
      <c r="FAF614" s="294"/>
      <c r="FAG614" s="294"/>
      <c r="FAH614" s="294"/>
      <c r="FAI614" s="294"/>
      <c r="FAJ614" s="294"/>
      <c r="FAK614" s="294"/>
      <c r="FAL614" s="294"/>
      <c r="FAM614" s="294"/>
      <c r="FAN614" s="294"/>
      <c r="FAO614" s="294"/>
      <c r="FAP614" s="294"/>
      <c r="FAQ614" s="294"/>
      <c r="FAR614" s="294"/>
      <c r="FAS614" s="294"/>
      <c r="FAT614" s="294"/>
      <c r="FAU614" s="294"/>
      <c r="FAV614" s="294"/>
      <c r="FAW614" s="294"/>
      <c r="FAX614" s="294"/>
      <c r="FAY614" s="294"/>
      <c r="FAZ614" s="294"/>
      <c r="FBA614" s="294"/>
      <c r="FBB614" s="294"/>
      <c r="FBC614" s="294"/>
      <c r="FBD614" s="294"/>
      <c r="FBE614" s="294"/>
      <c r="FBF614" s="294"/>
      <c r="FBG614" s="294"/>
      <c r="FBH614" s="294"/>
      <c r="FBI614" s="294"/>
      <c r="FBJ614" s="294"/>
      <c r="FBK614" s="294"/>
      <c r="FBL614" s="294"/>
      <c r="FBM614" s="294"/>
      <c r="FBN614" s="294"/>
      <c r="FBO614" s="294"/>
      <c r="FBP614" s="294"/>
      <c r="FBQ614" s="294"/>
      <c r="FBR614" s="294"/>
      <c r="FBS614" s="294"/>
      <c r="FBT614" s="294"/>
      <c r="FBU614" s="294"/>
      <c r="FBV614" s="294"/>
      <c r="FBW614" s="294"/>
      <c r="FBX614" s="294"/>
      <c r="FBY614" s="294"/>
      <c r="FBZ614" s="294"/>
      <c r="FCA614" s="294"/>
      <c r="FCB614" s="294"/>
      <c r="FCC614" s="294"/>
      <c r="FCD614" s="294"/>
      <c r="FCE614" s="294"/>
      <c r="FCF614" s="294"/>
      <c r="FCG614" s="294"/>
      <c r="FCH614" s="294"/>
      <c r="FCI614" s="294"/>
      <c r="FCJ614" s="294"/>
      <c r="FCK614" s="294"/>
      <c r="FCL614" s="294"/>
      <c r="FCM614" s="294"/>
      <c r="FCN614" s="294"/>
      <c r="FCO614" s="294"/>
      <c r="FCP614" s="294"/>
      <c r="FCQ614" s="294"/>
      <c r="FCR614" s="294"/>
      <c r="FCS614" s="294"/>
      <c r="FCT614" s="294"/>
      <c r="FCU614" s="294"/>
      <c r="FCV614" s="294"/>
      <c r="FCW614" s="294"/>
      <c r="FCX614" s="294"/>
      <c r="FCY614" s="294"/>
      <c r="FCZ614" s="294"/>
      <c r="FDA614" s="294"/>
      <c r="FDB614" s="294"/>
      <c r="FDC614" s="294"/>
      <c r="FDD614" s="294"/>
      <c r="FDE614" s="294"/>
      <c r="FDF614" s="294"/>
      <c r="FDG614" s="294"/>
      <c r="FDH614" s="294"/>
      <c r="FDI614" s="294"/>
      <c r="FDJ614" s="294"/>
      <c r="FDK614" s="294"/>
      <c r="FDL614" s="294"/>
      <c r="FDM614" s="294"/>
      <c r="FDN614" s="294"/>
      <c r="FDO614" s="294"/>
      <c r="FDP614" s="294"/>
      <c r="FDQ614" s="294"/>
      <c r="FDR614" s="294"/>
      <c r="FDS614" s="294"/>
      <c r="FDT614" s="294"/>
      <c r="FDU614" s="294"/>
      <c r="FDV614" s="294"/>
      <c r="FDW614" s="294"/>
      <c r="FDX614" s="294"/>
      <c r="FDY614" s="294"/>
      <c r="FDZ614" s="294"/>
      <c r="FEA614" s="294"/>
      <c r="FEB614" s="294"/>
      <c r="FEC614" s="294"/>
      <c r="FED614" s="294"/>
      <c r="FEE614" s="294"/>
      <c r="FEF614" s="294"/>
      <c r="FEG614" s="294"/>
      <c r="FEH614" s="294"/>
      <c r="FEI614" s="294"/>
      <c r="FEJ614" s="294"/>
      <c r="FEK614" s="294"/>
      <c r="FEL614" s="294"/>
      <c r="FEM614" s="294"/>
      <c r="FEN614" s="294"/>
      <c r="FEO614" s="294"/>
      <c r="FEP614" s="294"/>
      <c r="FEQ614" s="294"/>
      <c r="FER614" s="294"/>
      <c r="FES614" s="294"/>
      <c r="FET614" s="294"/>
      <c r="FEU614" s="294"/>
      <c r="FEV614" s="294"/>
      <c r="FEW614" s="294"/>
      <c r="FEX614" s="294"/>
      <c r="FEY614" s="294"/>
      <c r="FEZ614" s="294"/>
      <c r="FFA614" s="294"/>
      <c r="FFB614" s="294"/>
      <c r="FFC614" s="294"/>
      <c r="FFD614" s="294"/>
      <c r="FFE614" s="294"/>
      <c r="FFF614" s="294"/>
      <c r="FFG614" s="294"/>
      <c r="FFH614" s="294"/>
      <c r="FFI614" s="294"/>
      <c r="FFJ614" s="294"/>
      <c r="FFK614" s="294"/>
      <c r="FFL614" s="294"/>
      <c r="FFM614" s="294"/>
      <c r="FFN614" s="294"/>
      <c r="FFO614" s="294"/>
      <c r="FFP614" s="294"/>
      <c r="FFQ614" s="294"/>
      <c r="FFR614" s="294"/>
      <c r="FFS614" s="294"/>
      <c r="FFT614" s="294"/>
      <c r="FFU614" s="294"/>
      <c r="FFV614" s="294"/>
      <c r="FFW614" s="294"/>
      <c r="FFX614" s="294"/>
      <c r="FFY614" s="294"/>
      <c r="FFZ614" s="294"/>
      <c r="FGA614" s="294"/>
      <c r="FGB614" s="294"/>
      <c r="FGC614" s="294"/>
      <c r="FGD614" s="294"/>
      <c r="FGE614" s="294"/>
      <c r="FGF614" s="294"/>
      <c r="FGG614" s="294"/>
      <c r="FGH614" s="294"/>
      <c r="FGI614" s="294"/>
      <c r="FGJ614" s="294"/>
      <c r="FGK614" s="294"/>
      <c r="FGL614" s="294"/>
      <c r="FGM614" s="294"/>
      <c r="FGN614" s="294"/>
      <c r="FGO614" s="294"/>
      <c r="FGP614" s="294"/>
      <c r="FGQ614" s="294"/>
      <c r="FGR614" s="294"/>
      <c r="FGS614" s="294"/>
      <c r="FGT614" s="294"/>
      <c r="FGU614" s="294"/>
      <c r="FGV614" s="294"/>
      <c r="FGW614" s="294"/>
      <c r="FGX614" s="294"/>
      <c r="FGY614" s="294"/>
      <c r="FGZ614" s="294"/>
      <c r="FHA614" s="294"/>
      <c r="FHB614" s="294"/>
      <c r="FHC614" s="294"/>
      <c r="FHD614" s="294"/>
      <c r="FHE614" s="294"/>
      <c r="FHF614" s="294"/>
      <c r="FHG614" s="294"/>
      <c r="FHH614" s="294"/>
      <c r="FHI614" s="294"/>
      <c r="FHJ614" s="294"/>
      <c r="FHK614" s="294"/>
      <c r="FHL614" s="294"/>
      <c r="FHM614" s="294"/>
      <c r="FHN614" s="294"/>
      <c r="FHO614" s="294"/>
      <c r="FHP614" s="294"/>
      <c r="FHQ614" s="294"/>
      <c r="FHR614" s="294"/>
      <c r="FHS614" s="294"/>
      <c r="FHT614" s="294"/>
      <c r="FHU614" s="294"/>
      <c r="FHV614" s="294"/>
      <c r="FHW614" s="294"/>
      <c r="FHX614" s="294"/>
      <c r="FHY614" s="294"/>
      <c r="FHZ614" s="294"/>
      <c r="FIA614" s="294"/>
      <c r="FIB614" s="294"/>
      <c r="FIC614" s="294"/>
      <c r="FID614" s="294"/>
      <c r="FIE614" s="294"/>
      <c r="FIF614" s="294"/>
      <c r="FIG614" s="294"/>
      <c r="FIH614" s="294"/>
      <c r="FII614" s="294"/>
      <c r="FIJ614" s="294"/>
      <c r="FIK614" s="294"/>
      <c r="FIL614" s="294"/>
      <c r="FIM614" s="294"/>
      <c r="FIN614" s="294"/>
      <c r="FIO614" s="294"/>
      <c r="FIP614" s="294"/>
      <c r="FIQ614" s="294"/>
      <c r="FIR614" s="294"/>
      <c r="FIS614" s="294"/>
      <c r="FIT614" s="294"/>
      <c r="FIU614" s="294"/>
      <c r="FIV614" s="294"/>
      <c r="FIW614" s="294"/>
      <c r="FIX614" s="294"/>
      <c r="FIY614" s="294"/>
      <c r="FIZ614" s="294"/>
      <c r="FJA614" s="294"/>
      <c r="FJB614" s="294"/>
      <c r="FJC614" s="294"/>
      <c r="FJD614" s="294"/>
      <c r="FJE614" s="294"/>
      <c r="FJF614" s="294"/>
      <c r="FJG614" s="294"/>
      <c r="FJH614" s="294"/>
      <c r="FJI614" s="294"/>
      <c r="FJJ614" s="294"/>
      <c r="FJK614" s="294"/>
      <c r="FJL614" s="294"/>
      <c r="FJM614" s="294"/>
      <c r="FJN614" s="294"/>
      <c r="FJO614" s="294"/>
      <c r="FJP614" s="294"/>
      <c r="FJQ614" s="294"/>
      <c r="FJR614" s="294"/>
      <c r="FJS614" s="294"/>
      <c r="FJT614" s="294"/>
      <c r="FJU614" s="294"/>
      <c r="FJV614" s="294"/>
      <c r="FJW614" s="294"/>
      <c r="FJX614" s="294"/>
      <c r="FJY614" s="294"/>
      <c r="FJZ614" s="294"/>
      <c r="FKA614" s="294"/>
      <c r="FKB614" s="294"/>
      <c r="FKC614" s="294"/>
      <c r="FKD614" s="294"/>
      <c r="FKE614" s="294"/>
      <c r="FKF614" s="294"/>
      <c r="FKG614" s="294"/>
      <c r="FKH614" s="294"/>
      <c r="FKI614" s="294"/>
      <c r="FKJ614" s="294"/>
      <c r="FKK614" s="294"/>
      <c r="FKL614" s="294"/>
      <c r="FKM614" s="294"/>
      <c r="FKN614" s="294"/>
      <c r="FKO614" s="294"/>
      <c r="FKP614" s="294"/>
      <c r="FKQ614" s="294"/>
      <c r="FKR614" s="294"/>
      <c r="FKS614" s="294"/>
      <c r="FKT614" s="294"/>
      <c r="FKU614" s="294"/>
      <c r="FKV614" s="294"/>
      <c r="FKW614" s="294"/>
      <c r="FKX614" s="294"/>
      <c r="FKY614" s="294"/>
      <c r="FKZ614" s="294"/>
      <c r="FLA614" s="294"/>
      <c r="FLB614" s="294"/>
      <c r="FLC614" s="294"/>
      <c r="FLD614" s="294"/>
      <c r="FLE614" s="294"/>
      <c r="FLF614" s="294"/>
      <c r="FLG614" s="294"/>
      <c r="FLH614" s="294"/>
      <c r="FLI614" s="294"/>
      <c r="FLJ614" s="294"/>
      <c r="FLK614" s="294"/>
      <c r="FLL614" s="294"/>
      <c r="FLM614" s="294"/>
      <c r="FLN614" s="294"/>
      <c r="FLO614" s="294"/>
      <c r="FLP614" s="294"/>
      <c r="FLQ614" s="294"/>
      <c r="FLR614" s="294"/>
      <c r="FLS614" s="294"/>
      <c r="FLT614" s="294"/>
      <c r="FLU614" s="294"/>
      <c r="FLV614" s="294"/>
      <c r="FLW614" s="294"/>
      <c r="FLX614" s="294"/>
      <c r="FLY614" s="294"/>
      <c r="FLZ614" s="294"/>
      <c r="FMA614" s="294"/>
      <c r="FMB614" s="294"/>
      <c r="FMC614" s="294"/>
      <c r="FMD614" s="294"/>
      <c r="FME614" s="294"/>
      <c r="FMF614" s="294"/>
      <c r="FMG614" s="294"/>
      <c r="FMH614" s="294"/>
      <c r="FMI614" s="294"/>
      <c r="FMJ614" s="294"/>
      <c r="FMK614" s="294"/>
      <c r="FML614" s="294"/>
      <c r="FMM614" s="294"/>
      <c r="FMN614" s="294"/>
      <c r="FMO614" s="294"/>
      <c r="FMP614" s="294"/>
      <c r="FMQ614" s="294"/>
      <c r="FMR614" s="294"/>
      <c r="FMS614" s="294"/>
      <c r="FMT614" s="294"/>
      <c r="FMU614" s="294"/>
      <c r="FMV614" s="294"/>
      <c r="FMW614" s="294"/>
      <c r="FMX614" s="294"/>
      <c r="FMY614" s="294"/>
      <c r="FMZ614" s="294"/>
      <c r="FNA614" s="294"/>
      <c r="FNB614" s="294"/>
      <c r="FNC614" s="294"/>
      <c r="FND614" s="294"/>
      <c r="FNE614" s="294"/>
      <c r="FNF614" s="294"/>
      <c r="FNG614" s="294"/>
      <c r="FNH614" s="294"/>
      <c r="FNI614" s="294"/>
      <c r="FNJ614" s="294"/>
      <c r="FNK614" s="294"/>
      <c r="FNL614" s="294"/>
      <c r="FNM614" s="294"/>
      <c r="FNN614" s="294"/>
      <c r="FNO614" s="294"/>
      <c r="FNP614" s="294"/>
      <c r="FNQ614" s="294"/>
      <c r="FNR614" s="294"/>
      <c r="FNS614" s="294"/>
      <c r="FNT614" s="294"/>
      <c r="FNU614" s="294"/>
      <c r="FNV614" s="294"/>
      <c r="FNW614" s="294"/>
      <c r="FNX614" s="294"/>
      <c r="FNY614" s="294"/>
      <c r="FNZ614" s="294"/>
      <c r="FOA614" s="294"/>
      <c r="FOB614" s="294"/>
      <c r="FOC614" s="294"/>
      <c r="FOD614" s="294"/>
      <c r="FOE614" s="294"/>
      <c r="FOF614" s="294"/>
      <c r="FOG614" s="294"/>
      <c r="FOH614" s="294"/>
      <c r="FOI614" s="294"/>
      <c r="FOJ614" s="294"/>
      <c r="FOK614" s="294"/>
      <c r="FOL614" s="294"/>
      <c r="FOM614" s="294"/>
      <c r="FON614" s="294"/>
      <c r="FOO614" s="294"/>
      <c r="FOP614" s="294"/>
      <c r="FOQ614" s="294"/>
      <c r="FOR614" s="294"/>
      <c r="FOS614" s="294"/>
      <c r="FOT614" s="294"/>
      <c r="FOU614" s="294"/>
      <c r="FOV614" s="294"/>
      <c r="FOW614" s="294"/>
      <c r="FOX614" s="294"/>
      <c r="FOY614" s="294"/>
      <c r="FOZ614" s="294"/>
      <c r="FPA614" s="294"/>
      <c r="FPB614" s="294"/>
      <c r="FPC614" s="294"/>
      <c r="FPD614" s="294"/>
      <c r="FPE614" s="294"/>
      <c r="FPF614" s="294"/>
      <c r="FPG614" s="294"/>
      <c r="FPH614" s="294"/>
      <c r="FPI614" s="294"/>
      <c r="FPJ614" s="294"/>
      <c r="FPK614" s="294"/>
      <c r="FPL614" s="294"/>
      <c r="FPM614" s="294"/>
      <c r="FPN614" s="294"/>
      <c r="FPO614" s="294"/>
      <c r="FPP614" s="294"/>
      <c r="FPQ614" s="294"/>
      <c r="FPR614" s="294"/>
      <c r="FPS614" s="294"/>
      <c r="FPT614" s="294"/>
      <c r="FPU614" s="294"/>
      <c r="FPV614" s="294"/>
      <c r="FPW614" s="294"/>
      <c r="FPX614" s="294"/>
      <c r="FPY614" s="294"/>
      <c r="FPZ614" s="294"/>
      <c r="FQA614" s="294"/>
      <c r="FQB614" s="294"/>
      <c r="FQC614" s="294"/>
      <c r="FQD614" s="294"/>
      <c r="FQE614" s="294"/>
      <c r="FQF614" s="294"/>
      <c r="FQG614" s="294"/>
      <c r="FQH614" s="294"/>
      <c r="FQI614" s="294"/>
      <c r="FQJ614" s="294"/>
      <c r="FQK614" s="294"/>
      <c r="FQL614" s="294"/>
      <c r="FQM614" s="294"/>
      <c r="FQN614" s="294"/>
      <c r="FQO614" s="294"/>
      <c r="FQP614" s="294"/>
      <c r="FQQ614" s="294"/>
      <c r="FQR614" s="294"/>
      <c r="FQS614" s="294"/>
      <c r="FQT614" s="294"/>
      <c r="FQU614" s="294"/>
      <c r="FQV614" s="294"/>
      <c r="FQW614" s="294"/>
      <c r="FQX614" s="294"/>
      <c r="FQY614" s="294"/>
      <c r="FQZ614" s="294"/>
      <c r="FRA614" s="294"/>
      <c r="FRB614" s="294"/>
      <c r="FRC614" s="294"/>
      <c r="FRD614" s="294"/>
      <c r="FRE614" s="294"/>
      <c r="FRF614" s="294"/>
      <c r="FRG614" s="294"/>
      <c r="FRH614" s="294"/>
      <c r="FRI614" s="294"/>
      <c r="FRJ614" s="294"/>
      <c r="FRK614" s="294"/>
      <c r="FRL614" s="294"/>
      <c r="FRM614" s="294"/>
      <c r="FRN614" s="294"/>
      <c r="FRO614" s="294"/>
      <c r="FRP614" s="294"/>
      <c r="FRQ614" s="294"/>
      <c r="FRR614" s="294"/>
      <c r="FRS614" s="294"/>
      <c r="FRT614" s="294"/>
      <c r="FRU614" s="294"/>
      <c r="FRV614" s="294"/>
      <c r="FRW614" s="294"/>
      <c r="FRX614" s="294"/>
      <c r="FRY614" s="294"/>
      <c r="FRZ614" s="294"/>
      <c r="FSA614" s="294"/>
      <c r="FSB614" s="294"/>
      <c r="FSC614" s="294"/>
      <c r="FSD614" s="294"/>
      <c r="FSE614" s="294"/>
      <c r="FSF614" s="294"/>
      <c r="FSG614" s="294"/>
      <c r="FSH614" s="294"/>
      <c r="FSI614" s="294"/>
      <c r="FSJ614" s="294"/>
      <c r="FSK614" s="294"/>
      <c r="FSL614" s="294"/>
      <c r="FSM614" s="294"/>
      <c r="FSN614" s="294"/>
      <c r="FSO614" s="294"/>
      <c r="FSP614" s="294"/>
      <c r="FSQ614" s="294"/>
      <c r="FSR614" s="294"/>
      <c r="FSS614" s="294"/>
      <c r="FST614" s="294"/>
      <c r="FSU614" s="294"/>
      <c r="FSV614" s="294"/>
      <c r="FSW614" s="294"/>
      <c r="FSX614" s="294"/>
      <c r="FSY614" s="294"/>
      <c r="FSZ614" s="294"/>
      <c r="FTA614" s="294"/>
      <c r="FTB614" s="294"/>
      <c r="FTC614" s="294"/>
      <c r="FTD614" s="294"/>
      <c r="FTE614" s="294"/>
      <c r="FTF614" s="294"/>
      <c r="FTG614" s="294"/>
      <c r="FTH614" s="294"/>
      <c r="FTI614" s="294"/>
      <c r="FTJ614" s="294"/>
      <c r="FTK614" s="294"/>
      <c r="FTL614" s="294"/>
      <c r="FTM614" s="294"/>
      <c r="FTN614" s="294"/>
      <c r="FTO614" s="294"/>
      <c r="FTP614" s="294"/>
      <c r="FTQ614" s="294"/>
      <c r="FTR614" s="294"/>
      <c r="FTS614" s="294"/>
      <c r="FTT614" s="294"/>
      <c r="FTU614" s="294"/>
      <c r="FTV614" s="294"/>
      <c r="FTW614" s="294"/>
      <c r="FTX614" s="294"/>
      <c r="FTY614" s="294"/>
      <c r="FTZ614" s="294"/>
      <c r="FUA614" s="294"/>
      <c r="FUB614" s="294"/>
      <c r="FUC614" s="294"/>
      <c r="FUD614" s="294"/>
      <c r="FUE614" s="294"/>
      <c r="FUF614" s="294"/>
      <c r="FUG614" s="294"/>
      <c r="FUH614" s="294"/>
      <c r="FUI614" s="294"/>
      <c r="FUJ614" s="294"/>
      <c r="FUK614" s="294"/>
      <c r="FUL614" s="294"/>
      <c r="FUM614" s="294"/>
      <c r="FUN614" s="294"/>
      <c r="FUO614" s="294"/>
      <c r="FUP614" s="294"/>
      <c r="FUQ614" s="294"/>
      <c r="FUR614" s="294"/>
      <c r="FUS614" s="294"/>
      <c r="FUT614" s="294"/>
      <c r="FUU614" s="294"/>
      <c r="FUV614" s="294"/>
      <c r="FUW614" s="294"/>
      <c r="FUX614" s="294"/>
      <c r="FUY614" s="294"/>
      <c r="FUZ614" s="294"/>
      <c r="FVA614" s="294"/>
      <c r="FVB614" s="294"/>
      <c r="FVC614" s="294"/>
      <c r="FVD614" s="294"/>
      <c r="FVE614" s="294"/>
      <c r="FVF614" s="294"/>
      <c r="FVG614" s="294"/>
      <c r="FVH614" s="294"/>
      <c r="FVI614" s="294"/>
      <c r="FVJ614" s="294"/>
      <c r="FVK614" s="294"/>
      <c r="FVL614" s="294"/>
      <c r="FVM614" s="294"/>
      <c r="FVN614" s="294"/>
      <c r="FVO614" s="294"/>
      <c r="FVP614" s="294"/>
      <c r="FVQ614" s="294"/>
      <c r="FVR614" s="294"/>
      <c r="FVS614" s="294"/>
      <c r="FVT614" s="294"/>
      <c r="FVU614" s="294"/>
      <c r="FVV614" s="294"/>
      <c r="FVW614" s="294"/>
      <c r="FVX614" s="294"/>
      <c r="FVY614" s="294"/>
      <c r="FVZ614" s="294"/>
      <c r="FWA614" s="294"/>
      <c r="FWB614" s="294"/>
      <c r="FWC614" s="294"/>
      <c r="FWD614" s="294"/>
      <c r="FWE614" s="294"/>
      <c r="FWF614" s="294"/>
      <c r="FWG614" s="294"/>
      <c r="FWH614" s="294"/>
      <c r="FWI614" s="294"/>
      <c r="FWJ614" s="294"/>
      <c r="FWK614" s="294"/>
      <c r="FWL614" s="294"/>
      <c r="FWM614" s="294"/>
      <c r="FWN614" s="294"/>
      <c r="FWO614" s="294"/>
      <c r="FWP614" s="294"/>
      <c r="FWQ614" s="294"/>
      <c r="FWR614" s="294"/>
      <c r="FWS614" s="294"/>
      <c r="FWT614" s="294"/>
      <c r="FWU614" s="294"/>
      <c r="FWV614" s="294"/>
      <c r="FWW614" s="294"/>
      <c r="FWX614" s="294"/>
      <c r="FWY614" s="294"/>
      <c r="FWZ614" s="294"/>
      <c r="FXA614" s="294"/>
      <c r="FXB614" s="294"/>
      <c r="FXC614" s="294"/>
      <c r="FXD614" s="294"/>
      <c r="FXE614" s="294"/>
      <c r="FXF614" s="294"/>
      <c r="FXG614" s="294"/>
      <c r="FXH614" s="294"/>
      <c r="FXI614" s="294"/>
      <c r="FXJ614" s="294"/>
      <c r="FXK614" s="294"/>
      <c r="FXL614" s="294"/>
      <c r="FXM614" s="294"/>
      <c r="FXN614" s="294"/>
      <c r="FXO614" s="294"/>
      <c r="FXP614" s="294"/>
      <c r="FXQ614" s="294"/>
      <c r="FXR614" s="294"/>
      <c r="FXS614" s="294"/>
      <c r="FXT614" s="294"/>
      <c r="FXU614" s="294"/>
      <c r="FXV614" s="294"/>
      <c r="FXW614" s="294"/>
      <c r="FXX614" s="294"/>
      <c r="FXY614" s="294"/>
      <c r="FXZ614" s="294"/>
      <c r="FYA614" s="294"/>
      <c r="FYB614" s="294"/>
      <c r="FYC614" s="294"/>
      <c r="FYD614" s="294"/>
      <c r="FYE614" s="294"/>
      <c r="FYF614" s="294"/>
      <c r="FYG614" s="294"/>
      <c r="FYH614" s="294"/>
      <c r="FYI614" s="294"/>
      <c r="FYJ614" s="294"/>
      <c r="FYK614" s="294"/>
      <c r="FYL614" s="294"/>
      <c r="FYM614" s="294"/>
      <c r="FYN614" s="294"/>
      <c r="FYO614" s="294"/>
      <c r="FYP614" s="294"/>
      <c r="FYQ614" s="294"/>
      <c r="FYR614" s="294"/>
      <c r="FYS614" s="294"/>
      <c r="FYT614" s="294"/>
      <c r="FYU614" s="294"/>
      <c r="FYV614" s="294"/>
      <c r="FYW614" s="294"/>
      <c r="FYX614" s="294"/>
      <c r="FYY614" s="294"/>
      <c r="FYZ614" s="294"/>
      <c r="FZA614" s="294"/>
      <c r="FZB614" s="294"/>
      <c r="FZC614" s="294"/>
      <c r="FZD614" s="294"/>
      <c r="FZE614" s="294"/>
      <c r="FZF614" s="294"/>
      <c r="FZG614" s="294"/>
      <c r="FZH614" s="294"/>
      <c r="FZI614" s="294"/>
      <c r="FZJ614" s="294"/>
      <c r="FZK614" s="294"/>
      <c r="FZL614" s="294"/>
      <c r="FZM614" s="294"/>
      <c r="FZN614" s="294"/>
      <c r="FZO614" s="294"/>
      <c r="FZP614" s="294"/>
      <c r="FZQ614" s="294"/>
      <c r="FZR614" s="294"/>
      <c r="FZS614" s="294"/>
      <c r="FZT614" s="294"/>
      <c r="FZU614" s="294"/>
      <c r="FZV614" s="294"/>
      <c r="FZW614" s="294"/>
      <c r="FZX614" s="294"/>
      <c r="FZY614" s="294"/>
      <c r="FZZ614" s="294"/>
      <c r="GAA614" s="294"/>
      <c r="GAB614" s="294"/>
      <c r="GAC614" s="294"/>
      <c r="GAD614" s="294"/>
      <c r="GAE614" s="294"/>
      <c r="GAF614" s="294"/>
      <c r="GAG614" s="294"/>
      <c r="GAH614" s="294"/>
      <c r="GAI614" s="294"/>
      <c r="GAJ614" s="294"/>
      <c r="GAK614" s="294"/>
      <c r="GAL614" s="294"/>
      <c r="GAM614" s="294"/>
      <c r="GAN614" s="294"/>
      <c r="GAO614" s="294"/>
      <c r="GAP614" s="294"/>
      <c r="GAQ614" s="294"/>
      <c r="GAR614" s="294"/>
      <c r="GAS614" s="294"/>
      <c r="GAT614" s="294"/>
      <c r="GAU614" s="294"/>
      <c r="GAV614" s="294"/>
      <c r="GAW614" s="294"/>
      <c r="GAX614" s="294"/>
      <c r="GAY614" s="294"/>
      <c r="GAZ614" s="294"/>
      <c r="GBA614" s="294"/>
      <c r="GBB614" s="294"/>
      <c r="GBC614" s="294"/>
      <c r="GBD614" s="294"/>
      <c r="GBE614" s="294"/>
      <c r="GBF614" s="294"/>
      <c r="GBG614" s="294"/>
      <c r="GBH614" s="294"/>
      <c r="GBI614" s="294"/>
      <c r="GBJ614" s="294"/>
      <c r="GBK614" s="294"/>
      <c r="GBL614" s="294"/>
      <c r="GBM614" s="294"/>
      <c r="GBN614" s="294"/>
      <c r="GBO614" s="294"/>
      <c r="GBP614" s="294"/>
      <c r="GBQ614" s="294"/>
      <c r="GBR614" s="294"/>
      <c r="GBS614" s="294"/>
      <c r="GBT614" s="294"/>
      <c r="GBU614" s="294"/>
      <c r="GBV614" s="294"/>
      <c r="GBW614" s="294"/>
      <c r="GBX614" s="294"/>
      <c r="GBY614" s="294"/>
      <c r="GBZ614" s="294"/>
      <c r="GCA614" s="294"/>
      <c r="GCB614" s="294"/>
      <c r="GCC614" s="294"/>
      <c r="GCD614" s="294"/>
      <c r="GCE614" s="294"/>
      <c r="GCF614" s="294"/>
      <c r="GCG614" s="294"/>
      <c r="GCH614" s="294"/>
      <c r="GCI614" s="294"/>
      <c r="GCJ614" s="294"/>
      <c r="GCK614" s="294"/>
      <c r="GCL614" s="294"/>
      <c r="GCM614" s="294"/>
      <c r="GCN614" s="294"/>
      <c r="GCO614" s="294"/>
      <c r="GCP614" s="294"/>
      <c r="GCQ614" s="294"/>
      <c r="GCR614" s="294"/>
      <c r="GCS614" s="294"/>
      <c r="GCT614" s="294"/>
      <c r="GCU614" s="294"/>
      <c r="GCV614" s="294"/>
      <c r="GCW614" s="294"/>
      <c r="GCX614" s="294"/>
      <c r="GCY614" s="294"/>
      <c r="GCZ614" s="294"/>
      <c r="GDA614" s="294"/>
      <c r="GDB614" s="294"/>
      <c r="GDC614" s="294"/>
      <c r="GDD614" s="294"/>
      <c r="GDE614" s="294"/>
      <c r="GDF614" s="294"/>
      <c r="GDG614" s="294"/>
      <c r="GDH614" s="294"/>
      <c r="GDI614" s="294"/>
      <c r="GDJ614" s="294"/>
      <c r="GDK614" s="294"/>
      <c r="GDL614" s="294"/>
      <c r="GDM614" s="294"/>
      <c r="GDN614" s="294"/>
      <c r="GDO614" s="294"/>
      <c r="GDP614" s="294"/>
      <c r="GDQ614" s="294"/>
      <c r="GDR614" s="294"/>
      <c r="GDS614" s="294"/>
      <c r="GDT614" s="294"/>
      <c r="GDU614" s="294"/>
      <c r="GDV614" s="294"/>
      <c r="GDW614" s="294"/>
      <c r="GDX614" s="294"/>
      <c r="GDY614" s="294"/>
      <c r="GDZ614" s="294"/>
      <c r="GEA614" s="294"/>
      <c r="GEB614" s="294"/>
      <c r="GEC614" s="294"/>
      <c r="GED614" s="294"/>
      <c r="GEE614" s="294"/>
      <c r="GEF614" s="294"/>
      <c r="GEG614" s="294"/>
      <c r="GEH614" s="294"/>
      <c r="GEI614" s="294"/>
      <c r="GEJ614" s="294"/>
      <c r="GEK614" s="294"/>
      <c r="GEL614" s="294"/>
      <c r="GEM614" s="294"/>
      <c r="GEN614" s="294"/>
      <c r="GEO614" s="294"/>
      <c r="GEP614" s="294"/>
      <c r="GEQ614" s="294"/>
      <c r="GER614" s="294"/>
      <c r="GES614" s="294"/>
      <c r="GET614" s="294"/>
      <c r="GEU614" s="294"/>
      <c r="GEV614" s="294"/>
      <c r="GEW614" s="294"/>
      <c r="GEX614" s="294"/>
      <c r="GEY614" s="294"/>
      <c r="GEZ614" s="294"/>
      <c r="GFA614" s="294"/>
      <c r="GFB614" s="294"/>
      <c r="GFC614" s="294"/>
      <c r="GFD614" s="294"/>
      <c r="GFE614" s="294"/>
      <c r="GFF614" s="294"/>
      <c r="GFG614" s="294"/>
      <c r="GFH614" s="294"/>
      <c r="GFI614" s="294"/>
      <c r="GFJ614" s="294"/>
      <c r="GFK614" s="294"/>
      <c r="GFL614" s="294"/>
      <c r="GFM614" s="294"/>
      <c r="GFN614" s="294"/>
      <c r="GFO614" s="294"/>
      <c r="GFP614" s="294"/>
      <c r="GFQ614" s="294"/>
      <c r="GFR614" s="294"/>
      <c r="GFS614" s="294"/>
      <c r="GFT614" s="294"/>
      <c r="GFU614" s="294"/>
      <c r="GFV614" s="294"/>
      <c r="GFW614" s="294"/>
      <c r="GFX614" s="294"/>
      <c r="GFY614" s="294"/>
      <c r="GFZ614" s="294"/>
      <c r="GGA614" s="294"/>
      <c r="GGB614" s="294"/>
      <c r="GGC614" s="294"/>
      <c r="GGD614" s="294"/>
      <c r="GGE614" s="294"/>
      <c r="GGF614" s="294"/>
      <c r="GGG614" s="294"/>
      <c r="GGH614" s="294"/>
      <c r="GGI614" s="294"/>
      <c r="GGJ614" s="294"/>
      <c r="GGK614" s="294"/>
      <c r="GGL614" s="294"/>
      <c r="GGM614" s="294"/>
      <c r="GGN614" s="294"/>
      <c r="GGO614" s="294"/>
      <c r="GGP614" s="294"/>
      <c r="GGQ614" s="294"/>
      <c r="GGR614" s="294"/>
      <c r="GGS614" s="294"/>
      <c r="GGT614" s="294"/>
      <c r="GGU614" s="294"/>
      <c r="GGV614" s="294"/>
      <c r="GGW614" s="294"/>
      <c r="GGX614" s="294"/>
      <c r="GGY614" s="294"/>
      <c r="GGZ614" s="294"/>
      <c r="GHA614" s="294"/>
      <c r="GHB614" s="294"/>
      <c r="GHC614" s="294"/>
      <c r="GHD614" s="294"/>
      <c r="GHE614" s="294"/>
      <c r="GHF614" s="294"/>
      <c r="GHG614" s="294"/>
      <c r="GHH614" s="294"/>
      <c r="GHI614" s="294"/>
      <c r="GHJ614" s="294"/>
      <c r="GHK614" s="294"/>
      <c r="GHL614" s="294"/>
      <c r="GHM614" s="294"/>
      <c r="GHN614" s="294"/>
      <c r="GHO614" s="294"/>
      <c r="GHP614" s="294"/>
      <c r="GHQ614" s="294"/>
      <c r="GHR614" s="294"/>
      <c r="GHS614" s="294"/>
      <c r="GHT614" s="294"/>
      <c r="GHU614" s="294"/>
      <c r="GHV614" s="294"/>
      <c r="GHW614" s="294"/>
      <c r="GHX614" s="294"/>
      <c r="GHY614" s="294"/>
      <c r="GHZ614" s="294"/>
      <c r="GIA614" s="294"/>
      <c r="GIB614" s="294"/>
      <c r="GIC614" s="294"/>
      <c r="GID614" s="294"/>
      <c r="GIE614" s="294"/>
      <c r="GIF614" s="294"/>
      <c r="GIG614" s="294"/>
      <c r="GIH614" s="294"/>
      <c r="GII614" s="294"/>
      <c r="GIJ614" s="294"/>
      <c r="GIK614" s="294"/>
      <c r="GIL614" s="294"/>
      <c r="GIM614" s="294"/>
      <c r="GIN614" s="294"/>
      <c r="GIO614" s="294"/>
      <c r="GIP614" s="294"/>
      <c r="GIQ614" s="294"/>
      <c r="GIR614" s="294"/>
      <c r="GIS614" s="294"/>
      <c r="GIT614" s="294"/>
      <c r="GIU614" s="294"/>
      <c r="GIV614" s="294"/>
      <c r="GIW614" s="294"/>
      <c r="GIX614" s="294"/>
      <c r="GIY614" s="294"/>
      <c r="GIZ614" s="294"/>
      <c r="GJA614" s="294"/>
      <c r="GJB614" s="294"/>
      <c r="GJC614" s="294"/>
      <c r="GJD614" s="294"/>
      <c r="GJE614" s="294"/>
      <c r="GJF614" s="294"/>
      <c r="GJG614" s="294"/>
      <c r="GJH614" s="294"/>
      <c r="GJI614" s="294"/>
      <c r="GJJ614" s="294"/>
      <c r="GJK614" s="294"/>
      <c r="GJL614" s="294"/>
      <c r="GJM614" s="294"/>
      <c r="GJN614" s="294"/>
      <c r="GJO614" s="294"/>
      <c r="GJP614" s="294"/>
      <c r="GJQ614" s="294"/>
      <c r="GJR614" s="294"/>
      <c r="GJS614" s="294"/>
      <c r="GJT614" s="294"/>
      <c r="GJU614" s="294"/>
      <c r="GJV614" s="294"/>
      <c r="GJW614" s="294"/>
      <c r="GJX614" s="294"/>
      <c r="GJY614" s="294"/>
      <c r="GJZ614" s="294"/>
      <c r="GKA614" s="294"/>
      <c r="GKB614" s="294"/>
      <c r="GKC614" s="294"/>
      <c r="GKD614" s="294"/>
      <c r="GKE614" s="294"/>
      <c r="GKF614" s="294"/>
      <c r="GKG614" s="294"/>
      <c r="GKH614" s="294"/>
      <c r="GKI614" s="294"/>
      <c r="GKJ614" s="294"/>
      <c r="GKK614" s="294"/>
      <c r="GKL614" s="294"/>
      <c r="GKM614" s="294"/>
      <c r="GKN614" s="294"/>
      <c r="GKO614" s="294"/>
      <c r="GKP614" s="294"/>
      <c r="GKQ614" s="294"/>
      <c r="GKR614" s="294"/>
      <c r="GKS614" s="294"/>
      <c r="GKT614" s="294"/>
      <c r="GKU614" s="294"/>
      <c r="GKV614" s="294"/>
      <c r="GKW614" s="294"/>
      <c r="GKX614" s="294"/>
      <c r="GKY614" s="294"/>
      <c r="GKZ614" s="294"/>
      <c r="GLA614" s="294"/>
      <c r="GLB614" s="294"/>
      <c r="GLC614" s="294"/>
      <c r="GLD614" s="294"/>
      <c r="GLE614" s="294"/>
      <c r="GLF614" s="294"/>
      <c r="GLG614" s="294"/>
      <c r="GLH614" s="294"/>
      <c r="GLI614" s="294"/>
      <c r="GLJ614" s="294"/>
      <c r="GLK614" s="294"/>
      <c r="GLL614" s="294"/>
      <c r="GLM614" s="294"/>
      <c r="GLN614" s="294"/>
      <c r="GLO614" s="294"/>
      <c r="GLP614" s="294"/>
      <c r="GLQ614" s="294"/>
      <c r="GLR614" s="294"/>
      <c r="GLS614" s="294"/>
      <c r="GLT614" s="294"/>
      <c r="GLU614" s="294"/>
      <c r="GLV614" s="294"/>
      <c r="GLW614" s="294"/>
      <c r="GLX614" s="294"/>
      <c r="GLY614" s="294"/>
      <c r="GLZ614" s="294"/>
      <c r="GMA614" s="294"/>
      <c r="GMB614" s="294"/>
      <c r="GMC614" s="294"/>
      <c r="GMD614" s="294"/>
      <c r="GME614" s="294"/>
      <c r="GMF614" s="294"/>
      <c r="GMG614" s="294"/>
      <c r="GMH614" s="294"/>
      <c r="GMI614" s="294"/>
      <c r="GMJ614" s="294"/>
      <c r="GMK614" s="294"/>
      <c r="GML614" s="294"/>
      <c r="GMM614" s="294"/>
      <c r="GMN614" s="294"/>
      <c r="GMO614" s="294"/>
      <c r="GMP614" s="294"/>
      <c r="GMQ614" s="294"/>
      <c r="GMR614" s="294"/>
      <c r="GMS614" s="294"/>
      <c r="GMT614" s="294"/>
      <c r="GMU614" s="294"/>
      <c r="GMV614" s="294"/>
      <c r="GMW614" s="294"/>
      <c r="GMX614" s="294"/>
      <c r="GMY614" s="294"/>
      <c r="GMZ614" s="294"/>
      <c r="GNA614" s="294"/>
      <c r="GNB614" s="294"/>
      <c r="GNC614" s="294"/>
      <c r="GND614" s="294"/>
      <c r="GNE614" s="294"/>
      <c r="GNF614" s="294"/>
      <c r="GNG614" s="294"/>
      <c r="GNH614" s="294"/>
      <c r="GNI614" s="294"/>
      <c r="GNJ614" s="294"/>
      <c r="GNK614" s="294"/>
      <c r="GNL614" s="294"/>
      <c r="GNM614" s="294"/>
      <c r="GNN614" s="294"/>
      <c r="GNO614" s="294"/>
      <c r="GNP614" s="294"/>
      <c r="GNQ614" s="294"/>
      <c r="GNR614" s="294"/>
      <c r="GNS614" s="294"/>
      <c r="GNT614" s="294"/>
      <c r="GNU614" s="294"/>
      <c r="GNV614" s="294"/>
      <c r="GNW614" s="294"/>
      <c r="GNX614" s="294"/>
      <c r="GNY614" s="294"/>
      <c r="GNZ614" s="294"/>
      <c r="GOA614" s="294"/>
      <c r="GOB614" s="294"/>
      <c r="GOC614" s="294"/>
      <c r="GOD614" s="294"/>
      <c r="GOE614" s="294"/>
      <c r="GOF614" s="294"/>
      <c r="GOG614" s="294"/>
      <c r="GOH614" s="294"/>
      <c r="GOI614" s="294"/>
      <c r="GOJ614" s="294"/>
      <c r="GOK614" s="294"/>
      <c r="GOL614" s="294"/>
      <c r="GOM614" s="294"/>
      <c r="GON614" s="294"/>
      <c r="GOO614" s="294"/>
      <c r="GOP614" s="294"/>
      <c r="GOQ614" s="294"/>
      <c r="GOR614" s="294"/>
      <c r="GOS614" s="294"/>
      <c r="GOT614" s="294"/>
      <c r="GOU614" s="294"/>
      <c r="GOV614" s="294"/>
      <c r="GOW614" s="294"/>
      <c r="GOX614" s="294"/>
      <c r="GOY614" s="294"/>
      <c r="GOZ614" s="294"/>
      <c r="GPA614" s="294"/>
      <c r="GPB614" s="294"/>
      <c r="GPC614" s="294"/>
      <c r="GPD614" s="294"/>
      <c r="GPE614" s="294"/>
      <c r="GPF614" s="294"/>
      <c r="GPG614" s="294"/>
      <c r="GPH614" s="294"/>
      <c r="GPI614" s="294"/>
      <c r="GPJ614" s="294"/>
      <c r="GPK614" s="294"/>
      <c r="GPL614" s="294"/>
      <c r="GPM614" s="294"/>
      <c r="GPN614" s="294"/>
      <c r="GPO614" s="294"/>
      <c r="GPP614" s="294"/>
      <c r="GPQ614" s="294"/>
      <c r="GPR614" s="294"/>
      <c r="GPS614" s="294"/>
      <c r="GPT614" s="294"/>
      <c r="GPU614" s="294"/>
      <c r="GPV614" s="294"/>
      <c r="GPW614" s="294"/>
      <c r="GPX614" s="294"/>
      <c r="GPY614" s="294"/>
      <c r="GPZ614" s="294"/>
      <c r="GQA614" s="294"/>
      <c r="GQB614" s="294"/>
      <c r="GQC614" s="294"/>
      <c r="GQD614" s="294"/>
      <c r="GQE614" s="294"/>
      <c r="GQF614" s="294"/>
      <c r="GQG614" s="294"/>
      <c r="GQH614" s="294"/>
      <c r="GQI614" s="294"/>
      <c r="GQJ614" s="294"/>
      <c r="GQK614" s="294"/>
      <c r="GQL614" s="294"/>
      <c r="GQM614" s="294"/>
      <c r="GQN614" s="294"/>
      <c r="GQO614" s="294"/>
      <c r="GQP614" s="294"/>
      <c r="GQQ614" s="294"/>
      <c r="GQR614" s="294"/>
      <c r="GQS614" s="294"/>
      <c r="GQT614" s="294"/>
      <c r="GQU614" s="294"/>
      <c r="GQV614" s="294"/>
      <c r="GQW614" s="294"/>
      <c r="GQX614" s="294"/>
      <c r="GQY614" s="294"/>
      <c r="GQZ614" s="294"/>
      <c r="GRA614" s="294"/>
      <c r="GRB614" s="294"/>
      <c r="GRC614" s="294"/>
      <c r="GRD614" s="294"/>
      <c r="GRE614" s="294"/>
      <c r="GRF614" s="294"/>
      <c r="GRG614" s="294"/>
      <c r="GRH614" s="294"/>
      <c r="GRI614" s="294"/>
      <c r="GRJ614" s="294"/>
      <c r="GRK614" s="294"/>
      <c r="GRL614" s="294"/>
      <c r="GRM614" s="294"/>
      <c r="GRN614" s="294"/>
      <c r="GRO614" s="294"/>
      <c r="GRP614" s="294"/>
      <c r="GRQ614" s="294"/>
      <c r="GRR614" s="294"/>
      <c r="GRS614" s="294"/>
      <c r="GRT614" s="294"/>
      <c r="GRU614" s="294"/>
      <c r="GRV614" s="294"/>
      <c r="GRW614" s="294"/>
      <c r="GRX614" s="294"/>
      <c r="GRY614" s="294"/>
      <c r="GRZ614" s="294"/>
      <c r="GSA614" s="294"/>
      <c r="GSB614" s="294"/>
      <c r="GSC614" s="294"/>
      <c r="GSD614" s="294"/>
      <c r="GSE614" s="294"/>
      <c r="GSF614" s="294"/>
      <c r="GSG614" s="294"/>
      <c r="GSH614" s="294"/>
      <c r="GSI614" s="294"/>
      <c r="GSJ614" s="294"/>
      <c r="GSK614" s="294"/>
      <c r="GSL614" s="294"/>
      <c r="GSM614" s="294"/>
      <c r="GSN614" s="294"/>
      <c r="GSO614" s="294"/>
      <c r="GSP614" s="294"/>
      <c r="GSQ614" s="294"/>
      <c r="GSR614" s="294"/>
      <c r="GSS614" s="294"/>
      <c r="GST614" s="294"/>
      <c r="GSU614" s="294"/>
      <c r="GSV614" s="294"/>
      <c r="GSW614" s="294"/>
      <c r="GSX614" s="294"/>
      <c r="GSY614" s="294"/>
      <c r="GSZ614" s="294"/>
      <c r="GTA614" s="294"/>
      <c r="GTB614" s="294"/>
      <c r="GTC614" s="294"/>
      <c r="GTD614" s="294"/>
      <c r="GTE614" s="294"/>
      <c r="GTF614" s="294"/>
      <c r="GTG614" s="294"/>
      <c r="GTH614" s="294"/>
      <c r="GTI614" s="294"/>
      <c r="GTJ614" s="294"/>
      <c r="GTK614" s="294"/>
      <c r="GTL614" s="294"/>
      <c r="GTM614" s="294"/>
      <c r="GTN614" s="294"/>
      <c r="GTO614" s="294"/>
      <c r="GTP614" s="294"/>
      <c r="GTQ614" s="294"/>
      <c r="GTR614" s="294"/>
      <c r="GTS614" s="294"/>
      <c r="GTT614" s="294"/>
      <c r="GTU614" s="294"/>
      <c r="GTV614" s="294"/>
      <c r="GTW614" s="294"/>
      <c r="GTX614" s="294"/>
      <c r="GTY614" s="294"/>
      <c r="GTZ614" s="294"/>
      <c r="GUA614" s="294"/>
      <c r="GUB614" s="294"/>
      <c r="GUC614" s="294"/>
      <c r="GUD614" s="294"/>
      <c r="GUE614" s="294"/>
      <c r="GUF614" s="294"/>
      <c r="GUG614" s="294"/>
      <c r="GUH614" s="294"/>
      <c r="GUI614" s="294"/>
      <c r="GUJ614" s="294"/>
      <c r="GUK614" s="294"/>
      <c r="GUL614" s="294"/>
      <c r="GUM614" s="294"/>
      <c r="GUN614" s="294"/>
      <c r="GUO614" s="294"/>
      <c r="GUP614" s="294"/>
      <c r="GUQ614" s="294"/>
      <c r="GUR614" s="294"/>
      <c r="GUS614" s="294"/>
      <c r="GUT614" s="294"/>
      <c r="GUU614" s="294"/>
      <c r="GUV614" s="294"/>
      <c r="GUW614" s="294"/>
      <c r="GUX614" s="294"/>
      <c r="GUY614" s="294"/>
      <c r="GUZ614" s="294"/>
      <c r="GVA614" s="294"/>
      <c r="GVB614" s="294"/>
      <c r="GVC614" s="294"/>
      <c r="GVD614" s="294"/>
      <c r="GVE614" s="294"/>
      <c r="GVF614" s="294"/>
      <c r="GVG614" s="294"/>
      <c r="GVH614" s="294"/>
      <c r="GVI614" s="294"/>
      <c r="GVJ614" s="294"/>
      <c r="GVK614" s="294"/>
      <c r="GVL614" s="294"/>
      <c r="GVM614" s="294"/>
      <c r="GVN614" s="294"/>
      <c r="GVO614" s="294"/>
      <c r="GVP614" s="294"/>
      <c r="GVQ614" s="294"/>
      <c r="GVR614" s="294"/>
      <c r="GVS614" s="294"/>
      <c r="GVT614" s="294"/>
      <c r="GVU614" s="294"/>
      <c r="GVV614" s="294"/>
      <c r="GVW614" s="294"/>
      <c r="GVX614" s="294"/>
      <c r="GVY614" s="294"/>
      <c r="GVZ614" s="294"/>
      <c r="GWA614" s="294"/>
      <c r="GWB614" s="294"/>
      <c r="GWC614" s="294"/>
      <c r="GWD614" s="294"/>
      <c r="GWE614" s="294"/>
      <c r="GWF614" s="294"/>
      <c r="GWG614" s="294"/>
      <c r="GWH614" s="294"/>
      <c r="GWI614" s="294"/>
      <c r="GWJ614" s="294"/>
      <c r="GWK614" s="294"/>
      <c r="GWL614" s="294"/>
      <c r="GWM614" s="294"/>
      <c r="GWN614" s="294"/>
      <c r="GWO614" s="294"/>
      <c r="GWP614" s="294"/>
      <c r="GWQ614" s="294"/>
      <c r="GWR614" s="294"/>
      <c r="GWS614" s="294"/>
      <c r="GWT614" s="294"/>
      <c r="GWU614" s="294"/>
      <c r="GWV614" s="294"/>
      <c r="GWW614" s="294"/>
      <c r="GWX614" s="294"/>
      <c r="GWY614" s="294"/>
      <c r="GWZ614" s="294"/>
      <c r="GXA614" s="294"/>
      <c r="GXB614" s="294"/>
      <c r="GXC614" s="294"/>
      <c r="GXD614" s="294"/>
      <c r="GXE614" s="294"/>
      <c r="GXF614" s="294"/>
      <c r="GXG614" s="294"/>
      <c r="GXH614" s="294"/>
      <c r="GXI614" s="294"/>
      <c r="GXJ614" s="294"/>
      <c r="GXK614" s="294"/>
      <c r="GXL614" s="294"/>
      <c r="GXM614" s="294"/>
      <c r="GXN614" s="294"/>
      <c r="GXO614" s="294"/>
      <c r="GXP614" s="294"/>
      <c r="GXQ614" s="294"/>
      <c r="GXR614" s="294"/>
      <c r="GXS614" s="294"/>
      <c r="GXT614" s="294"/>
      <c r="GXU614" s="294"/>
      <c r="GXV614" s="294"/>
      <c r="GXW614" s="294"/>
      <c r="GXX614" s="294"/>
      <c r="GXY614" s="294"/>
      <c r="GXZ614" s="294"/>
      <c r="GYA614" s="294"/>
      <c r="GYB614" s="294"/>
      <c r="GYC614" s="294"/>
      <c r="GYD614" s="294"/>
      <c r="GYE614" s="294"/>
      <c r="GYF614" s="294"/>
      <c r="GYG614" s="294"/>
      <c r="GYH614" s="294"/>
      <c r="GYI614" s="294"/>
      <c r="GYJ614" s="294"/>
      <c r="GYK614" s="294"/>
      <c r="GYL614" s="294"/>
      <c r="GYM614" s="294"/>
      <c r="GYN614" s="294"/>
      <c r="GYO614" s="294"/>
      <c r="GYP614" s="294"/>
      <c r="GYQ614" s="294"/>
      <c r="GYR614" s="294"/>
      <c r="GYS614" s="294"/>
      <c r="GYT614" s="294"/>
      <c r="GYU614" s="294"/>
      <c r="GYV614" s="294"/>
      <c r="GYW614" s="294"/>
      <c r="GYX614" s="294"/>
      <c r="GYY614" s="294"/>
      <c r="GYZ614" s="294"/>
      <c r="GZA614" s="294"/>
      <c r="GZB614" s="294"/>
      <c r="GZC614" s="294"/>
      <c r="GZD614" s="294"/>
      <c r="GZE614" s="294"/>
      <c r="GZF614" s="294"/>
      <c r="GZG614" s="294"/>
      <c r="GZH614" s="294"/>
      <c r="GZI614" s="294"/>
      <c r="GZJ614" s="294"/>
      <c r="GZK614" s="294"/>
      <c r="GZL614" s="294"/>
      <c r="GZM614" s="294"/>
      <c r="GZN614" s="294"/>
      <c r="GZO614" s="294"/>
      <c r="GZP614" s="294"/>
      <c r="GZQ614" s="294"/>
      <c r="GZR614" s="294"/>
      <c r="GZS614" s="294"/>
      <c r="GZT614" s="294"/>
      <c r="GZU614" s="294"/>
      <c r="GZV614" s="294"/>
      <c r="GZW614" s="294"/>
      <c r="GZX614" s="294"/>
      <c r="GZY614" s="294"/>
      <c r="GZZ614" s="294"/>
      <c r="HAA614" s="294"/>
      <c r="HAB614" s="294"/>
      <c r="HAC614" s="294"/>
      <c r="HAD614" s="294"/>
      <c r="HAE614" s="294"/>
      <c r="HAF614" s="294"/>
      <c r="HAG614" s="294"/>
      <c r="HAH614" s="294"/>
      <c r="HAI614" s="294"/>
      <c r="HAJ614" s="294"/>
      <c r="HAK614" s="294"/>
      <c r="HAL614" s="294"/>
      <c r="HAM614" s="294"/>
      <c r="HAN614" s="294"/>
      <c r="HAO614" s="294"/>
      <c r="HAP614" s="294"/>
      <c r="HAQ614" s="294"/>
      <c r="HAR614" s="294"/>
      <c r="HAS614" s="294"/>
      <c r="HAT614" s="294"/>
      <c r="HAU614" s="294"/>
      <c r="HAV614" s="294"/>
      <c r="HAW614" s="294"/>
      <c r="HAX614" s="294"/>
      <c r="HAY614" s="294"/>
      <c r="HAZ614" s="294"/>
      <c r="HBA614" s="294"/>
      <c r="HBB614" s="294"/>
      <c r="HBC614" s="294"/>
      <c r="HBD614" s="294"/>
      <c r="HBE614" s="294"/>
      <c r="HBF614" s="294"/>
      <c r="HBG614" s="294"/>
      <c r="HBH614" s="294"/>
      <c r="HBI614" s="294"/>
      <c r="HBJ614" s="294"/>
      <c r="HBK614" s="294"/>
      <c r="HBL614" s="294"/>
      <c r="HBM614" s="294"/>
      <c r="HBN614" s="294"/>
      <c r="HBO614" s="294"/>
      <c r="HBP614" s="294"/>
      <c r="HBQ614" s="294"/>
      <c r="HBR614" s="294"/>
      <c r="HBS614" s="294"/>
      <c r="HBT614" s="294"/>
      <c r="HBU614" s="294"/>
      <c r="HBV614" s="294"/>
      <c r="HBW614" s="294"/>
      <c r="HBX614" s="294"/>
      <c r="HBY614" s="294"/>
      <c r="HBZ614" s="294"/>
      <c r="HCA614" s="294"/>
      <c r="HCB614" s="294"/>
      <c r="HCC614" s="294"/>
      <c r="HCD614" s="294"/>
      <c r="HCE614" s="294"/>
      <c r="HCF614" s="294"/>
      <c r="HCG614" s="294"/>
      <c r="HCH614" s="294"/>
      <c r="HCI614" s="294"/>
      <c r="HCJ614" s="294"/>
      <c r="HCK614" s="294"/>
      <c r="HCL614" s="294"/>
      <c r="HCM614" s="294"/>
      <c r="HCN614" s="294"/>
      <c r="HCO614" s="294"/>
      <c r="HCP614" s="294"/>
      <c r="HCQ614" s="294"/>
      <c r="HCR614" s="294"/>
      <c r="HCS614" s="294"/>
      <c r="HCT614" s="294"/>
      <c r="HCU614" s="294"/>
      <c r="HCV614" s="294"/>
      <c r="HCW614" s="294"/>
      <c r="HCX614" s="294"/>
      <c r="HCY614" s="294"/>
      <c r="HCZ614" s="294"/>
      <c r="HDA614" s="294"/>
      <c r="HDB614" s="294"/>
      <c r="HDC614" s="294"/>
      <c r="HDD614" s="294"/>
      <c r="HDE614" s="294"/>
      <c r="HDF614" s="294"/>
      <c r="HDG614" s="294"/>
      <c r="HDH614" s="294"/>
      <c r="HDI614" s="294"/>
      <c r="HDJ614" s="294"/>
      <c r="HDK614" s="294"/>
      <c r="HDL614" s="294"/>
      <c r="HDM614" s="294"/>
      <c r="HDN614" s="294"/>
      <c r="HDO614" s="294"/>
      <c r="HDP614" s="294"/>
      <c r="HDQ614" s="294"/>
      <c r="HDR614" s="294"/>
      <c r="HDS614" s="294"/>
      <c r="HDT614" s="294"/>
      <c r="HDU614" s="294"/>
      <c r="HDV614" s="294"/>
      <c r="HDW614" s="294"/>
      <c r="HDX614" s="294"/>
      <c r="HDY614" s="294"/>
      <c r="HDZ614" s="294"/>
      <c r="HEA614" s="294"/>
      <c r="HEB614" s="294"/>
      <c r="HEC614" s="294"/>
      <c r="HED614" s="294"/>
      <c r="HEE614" s="294"/>
      <c r="HEF614" s="294"/>
      <c r="HEG614" s="294"/>
      <c r="HEH614" s="294"/>
      <c r="HEI614" s="294"/>
      <c r="HEJ614" s="294"/>
      <c r="HEK614" s="294"/>
      <c r="HEL614" s="294"/>
      <c r="HEM614" s="294"/>
      <c r="HEN614" s="294"/>
      <c r="HEO614" s="294"/>
      <c r="HEP614" s="294"/>
      <c r="HEQ614" s="294"/>
      <c r="HER614" s="294"/>
      <c r="HES614" s="294"/>
      <c r="HET614" s="294"/>
      <c r="HEU614" s="294"/>
      <c r="HEV614" s="294"/>
      <c r="HEW614" s="294"/>
      <c r="HEX614" s="294"/>
      <c r="HEY614" s="294"/>
      <c r="HEZ614" s="294"/>
      <c r="HFA614" s="294"/>
      <c r="HFB614" s="294"/>
      <c r="HFC614" s="294"/>
      <c r="HFD614" s="294"/>
      <c r="HFE614" s="294"/>
      <c r="HFF614" s="294"/>
      <c r="HFG614" s="294"/>
      <c r="HFH614" s="294"/>
      <c r="HFI614" s="294"/>
      <c r="HFJ614" s="294"/>
      <c r="HFK614" s="294"/>
      <c r="HFL614" s="294"/>
      <c r="HFM614" s="294"/>
      <c r="HFN614" s="294"/>
      <c r="HFO614" s="294"/>
      <c r="HFP614" s="294"/>
      <c r="HFQ614" s="294"/>
      <c r="HFR614" s="294"/>
      <c r="HFS614" s="294"/>
      <c r="HFT614" s="294"/>
      <c r="HFU614" s="294"/>
      <c r="HFV614" s="294"/>
      <c r="HFW614" s="294"/>
      <c r="HFX614" s="294"/>
      <c r="HFY614" s="294"/>
      <c r="HFZ614" s="294"/>
      <c r="HGA614" s="294"/>
      <c r="HGB614" s="294"/>
      <c r="HGC614" s="294"/>
      <c r="HGD614" s="294"/>
      <c r="HGE614" s="294"/>
      <c r="HGF614" s="294"/>
      <c r="HGG614" s="294"/>
      <c r="HGH614" s="294"/>
      <c r="HGI614" s="294"/>
      <c r="HGJ614" s="294"/>
      <c r="HGK614" s="294"/>
      <c r="HGL614" s="294"/>
      <c r="HGM614" s="294"/>
      <c r="HGN614" s="294"/>
      <c r="HGO614" s="294"/>
      <c r="HGP614" s="294"/>
      <c r="HGQ614" s="294"/>
      <c r="HGR614" s="294"/>
      <c r="HGS614" s="294"/>
      <c r="HGT614" s="294"/>
      <c r="HGU614" s="294"/>
      <c r="HGV614" s="294"/>
      <c r="HGW614" s="294"/>
      <c r="HGX614" s="294"/>
      <c r="HGY614" s="294"/>
      <c r="HGZ614" s="294"/>
      <c r="HHA614" s="294"/>
      <c r="HHB614" s="294"/>
      <c r="HHC614" s="294"/>
      <c r="HHD614" s="294"/>
      <c r="HHE614" s="294"/>
      <c r="HHF614" s="294"/>
      <c r="HHG614" s="294"/>
      <c r="HHH614" s="294"/>
      <c r="HHI614" s="294"/>
      <c r="HHJ614" s="294"/>
      <c r="HHK614" s="294"/>
      <c r="HHL614" s="294"/>
      <c r="HHM614" s="294"/>
      <c r="HHN614" s="294"/>
      <c r="HHO614" s="294"/>
      <c r="HHP614" s="294"/>
      <c r="HHQ614" s="294"/>
      <c r="HHR614" s="294"/>
      <c r="HHS614" s="294"/>
      <c r="HHT614" s="294"/>
      <c r="HHU614" s="294"/>
      <c r="HHV614" s="294"/>
      <c r="HHW614" s="294"/>
      <c r="HHX614" s="294"/>
      <c r="HHY614" s="294"/>
      <c r="HHZ614" s="294"/>
      <c r="HIA614" s="294"/>
      <c r="HIB614" s="294"/>
      <c r="HIC614" s="294"/>
      <c r="HID614" s="294"/>
      <c r="HIE614" s="294"/>
      <c r="HIF614" s="294"/>
      <c r="HIG614" s="294"/>
      <c r="HIH614" s="294"/>
      <c r="HII614" s="294"/>
      <c r="HIJ614" s="294"/>
      <c r="HIK614" s="294"/>
      <c r="HIL614" s="294"/>
      <c r="HIM614" s="294"/>
      <c r="HIN614" s="294"/>
      <c r="HIO614" s="294"/>
      <c r="HIP614" s="294"/>
      <c r="HIQ614" s="294"/>
      <c r="HIR614" s="294"/>
      <c r="HIS614" s="294"/>
      <c r="HIT614" s="294"/>
      <c r="HIU614" s="294"/>
      <c r="HIV614" s="294"/>
      <c r="HIW614" s="294"/>
      <c r="HIX614" s="294"/>
      <c r="HIY614" s="294"/>
      <c r="HIZ614" s="294"/>
      <c r="HJA614" s="294"/>
      <c r="HJB614" s="294"/>
      <c r="HJC614" s="294"/>
      <c r="HJD614" s="294"/>
      <c r="HJE614" s="294"/>
      <c r="HJF614" s="294"/>
      <c r="HJG614" s="294"/>
      <c r="HJH614" s="294"/>
      <c r="HJI614" s="294"/>
      <c r="HJJ614" s="294"/>
      <c r="HJK614" s="294"/>
      <c r="HJL614" s="294"/>
      <c r="HJM614" s="294"/>
      <c r="HJN614" s="294"/>
      <c r="HJO614" s="294"/>
      <c r="HJP614" s="294"/>
      <c r="HJQ614" s="294"/>
      <c r="HJR614" s="294"/>
      <c r="HJS614" s="294"/>
      <c r="HJT614" s="294"/>
      <c r="HJU614" s="294"/>
      <c r="HJV614" s="294"/>
      <c r="HJW614" s="294"/>
      <c r="HJX614" s="294"/>
      <c r="HJY614" s="294"/>
      <c r="HJZ614" s="294"/>
      <c r="HKA614" s="294"/>
      <c r="HKB614" s="294"/>
      <c r="HKC614" s="294"/>
      <c r="HKD614" s="294"/>
      <c r="HKE614" s="294"/>
      <c r="HKF614" s="294"/>
      <c r="HKG614" s="294"/>
      <c r="HKH614" s="294"/>
      <c r="HKI614" s="294"/>
      <c r="HKJ614" s="294"/>
      <c r="HKK614" s="294"/>
      <c r="HKL614" s="294"/>
      <c r="HKM614" s="294"/>
      <c r="HKN614" s="294"/>
      <c r="HKO614" s="294"/>
      <c r="HKP614" s="294"/>
      <c r="HKQ614" s="294"/>
      <c r="HKR614" s="294"/>
      <c r="HKS614" s="294"/>
      <c r="HKT614" s="294"/>
      <c r="HKU614" s="294"/>
      <c r="HKV614" s="294"/>
      <c r="HKW614" s="294"/>
      <c r="HKX614" s="294"/>
      <c r="HKY614" s="294"/>
      <c r="HKZ614" s="294"/>
      <c r="HLA614" s="294"/>
      <c r="HLB614" s="294"/>
      <c r="HLC614" s="294"/>
      <c r="HLD614" s="294"/>
      <c r="HLE614" s="294"/>
      <c r="HLF614" s="294"/>
      <c r="HLG614" s="294"/>
      <c r="HLH614" s="294"/>
      <c r="HLI614" s="294"/>
      <c r="HLJ614" s="294"/>
      <c r="HLK614" s="294"/>
      <c r="HLL614" s="294"/>
      <c r="HLM614" s="294"/>
      <c r="HLN614" s="294"/>
      <c r="HLO614" s="294"/>
      <c r="HLP614" s="294"/>
      <c r="HLQ614" s="294"/>
      <c r="HLR614" s="294"/>
      <c r="HLS614" s="294"/>
      <c r="HLT614" s="294"/>
      <c r="HLU614" s="294"/>
      <c r="HLV614" s="294"/>
      <c r="HLW614" s="294"/>
      <c r="HLX614" s="294"/>
      <c r="HLY614" s="294"/>
      <c r="HLZ614" s="294"/>
      <c r="HMA614" s="294"/>
      <c r="HMB614" s="294"/>
      <c r="HMC614" s="294"/>
      <c r="HMD614" s="294"/>
      <c r="HME614" s="294"/>
      <c r="HMF614" s="294"/>
      <c r="HMG614" s="294"/>
      <c r="HMH614" s="294"/>
      <c r="HMI614" s="294"/>
      <c r="HMJ614" s="294"/>
      <c r="HMK614" s="294"/>
      <c r="HML614" s="294"/>
      <c r="HMM614" s="294"/>
      <c r="HMN614" s="294"/>
      <c r="HMO614" s="294"/>
      <c r="HMP614" s="294"/>
      <c r="HMQ614" s="294"/>
      <c r="HMR614" s="294"/>
      <c r="HMS614" s="294"/>
      <c r="HMT614" s="294"/>
      <c r="HMU614" s="294"/>
      <c r="HMV614" s="294"/>
      <c r="HMW614" s="294"/>
      <c r="HMX614" s="294"/>
      <c r="HMY614" s="294"/>
      <c r="HMZ614" s="294"/>
      <c r="HNA614" s="294"/>
      <c r="HNB614" s="294"/>
      <c r="HNC614" s="294"/>
      <c r="HND614" s="294"/>
      <c r="HNE614" s="294"/>
      <c r="HNF614" s="294"/>
      <c r="HNG614" s="294"/>
      <c r="HNH614" s="294"/>
      <c r="HNI614" s="294"/>
      <c r="HNJ614" s="294"/>
      <c r="HNK614" s="294"/>
      <c r="HNL614" s="294"/>
      <c r="HNM614" s="294"/>
      <c r="HNN614" s="294"/>
      <c r="HNO614" s="294"/>
      <c r="HNP614" s="294"/>
      <c r="HNQ614" s="294"/>
      <c r="HNR614" s="294"/>
      <c r="HNS614" s="294"/>
      <c r="HNT614" s="294"/>
      <c r="HNU614" s="294"/>
      <c r="HNV614" s="294"/>
      <c r="HNW614" s="294"/>
      <c r="HNX614" s="294"/>
      <c r="HNY614" s="294"/>
      <c r="HNZ614" s="294"/>
      <c r="HOA614" s="294"/>
      <c r="HOB614" s="294"/>
      <c r="HOC614" s="294"/>
      <c r="HOD614" s="294"/>
      <c r="HOE614" s="294"/>
      <c r="HOF614" s="294"/>
      <c r="HOG614" s="294"/>
      <c r="HOH614" s="294"/>
      <c r="HOI614" s="294"/>
      <c r="HOJ614" s="294"/>
      <c r="HOK614" s="294"/>
      <c r="HOL614" s="294"/>
      <c r="HOM614" s="294"/>
      <c r="HON614" s="294"/>
      <c r="HOO614" s="294"/>
      <c r="HOP614" s="294"/>
      <c r="HOQ614" s="294"/>
      <c r="HOR614" s="294"/>
      <c r="HOS614" s="294"/>
      <c r="HOT614" s="294"/>
      <c r="HOU614" s="294"/>
      <c r="HOV614" s="294"/>
      <c r="HOW614" s="294"/>
      <c r="HOX614" s="294"/>
      <c r="HOY614" s="294"/>
      <c r="HOZ614" s="294"/>
      <c r="HPA614" s="294"/>
      <c r="HPB614" s="294"/>
      <c r="HPC614" s="294"/>
      <c r="HPD614" s="294"/>
      <c r="HPE614" s="294"/>
      <c r="HPF614" s="294"/>
      <c r="HPG614" s="294"/>
      <c r="HPH614" s="294"/>
      <c r="HPI614" s="294"/>
      <c r="HPJ614" s="294"/>
      <c r="HPK614" s="294"/>
      <c r="HPL614" s="294"/>
      <c r="HPM614" s="294"/>
      <c r="HPN614" s="294"/>
      <c r="HPO614" s="294"/>
      <c r="HPP614" s="294"/>
      <c r="HPQ614" s="294"/>
      <c r="HPR614" s="294"/>
      <c r="HPS614" s="294"/>
      <c r="HPT614" s="294"/>
      <c r="HPU614" s="294"/>
      <c r="HPV614" s="294"/>
      <c r="HPW614" s="294"/>
      <c r="HPX614" s="294"/>
      <c r="HPY614" s="294"/>
      <c r="HPZ614" s="294"/>
      <c r="HQA614" s="294"/>
      <c r="HQB614" s="294"/>
      <c r="HQC614" s="294"/>
      <c r="HQD614" s="294"/>
      <c r="HQE614" s="294"/>
      <c r="HQF614" s="294"/>
      <c r="HQG614" s="294"/>
      <c r="HQH614" s="294"/>
      <c r="HQI614" s="294"/>
      <c r="HQJ614" s="294"/>
      <c r="HQK614" s="294"/>
      <c r="HQL614" s="294"/>
      <c r="HQM614" s="294"/>
      <c r="HQN614" s="294"/>
      <c r="HQO614" s="294"/>
      <c r="HQP614" s="294"/>
      <c r="HQQ614" s="294"/>
      <c r="HQR614" s="294"/>
      <c r="HQS614" s="294"/>
      <c r="HQT614" s="294"/>
      <c r="HQU614" s="294"/>
      <c r="HQV614" s="294"/>
      <c r="HQW614" s="294"/>
      <c r="HQX614" s="294"/>
      <c r="HQY614" s="294"/>
      <c r="HQZ614" s="294"/>
      <c r="HRA614" s="294"/>
      <c r="HRB614" s="294"/>
      <c r="HRC614" s="294"/>
      <c r="HRD614" s="294"/>
      <c r="HRE614" s="294"/>
      <c r="HRF614" s="294"/>
      <c r="HRG614" s="294"/>
      <c r="HRH614" s="294"/>
      <c r="HRI614" s="294"/>
      <c r="HRJ614" s="294"/>
      <c r="HRK614" s="294"/>
      <c r="HRL614" s="294"/>
      <c r="HRM614" s="294"/>
      <c r="HRN614" s="294"/>
      <c r="HRO614" s="294"/>
      <c r="HRP614" s="294"/>
      <c r="HRQ614" s="294"/>
      <c r="HRR614" s="294"/>
      <c r="HRS614" s="294"/>
      <c r="HRT614" s="294"/>
      <c r="HRU614" s="294"/>
      <c r="HRV614" s="294"/>
      <c r="HRW614" s="294"/>
      <c r="HRX614" s="294"/>
      <c r="HRY614" s="294"/>
      <c r="HRZ614" s="294"/>
      <c r="HSA614" s="294"/>
      <c r="HSB614" s="294"/>
      <c r="HSC614" s="294"/>
      <c r="HSD614" s="294"/>
      <c r="HSE614" s="294"/>
      <c r="HSF614" s="294"/>
      <c r="HSG614" s="294"/>
      <c r="HSH614" s="294"/>
      <c r="HSI614" s="294"/>
      <c r="HSJ614" s="294"/>
      <c r="HSK614" s="294"/>
      <c r="HSL614" s="294"/>
      <c r="HSM614" s="294"/>
      <c r="HSN614" s="294"/>
      <c r="HSO614" s="294"/>
      <c r="HSP614" s="294"/>
      <c r="HSQ614" s="294"/>
      <c r="HSR614" s="294"/>
      <c r="HSS614" s="294"/>
      <c r="HST614" s="294"/>
      <c r="HSU614" s="294"/>
      <c r="HSV614" s="294"/>
      <c r="HSW614" s="294"/>
      <c r="HSX614" s="294"/>
      <c r="HSY614" s="294"/>
      <c r="HSZ614" s="294"/>
      <c r="HTA614" s="294"/>
      <c r="HTB614" s="294"/>
      <c r="HTC614" s="294"/>
      <c r="HTD614" s="294"/>
      <c r="HTE614" s="294"/>
      <c r="HTF614" s="294"/>
      <c r="HTG614" s="294"/>
      <c r="HTH614" s="294"/>
      <c r="HTI614" s="294"/>
      <c r="HTJ614" s="294"/>
      <c r="HTK614" s="294"/>
      <c r="HTL614" s="294"/>
      <c r="HTM614" s="294"/>
      <c r="HTN614" s="294"/>
      <c r="HTO614" s="294"/>
      <c r="HTP614" s="294"/>
      <c r="HTQ614" s="294"/>
      <c r="HTR614" s="294"/>
      <c r="HTS614" s="294"/>
      <c r="HTT614" s="294"/>
      <c r="HTU614" s="294"/>
      <c r="HTV614" s="294"/>
      <c r="HTW614" s="294"/>
      <c r="HTX614" s="294"/>
      <c r="HTY614" s="294"/>
      <c r="HTZ614" s="294"/>
      <c r="HUA614" s="294"/>
      <c r="HUB614" s="294"/>
      <c r="HUC614" s="294"/>
      <c r="HUD614" s="294"/>
      <c r="HUE614" s="294"/>
      <c r="HUF614" s="294"/>
      <c r="HUG614" s="294"/>
      <c r="HUH614" s="294"/>
      <c r="HUI614" s="294"/>
      <c r="HUJ614" s="294"/>
      <c r="HUK614" s="294"/>
      <c r="HUL614" s="294"/>
      <c r="HUM614" s="294"/>
      <c r="HUN614" s="294"/>
      <c r="HUO614" s="294"/>
      <c r="HUP614" s="294"/>
      <c r="HUQ614" s="294"/>
      <c r="HUR614" s="294"/>
      <c r="HUS614" s="294"/>
      <c r="HUT614" s="294"/>
      <c r="HUU614" s="294"/>
      <c r="HUV614" s="294"/>
      <c r="HUW614" s="294"/>
      <c r="HUX614" s="294"/>
      <c r="HUY614" s="294"/>
      <c r="HUZ614" s="294"/>
      <c r="HVA614" s="294"/>
      <c r="HVB614" s="294"/>
      <c r="HVC614" s="294"/>
      <c r="HVD614" s="294"/>
      <c r="HVE614" s="294"/>
      <c r="HVF614" s="294"/>
      <c r="HVG614" s="294"/>
      <c r="HVH614" s="294"/>
      <c r="HVI614" s="294"/>
      <c r="HVJ614" s="294"/>
      <c r="HVK614" s="294"/>
      <c r="HVL614" s="294"/>
      <c r="HVM614" s="294"/>
      <c r="HVN614" s="294"/>
      <c r="HVO614" s="294"/>
      <c r="HVP614" s="294"/>
      <c r="HVQ614" s="294"/>
      <c r="HVR614" s="294"/>
      <c r="HVS614" s="294"/>
      <c r="HVT614" s="294"/>
      <c r="HVU614" s="294"/>
      <c r="HVV614" s="294"/>
      <c r="HVW614" s="294"/>
      <c r="HVX614" s="294"/>
      <c r="HVY614" s="294"/>
      <c r="HVZ614" s="294"/>
      <c r="HWA614" s="294"/>
      <c r="HWB614" s="294"/>
      <c r="HWC614" s="294"/>
      <c r="HWD614" s="294"/>
      <c r="HWE614" s="294"/>
      <c r="HWF614" s="294"/>
      <c r="HWG614" s="294"/>
      <c r="HWH614" s="294"/>
      <c r="HWI614" s="294"/>
      <c r="HWJ614" s="294"/>
      <c r="HWK614" s="294"/>
      <c r="HWL614" s="294"/>
      <c r="HWM614" s="294"/>
      <c r="HWN614" s="294"/>
      <c r="HWO614" s="294"/>
      <c r="HWP614" s="294"/>
      <c r="HWQ614" s="294"/>
      <c r="HWR614" s="294"/>
      <c r="HWS614" s="294"/>
      <c r="HWT614" s="294"/>
      <c r="HWU614" s="294"/>
      <c r="HWV614" s="294"/>
      <c r="HWW614" s="294"/>
      <c r="HWX614" s="294"/>
      <c r="HWY614" s="294"/>
      <c r="HWZ614" s="294"/>
      <c r="HXA614" s="294"/>
      <c r="HXB614" s="294"/>
      <c r="HXC614" s="294"/>
      <c r="HXD614" s="294"/>
      <c r="HXE614" s="294"/>
      <c r="HXF614" s="294"/>
      <c r="HXG614" s="294"/>
      <c r="HXH614" s="294"/>
      <c r="HXI614" s="294"/>
      <c r="HXJ614" s="294"/>
      <c r="HXK614" s="294"/>
      <c r="HXL614" s="294"/>
      <c r="HXM614" s="294"/>
      <c r="HXN614" s="294"/>
      <c r="HXO614" s="294"/>
      <c r="HXP614" s="294"/>
      <c r="HXQ614" s="294"/>
      <c r="HXR614" s="294"/>
      <c r="HXS614" s="294"/>
      <c r="HXT614" s="294"/>
      <c r="HXU614" s="294"/>
      <c r="HXV614" s="294"/>
      <c r="HXW614" s="294"/>
      <c r="HXX614" s="294"/>
      <c r="HXY614" s="294"/>
      <c r="HXZ614" s="294"/>
      <c r="HYA614" s="294"/>
      <c r="HYB614" s="294"/>
      <c r="HYC614" s="294"/>
      <c r="HYD614" s="294"/>
      <c r="HYE614" s="294"/>
      <c r="HYF614" s="294"/>
      <c r="HYG614" s="294"/>
      <c r="HYH614" s="294"/>
      <c r="HYI614" s="294"/>
      <c r="HYJ614" s="294"/>
      <c r="HYK614" s="294"/>
      <c r="HYL614" s="294"/>
      <c r="HYM614" s="294"/>
      <c r="HYN614" s="294"/>
      <c r="HYO614" s="294"/>
      <c r="HYP614" s="294"/>
      <c r="HYQ614" s="294"/>
      <c r="HYR614" s="294"/>
      <c r="HYS614" s="294"/>
      <c r="HYT614" s="294"/>
      <c r="HYU614" s="294"/>
      <c r="HYV614" s="294"/>
      <c r="HYW614" s="294"/>
      <c r="HYX614" s="294"/>
      <c r="HYY614" s="294"/>
      <c r="HYZ614" s="294"/>
      <c r="HZA614" s="294"/>
      <c r="HZB614" s="294"/>
      <c r="HZC614" s="294"/>
      <c r="HZD614" s="294"/>
      <c r="HZE614" s="294"/>
      <c r="HZF614" s="294"/>
      <c r="HZG614" s="294"/>
      <c r="HZH614" s="294"/>
      <c r="HZI614" s="294"/>
      <c r="HZJ614" s="294"/>
      <c r="HZK614" s="294"/>
      <c r="HZL614" s="294"/>
      <c r="HZM614" s="294"/>
      <c r="HZN614" s="294"/>
      <c r="HZO614" s="294"/>
      <c r="HZP614" s="294"/>
      <c r="HZQ614" s="294"/>
      <c r="HZR614" s="294"/>
      <c r="HZS614" s="294"/>
      <c r="HZT614" s="294"/>
      <c r="HZU614" s="294"/>
      <c r="HZV614" s="294"/>
      <c r="HZW614" s="294"/>
      <c r="HZX614" s="294"/>
      <c r="HZY614" s="294"/>
      <c r="HZZ614" s="294"/>
      <c r="IAA614" s="294"/>
      <c r="IAB614" s="294"/>
      <c r="IAC614" s="294"/>
      <c r="IAD614" s="294"/>
      <c r="IAE614" s="294"/>
      <c r="IAF614" s="294"/>
      <c r="IAG614" s="294"/>
      <c r="IAH614" s="294"/>
      <c r="IAI614" s="294"/>
      <c r="IAJ614" s="294"/>
      <c r="IAK614" s="294"/>
      <c r="IAL614" s="294"/>
      <c r="IAM614" s="294"/>
      <c r="IAN614" s="294"/>
      <c r="IAO614" s="294"/>
      <c r="IAP614" s="294"/>
      <c r="IAQ614" s="294"/>
      <c r="IAR614" s="294"/>
      <c r="IAS614" s="294"/>
      <c r="IAT614" s="294"/>
      <c r="IAU614" s="294"/>
      <c r="IAV614" s="294"/>
      <c r="IAW614" s="294"/>
      <c r="IAX614" s="294"/>
      <c r="IAY614" s="294"/>
      <c r="IAZ614" s="294"/>
      <c r="IBA614" s="294"/>
      <c r="IBB614" s="294"/>
      <c r="IBC614" s="294"/>
      <c r="IBD614" s="294"/>
      <c r="IBE614" s="294"/>
      <c r="IBF614" s="294"/>
      <c r="IBG614" s="294"/>
      <c r="IBH614" s="294"/>
      <c r="IBI614" s="294"/>
      <c r="IBJ614" s="294"/>
      <c r="IBK614" s="294"/>
      <c r="IBL614" s="294"/>
      <c r="IBM614" s="294"/>
      <c r="IBN614" s="294"/>
      <c r="IBO614" s="294"/>
      <c r="IBP614" s="294"/>
      <c r="IBQ614" s="294"/>
      <c r="IBR614" s="294"/>
      <c r="IBS614" s="294"/>
      <c r="IBT614" s="294"/>
      <c r="IBU614" s="294"/>
      <c r="IBV614" s="294"/>
      <c r="IBW614" s="294"/>
      <c r="IBX614" s="294"/>
      <c r="IBY614" s="294"/>
      <c r="IBZ614" s="294"/>
      <c r="ICA614" s="294"/>
      <c r="ICB614" s="294"/>
      <c r="ICC614" s="294"/>
      <c r="ICD614" s="294"/>
      <c r="ICE614" s="294"/>
      <c r="ICF614" s="294"/>
      <c r="ICG614" s="294"/>
      <c r="ICH614" s="294"/>
      <c r="ICI614" s="294"/>
      <c r="ICJ614" s="294"/>
      <c r="ICK614" s="294"/>
      <c r="ICL614" s="294"/>
      <c r="ICM614" s="294"/>
      <c r="ICN614" s="294"/>
      <c r="ICO614" s="294"/>
      <c r="ICP614" s="294"/>
      <c r="ICQ614" s="294"/>
      <c r="ICR614" s="294"/>
      <c r="ICS614" s="294"/>
      <c r="ICT614" s="294"/>
      <c r="ICU614" s="294"/>
      <c r="ICV614" s="294"/>
      <c r="ICW614" s="294"/>
      <c r="ICX614" s="294"/>
      <c r="ICY614" s="294"/>
      <c r="ICZ614" s="294"/>
      <c r="IDA614" s="294"/>
      <c r="IDB614" s="294"/>
      <c r="IDC614" s="294"/>
      <c r="IDD614" s="294"/>
      <c r="IDE614" s="294"/>
      <c r="IDF614" s="294"/>
      <c r="IDG614" s="294"/>
      <c r="IDH614" s="294"/>
      <c r="IDI614" s="294"/>
      <c r="IDJ614" s="294"/>
      <c r="IDK614" s="294"/>
      <c r="IDL614" s="294"/>
      <c r="IDM614" s="294"/>
      <c r="IDN614" s="294"/>
      <c r="IDO614" s="294"/>
      <c r="IDP614" s="294"/>
      <c r="IDQ614" s="294"/>
      <c r="IDR614" s="294"/>
      <c r="IDS614" s="294"/>
      <c r="IDT614" s="294"/>
      <c r="IDU614" s="294"/>
      <c r="IDV614" s="294"/>
      <c r="IDW614" s="294"/>
      <c r="IDX614" s="294"/>
      <c r="IDY614" s="294"/>
      <c r="IDZ614" s="294"/>
      <c r="IEA614" s="294"/>
      <c r="IEB614" s="294"/>
      <c r="IEC614" s="294"/>
      <c r="IED614" s="294"/>
      <c r="IEE614" s="294"/>
      <c r="IEF614" s="294"/>
      <c r="IEG614" s="294"/>
      <c r="IEH614" s="294"/>
      <c r="IEI614" s="294"/>
      <c r="IEJ614" s="294"/>
      <c r="IEK614" s="294"/>
      <c r="IEL614" s="294"/>
      <c r="IEM614" s="294"/>
      <c r="IEN614" s="294"/>
      <c r="IEO614" s="294"/>
      <c r="IEP614" s="294"/>
      <c r="IEQ614" s="294"/>
      <c r="IER614" s="294"/>
      <c r="IES614" s="294"/>
      <c r="IET614" s="294"/>
      <c r="IEU614" s="294"/>
      <c r="IEV614" s="294"/>
      <c r="IEW614" s="294"/>
      <c r="IEX614" s="294"/>
      <c r="IEY614" s="294"/>
      <c r="IEZ614" s="294"/>
      <c r="IFA614" s="294"/>
      <c r="IFB614" s="294"/>
      <c r="IFC614" s="294"/>
      <c r="IFD614" s="294"/>
      <c r="IFE614" s="294"/>
      <c r="IFF614" s="294"/>
      <c r="IFG614" s="294"/>
      <c r="IFH614" s="294"/>
      <c r="IFI614" s="294"/>
      <c r="IFJ614" s="294"/>
      <c r="IFK614" s="294"/>
      <c r="IFL614" s="294"/>
      <c r="IFM614" s="294"/>
      <c r="IFN614" s="294"/>
      <c r="IFO614" s="294"/>
      <c r="IFP614" s="294"/>
      <c r="IFQ614" s="294"/>
      <c r="IFR614" s="294"/>
      <c r="IFS614" s="294"/>
      <c r="IFT614" s="294"/>
      <c r="IFU614" s="294"/>
      <c r="IFV614" s="294"/>
      <c r="IFW614" s="294"/>
      <c r="IFX614" s="294"/>
      <c r="IFY614" s="294"/>
      <c r="IFZ614" s="294"/>
      <c r="IGA614" s="294"/>
      <c r="IGB614" s="294"/>
      <c r="IGC614" s="294"/>
      <c r="IGD614" s="294"/>
      <c r="IGE614" s="294"/>
      <c r="IGF614" s="294"/>
      <c r="IGG614" s="294"/>
      <c r="IGH614" s="294"/>
      <c r="IGI614" s="294"/>
      <c r="IGJ614" s="294"/>
      <c r="IGK614" s="294"/>
      <c r="IGL614" s="294"/>
      <c r="IGM614" s="294"/>
      <c r="IGN614" s="294"/>
      <c r="IGO614" s="294"/>
      <c r="IGP614" s="294"/>
      <c r="IGQ614" s="294"/>
      <c r="IGR614" s="294"/>
      <c r="IGS614" s="294"/>
      <c r="IGT614" s="294"/>
      <c r="IGU614" s="294"/>
      <c r="IGV614" s="294"/>
      <c r="IGW614" s="294"/>
      <c r="IGX614" s="294"/>
      <c r="IGY614" s="294"/>
      <c r="IGZ614" s="294"/>
      <c r="IHA614" s="294"/>
      <c r="IHB614" s="294"/>
      <c r="IHC614" s="294"/>
      <c r="IHD614" s="294"/>
      <c r="IHE614" s="294"/>
      <c r="IHF614" s="294"/>
      <c r="IHG614" s="294"/>
      <c r="IHH614" s="294"/>
      <c r="IHI614" s="294"/>
      <c r="IHJ614" s="294"/>
      <c r="IHK614" s="294"/>
      <c r="IHL614" s="294"/>
      <c r="IHM614" s="294"/>
      <c r="IHN614" s="294"/>
      <c r="IHO614" s="294"/>
      <c r="IHP614" s="294"/>
      <c r="IHQ614" s="294"/>
      <c r="IHR614" s="294"/>
      <c r="IHS614" s="294"/>
      <c r="IHT614" s="294"/>
      <c r="IHU614" s="294"/>
      <c r="IHV614" s="294"/>
      <c r="IHW614" s="294"/>
      <c r="IHX614" s="294"/>
      <c r="IHY614" s="294"/>
      <c r="IHZ614" s="294"/>
      <c r="IIA614" s="294"/>
      <c r="IIB614" s="294"/>
      <c r="IIC614" s="294"/>
      <c r="IID614" s="294"/>
      <c r="IIE614" s="294"/>
      <c r="IIF614" s="294"/>
      <c r="IIG614" s="294"/>
      <c r="IIH614" s="294"/>
      <c r="III614" s="294"/>
      <c r="IIJ614" s="294"/>
      <c r="IIK614" s="294"/>
      <c r="IIL614" s="294"/>
      <c r="IIM614" s="294"/>
      <c r="IIN614" s="294"/>
      <c r="IIO614" s="294"/>
      <c r="IIP614" s="294"/>
      <c r="IIQ614" s="294"/>
      <c r="IIR614" s="294"/>
      <c r="IIS614" s="294"/>
      <c r="IIT614" s="294"/>
      <c r="IIU614" s="294"/>
      <c r="IIV614" s="294"/>
      <c r="IIW614" s="294"/>
      <c r="IIX614" s="294"/>
      <c r="IIY614" s="294"/>
      <c r="IIZ614" s="294"/>
      <c r="IJA614" s="294"/>
      <c r="IJB614" s="294"/>
      <c r="IJC614" s="294"/>
      <c r="IJD614" s="294"/>
      <c r="IJE614" s="294"/>
      <c r="IJF614" s="294"/>
      <c r="IJG614" s="294"/>
      <c r="IJH614" s="294"/>
      <c r="IJI614" s="294"/>
      <c r="IJJ614" s="294"/>
      <c r="IJK614" s="294"/>
      <c r="IJL614" s="294"/>
      <c r="IJM614" s="294"/>
      <c r="IJN614" s="294"/>
      <c r="IJO614" s="294"/>
      <c r="IJP614" s="294"/>
      <c r="IJQ614" s="294"/>
      <c r="IJR614" s="294"/>
      <c r="IJS614" s="294"/>
      <c r="IJT614" s="294"/>
      <c r="IJU614" s="294"/>
      <c r="IJV614" s="294"/>
      <c r="IJW614" s="294"/>
      <c r="IJX614" s="294"/>
      <c r="IJY614" s="294"/>
      <c r="IJZ614" s="294"/>
      <c r="IKA614" s="294"/>
      <c r="IKB614" s="294"/>
      <c r="IKC614" s="294"/>
      <c r="IKD614" s="294"/>
      <c r="IKE614" s="294"/>
      <c r="IKF614" s="294"/>
      <c r="IKG614" s="294"/>
      <c r="IKH614" s="294"/>
      <c r="IKI614" s="294"/>
      <c r="IKJ614" s="294"/>
      <c r="IKK614" s="294"/>
      <c r="IKL614" s="294"/>
      <c r="IKM614" s="294"/>
      <c r="IKN614" s="294"/>
      <c r="IKO614" s="294"/>
      <c r="IKP614" s="294"/>
      <c r="IKQ614" s="294"/>
      <c r="IKR614" s="294"/>
      <c r="IKS614" s="294"/>
      <c r="IKT614" s="294"/>
      <c r="IKU614" s="294"/>
      <c r="IKV614" s="294"/>
      <c r="IKW614" s="294"/>
      <c r="IKX614" s="294"/>
      <c r="IKY614" s="294"/>
      <c r="IKZ614" s="294"/>
      <c r="ILA614" s="294"/>
      <c r="ILB614" s="294"/>
      <c r="ILC614" s="294"/>
      <c r="ILD614" s="294"/>
      <c r="ILE614" s="294"/>
      <c r="ILF614" s="294"/>
      <c r="ILG614" s="294"/>
      <c r="ILH614" s="294"/>
      <c r="ILI614" s="294"/>
      <c r="ILJ614" s="294"/>
      <c r="ILK614" s="294"/>
      <c r="ILL614" s="294"/>
      <c r="ILM614" s="294"/>
      <c r="ILN614" s="294"/>
      <c r="ILO614" s="294"/>
      <c r="ILP614" s="294"/>
      <c r="ILQ614" s="294"/>
      <c r="ILR614" s="294"/>
      <c r="ILS614" s="294"/>
      <c r="ILT614" s="294"/>
      <c r="ILU614" s="294"/>
      <c r="ILV614" s="294"/>
      <c r="ILW614" s="294"/>
      <c r="ILX614" s="294"/>
      <c r="ILY614" s="294"/>
      <c r="ILZ614" s="294"/>
      <c r="IMA614" s="294"/>
      <c r="IMB614" s="294"/>
      <c r="IMC614" s="294"/>
      <c r="IMD614" s="294"/>
      <c r="IME614" s="294"/>
      <c r="IMF614" s="294"/>
      <c r="IMG614" s="294"/>
      <c r="IMH614" s="294"/>
      <c r="IMI614" s="294"/>
      <c r="IMJ614" s="294"/>
      <c r="IMK614" s="294"/>
      <c r="IML614" s="294"/>
      <c r="IMM614" s="294"/>
      <c r="IMN614" s="294"/>
      <c r="IMO614" s="294"/>
      <c r="IMP614" s="294"/>
      <c r="IMQ614" s="294"/>
      <c r="IMR614" s="294"/>
      <c r="IMS614" s="294"/>
      <c r="IMT614" s="294"/>
      <c r="IMU614" s="294"/>
      <c r="IMV614" s="294"/>
      <c r="IMW614" s="294"/>
      <c r="IMX614" s="294"/>
      <c r="IMY614" s="294"/>
      <c r="IMZ614" s="294"/>
      <c r="INA614" s="294"/>
      <c r="INB614" s="294"/>
      <c r="INC614" s="294"/>
      <c r="IND614" s="294"/>
      <c r="INE614" s="294"/>
      <c r="INF614" s="294"/>
      <c r="ING614" s="294"/>
      <c r="INH614" s="294"/>
      <c r="INI614" s="294"/>
      <c r="INJ614" s="294"/>
      <c r="INK614" s="294"/>
      <c r="INL614" s="294"/>
      <c r="INM614" s="294"/>
      <c r="INN614" s="294"/>
      <c r="INO614" s="294"/>
      <c r="INP614" s="294"/>
      <c r="INQ614" s="294"/>
      <c r="INR614" s="294"/>
      <c r="INS614" s="294"/>
      <c r="INT614" s="294"/>
      <c r="INU614" s="294"/>
      <c r="INV614" s="294"/>
      <c r="INW614" s="294"/>
      <c r="INX614" s="294"/>
      <c r="INY614" s="294"/>
      <c r="INZ614" s="294"/>
      <c r="IOA614" s="294"/>
      <c r="IOB614" s="294"/>
      <c r="IOC614" s="294"/>
      <c r="IOD614" s="294"/>
      <c r="IOE614" s="294"/>
      <c r="IOF614" s="294"/>
      <c r="IOG614" s="294"/>
      <c r="IOH614" s="294"/>
      <c r="IOI614" s="294"/>
      <c r="IOJ614" s="294"/>
      <c r="IOK614" s="294"/>
      <c r="IOL614" s="294"/>
      <c r="IOM614" s="294"/>
      <c r="ION614" s="294"/>
      <c r="IOO614" s="294"/>
      <c r="IOP614" s="294"/>
      <c r="IOQ614" s="294"/>
      <c r="IOR614" s="294"/>
      <c r="IOS614" s="294"/>
      <c r="IOT614" s="294"/>
      <c r="IOU614" s="294"/>
      <c r="IOV614" s="294"/>
      <c r="IOW614" s="294"/>
      <c r="IOX614" s="294"/>
      <c r="IOY614" s="294"/>
      <c r="IOZ614" s="294"/>
      <c r="IPA614" s="294"/>
      <c r="IPB614" s="294"/>
      <c r="IPC614" s="294"/>
      <c r="IPD614" s="294"/>
      <c r="IPE614" s="294"/>
      <c r="IPF614" s="294"/>
      <c r="IPG614" s="294"/>
      <c r="IPH614" s="294"/>
      <c r="IPI614" s="294"/>
      <c r="IPJ614" s="294"/>
      <c r="IPK614" s="294"/>
      <c r="IPL614" s="294"/>
      <c r="IPM614" s="294"/>
      <c r="IPN614" s="294"/>
      <c r="IPO614" s="294"/>
      <c r="IPP614" s="294"/>
      <c r="IPQ614" s="294"/>
      <c r="IPR614" s="294"/>
      <c r="IPS614" s="294"/>
      <c r="IPT614" s="294"/>
      <c r="IPU614" s="294"/>
      <c r="IPV614" s="294"/>
      <c r="IPW614" s="294"/>
      <c r="IPX614" s="294"/>
      <c r="IPY614" s="294"/>
      <c r="IPZ614" s="294"/>
      <c r="IQA614" s="294"/>
      <c r="IQB614" s="294"/>
      <c r="IQC614" s="294"/>
      <c r="IQD614" s="294"/>
      <c r="IQE614" s="294"/>
      <c r="IQF614" s="294"/>
      <c r="IQG614" s="294"/>
      <c r="IQH614" s="294"/>
      <c r="IQI614" s="294"/>
      <c r="IQJ614" s="294"/>
      <c r="IQK614" s="294"/>
      <c r="IQL614" s="294"/>
      <c r="IQM614" s="294"/>
      <c r="IQN614" s="294"/>
      <c r="IQO614" s="294"/>
      <c r="IQP614" s="294"/>
      <c r="IQQ614" s="294"/>
      <c r="IQR614" s="294"/>
      <c r="IQS614" s="294"/>
      <c r="IQT614" s="294"/>
      <c r="IQU614" s="294"/>
      <c r="IQV614" s="294"/>
      <c r="IQW614" s="294"/>
      <c r="IQX614" s="294"/>
      <c r="IQY614" s="294"/>
      <c r="IQZ614" s="294"/>
      <c r="IRA614" s="294"/>
      <c r="IRB614" s="294"/>
      <c r="IRC614" s="294"/>
      <c r="IRD614" s="294"/>
      <c r="IRE614" s="294"/>
      <c r="IRF614" s="294"/>
      <c r="IRG614" s="294"/>
      <c r="IRH614" s="294"/>
      <c r="IRI614" s="294"/>
      <c r="IRJ614" s="294"/>
      <c r="IRK614" s="294"/>
      <c r="IRL614" s="294"/>
      <c r="IRM614" s="294"/>
      <c r="IRN614" s="294"/>
      <c r="IRO614" s="294"/>
      <c r="IRP614" s="294"/>
      <c r="IRQ614" s="294"/>
      <c r="IRR614" s="294"/>
      <c r="IRS614" s="294"/>
      <c r="IRT614" s="294"/>
      <c r="IRU614" s="294"/>
      <c r="IRV614" s="294"/>
      <c r="IRW614" s="294"/>
      <c r="IRX614" s="294"/>
      <c r="IRY614" s="294"/>
      <c r="IRZ614" s="294"/>
      <c r="ISA614" s="294"/>
      <c r="ISB614" s="294"/>
      <c r="ISC614" s="294"/>
      <c r="ISD614" s="294"/>
      <c r="ISE614" s="294"/>
      <c r="ISF614" s="294"/>
      <c r="ISG614" s="294"/>
      <c r="ISH614" s="294"/>
      <c r="ISI614" s="294"/>
      <c r="ISJ614" s="294"/>
      <c r="ISK614" s="294"/>
      <c r="ISL614" s="294"/>
      <c r="ISM614" s="294"/>
      <c r="ISN614" s="294"/>
      <c r="ISO614" s="294"/>
      <c r="ISP614" s="294"/>
      <c r="ISQ614" s="294"/>
      <c r="ISR614" s="294"/>
      <c r="ISS614" s="294"/>
      <c r="IST614" s="294"/>
      <c r="ISU614" s="294"/>
      <c r="ISV614" s="294"/>
      <c r="ISW614" s="294"/>
      <c r="ISX614" s="294"/>
      <c r="ISY614" s="294"/>
      <c r="ISZ614" s="294"/>
      <c r="ITA614" s="294"/>
      <c r="ITB614" s="294"/>
      <c r="ITC614" s="294"/>
      <c r="ITD614" s="294"/>
      <c r="ITE614" s="294"/>
      <c r="ITF614" s="294"/>
      <c r="ITG614" s="294"/>
      <c r="ITH614" s="294"/>
      <c r="ITI614" s="294"/>
      <c r="ITJ614" s="294"/>
      <c r="ITK614" s="294"/>
      <c r="ITL614" s="294"/>
      <c r="ITM614" s="294"/>
      <c r="ITN614" s="294"/>
      <c r="ITO614" s="294"/>
      <c r="ITP614" s="294"/>
      <c r="ITQ614" s="294"/>
      <c r="ITR614" s="294"/>
      <c r="ITS614" s="294"/>
      <c r="ITT614" s="294"/>
      <c r="ITU614" s="294"/>
      <c r="ITV614" s="294"/>
      <c r="ITW614" s="294"/>
      <c r="ITX614" s="294"/>
      <c r="ITY614" s="294"/>
      <c r="ITZ614" s="294"/>
      <c r="IUA614" s="294"/>
      <c r="IUB614" s="294"/>
      <c r="IUC614" s="294"/>
      <c r="IUD614" s="294"/>
      <c r="IUE614" s="294"/>
      <c r="IUF614" s="294"/>
      <c r="IUG614" s="294"/>
      <c r="IUH614" s="294"/>
      <c r="IUI614" s="294"/>
      <c r="IUJ614" s="294"/>
      <c r="IUK614" s="294"/>
      <c r="IUL614" s="294"/>
      <c r="IUM614" s="294"/>
      <c r="IUN614" s="294"/>
      <c r="IUO614" s="294"/>
      <c r="IUP614" s="294"/>
      <c r="IUQ614" s="294"/>
      <c r="IUR614" s="294"/>
      <c r="IUS614" s="294"/>
      <c r="IUT614" s="294"/>
      <c r="IUU614" s="294"/>
      <c r="IUV614" s="294"/>
      <c r="IUW614" s="294"/>
      <c r="IUX614" s="294"/>
      <c r="IUY614" s="294"/>
      <c r="IUZ614" s="294"/>
      <c r="IVA614" s="294"/>
      <c r="IVB614" s="294"/>
      <c r="IVC614" s="294"/>
      <c r="IVD614" s="294"/>
      <c r="IVE614" s="294"/>
      <c r="IVF614" s="294"/>
      <c r="IVG614" s="294"/>
      <c r="IVH614" s="294"/>
      <c r="IVI614" s="294"/>
      <c r="IVJ614" s="294"/>
      <c r="IVK614" s="294"/>
      <c r="IVL614" s="294"/>
      <c r="IVM614" s="294"/>
      <c r="IVN614" s="294"/>
      <c r="IVO614" s="294"/>
      <c r="IVP614" s="294"/>
      <c r="IVQ614" s="294"/>
      <c r="IVR614" s="294"/>
      <c r="IVS614" s="294"/>
      <c r="IVT614" s="294"/>
      <c r="IVU614" s="294"/>
      <c r="IVV614" s="294"/>
      <c r="IVW614" s="294"/>
      <c r="IVX614" s="294"/>
      <c r="IVY614" s="294"/>
      <c r="IVZ614" s="294"/>
      <c r="IWA614" s="294"/>
      <c r="IWB614" s="294"/>
      <c r="IWC614" s="294"/>
      <c r="IWD614" s="294"/>
      <c r="IWE614" s="294"/>
      <c r="IWF614" s="294"/>
      <c r="IWG614" s="294"/>
      <c r="IWH614" s="294"/>
      <c r="IWI614" s="294"/>
      <c r="IWJ614" s="294"/>
      <c r="IWK614" s="294"/>
      <c r="IWL614" s="294"/>
      <c r="IWM614" s="294"/>
      <c r="IWN614" s="294"/>
      <c r="IWO614" s="294"/>
      <c r="IWP614" s="294"/>
      <c r="IWQ614" s="294"/>
      <c r="IWR614" s="294"/>
      <c r="IWS614" s="294"/>
      <c r="IWT614" s="294"/>
      <c r="IWU614" s="294"/>
      <c r="IWV614" s="294"/>
      <c r="IWW614" s="294"/>
      <c r="IWX614" s="294"/>
      <c r="IWY614" s="294"/>
      <c r="IWZ614" s="294"/>
      <c r="IXA614" s="294"/>
      <c r="IXB614" s="294"/>
      <c r="IXC614" s="294"/>
      <c r="IXD614" s="294"/>
      <c r="IXE614" s="294"/>
      <c r="IXF614" s="294"/>
      <c r="IXG614" s="294"/>
      <c r="IXH614" s="294"/>
      <c r="IXI614" s="294"/>
      <c r="IXJ614" s="294"/>
      <c r="IXK614" s="294"/>
      <c r="IXL614" s="294"/>
      <c r="IXM614" s="294"/>
      <c r="IXN614" s="294"/>
      <c r="IXO614" s="294"/>
      <c r="IXP614" s="294"/>
      <c r="IXQ614" s="294"/>
      <c r="IXR614" s="294"/>
      <c r="IXS614" s="294"/>
      <c r="IXT614" s="294"/>
      <c r="IXU614" s="294"/>
      <c r="IXV614" s="294"/>
      <c r="IXW614" s="294"/>
      <c r="IXX614" s="294"/>
      <c r="IXY614" s="294"/>
      <c r="IXZ614" s="294"/>
      <c r="IYA614" s="294"/>
      <c r="IYB614" s="294"/>
      <c r="IYC614" s="294"/>
      <c r="IYD614" s="294"/>
      <c r="IYE614" s="294"/>
      <c r="IYF614" s="294"/>
      <c r="IYG614" s="294"/>
      <c r="IYH614" s="294"/>
      <c r="IYI614" s="294"/>
      <c r="IYJ614" s="294"/>
      <c r="IYK614" s="294"/>
      <c r="IYL614" s="294"/>
      <c r="IYM614" s="294"/>
      <c r="IYN614" s="294"/>
      <c r="IYO614" s="294"/>
      <c r="IYP614" s="294"/>
      <c r="IYQ614" s="294"/>
      <c r="IYR614" s="294"/>
      <c r="IYS614" s="294"/>
      <c r="IYT614" s="294"/>
      <c r="IYU614" s="294"/>
      <c r="IYV614" s="294"/>
      <c r="IYW614" s="294"/>
      <c r="IYX614" s="294"/>
      <c r="IYY614" s="294"/>
      <c r="IYZ614" s="294"/>
      <c r="IZA614" s="294"/>
      <c r="IZB614" s="294"/>
      <c r="IZC614" s="294"/>
      <c r="IZD614" s="294"/>
      <c r="IZE614" s="294"/>
      <c r="IZF614" s="294"/>
      <c r="IZG614" s="294"/>
      <c r="IZH614" s="294"/>
      <c r="IZI614" s="294"/>
      <c r="IZJ614" s="294"/>
      <c r="IZK614" s="294"/>
      <c r="IZL614" s="294"/>
      <c r="IZM614" s="294"/>
      <c r="IZN614" s="294"/>
      <c r="IZO614" s="294"/>
      <c r="IZP614" s="294"/>
      <c r="IZQ614" s="294"/>
      <c r="IZR614" s="294"/>
      <c r="IZS614" s="294"/>
      <c r="IZT614" s="294"/>
      <c r="IZU614" s="294"/>
      <c r="IZV614" s="294"/>
      <c r="IZW614" s="294"/>
      <c r="IZX614" s="294"/>
      <c r="IZY614" s="294"/>
      <c r="IZZ614" s="294"/>
      <c r="JAA614" s="294"/>
      <c r="JAB614" s="294"/>
      <c r="JAC614" s="294"/>
      <c r="JAD614" s="294"/>
      <c r="JAE614" s="294"/>
      <c r="JAF614" s="294"/>
      <c r="JAG614" s="294"/>
      <c r="JAH614" s="294"/>
      <c r="JAI614" s="294"/>
      <c r="JAJ614" s="294"/>
      <c r="JAK614" s="294"/>
      <c r="JAL614" s="294"/>
      <c r="JAM614" s="294"/>
      <c r="JAN614" s="294"/>
      <c r="JAO614" s="294"/>
      <c r="JAP614" s="294"/>
      <c r="JAQ614" s="294"/>
      <c r="JAR614" s="294"/>
      <c r="JAS614" s="294"/>
      <c r="JAT614" s="294"/>
      <c r="JAU614" s="294"/>
      <c r="JAV614" s="294"/>
      <c r="JAW614" s="294"/>
      <c r="JAX614" s="294"/>
      <c r="JAY614" s="294"/>
      <c r="JAZ614" s="294"/>
      <c r="JBA614" s="294"/>
      <c r="JBB614" s="294"/>
      <c r="JBC614" s="294"/>
      <c r="JBD614" s="294"/>
      <c r="JBE614" s="294"/>
      <c r="JBF614" s="294"/>
      <c r="JBG614" s="294"/>
      <c r="JBH614" s="294"/>
      <c r="JBI614" s="294"/>
      <c r="JBJ614" s="294"/>
      <c r="JBK614" s="294"/>
      <c r="JBL614" s="294"/>
      <c r="JBM614" s="294"/>
      <c r="JBN614" s="294"/>
      <c r="JBO614" s="294"/>
      <c r="JBP614" s="294"/>
      <c r="JBQ614" s="294"/>
      <c r="JBR614" s="294"/>
      <c r="JBS614" s="294"/>
      <c r="JBT614" s="294"/>
      <c r="JBU614" s="294"/>
      <c r="JBV614" s="294"/>
      <c r="JBW614" s="294"/>
      <c r="JBX614" s="294"/>
      <c r="JBY614" s="294"/>
      <c r="JBZ614" s="294"/>
      <c r="JCA614" s="294"/>
      <c r="JCB614" s="294"/>
      <c r="JCC614" s="294"/>
      <c r="JCD614" s="294"/>
      <c r="JCE614" s="294"/>
      <c r="JCF614" s="294"/>
      <c r="JCG614" s="294"/>
      <c r="JCH614" s="294"/>
      <c r="JCI614" s="294"/>
      <c r="JCJ614" s="294"/>
      <c r="JCK614" s="294"/>
      <c r="JCL614" s="294"/>
      <c r="JCM614" s="294"/>
      <c r="JCN614" s="294"/>
      <c r="JCO614" s="294"/>
      <c r="JCP614" s="294"/>
      <c r="JCQ614" s="294"/>
      <c r="JCR614" s="294"/>
      <c r="JCS614" s="294"/>
      <c r="JCT614" s="294"/>
      <c r="JCU614" s="294"/>
      <c r="JCV614" s="294"/>
      <c r="JCW614" s="294"/>
      <c r="JCX614" s="294"/>
      <c r="JCY614" s="294"/>
      <c r="JCZ614" s="294"/>
      <c r="JDA614" s="294"/>
      <c r="JDB614" s="294"/>
      <c r="JDC614" s="294"/>
      <c r="JDD614" s="294"/>
      <c r="JDE614" s="294"/>
      <c r="JDF614" s="294"/>
      <c r="JDG614" s="294"/>
      <c r="JDH614" s="294"/>
      <c r="JDI614" s="294"/>
      <c r="JDJ614" s="294"/>
      <c r="JDK614" s="294"/>
      <c r="JDL614" s="294"/>
      <c r="JDM614" s="294"/>
      <c r="JDN614" s="294"/>
      <c r="JDO614" s="294"/>
      <c r="JDP614" s="294"/>
      <c r="JDQ614" s="294"/>
      <c r="JDR614" s="294"/>
      <c r="JDS614" s="294"/>
      <c r="JDT614" s="294"/>
      <c r="JDU614" s="294"/>
      <c r="JDV614" s="294"/>
      <c r="JDW614" s="294"/>
      <c r="JDX614" s="294"/>
      <c r="JDY614" s="294"/>
      <c r="JDZ614" s="294"/>
      <c r="JEA614" s="294"/>
      <c r="JEB614" s="294"/>
      <c r="JEC614" s="294"/>
      <c r="JED614" s="294"/>
      <c r="JEE614" s="294"/>
      <c r="JEF614" s="294"/>
      <c r="JEG614" s="294"/>
      <c r="JEH614" s="294"/>
      <c r="JEI614" s="294"/>
      <c r="JEJ614" s="294"/>
      <c r="JEK614" s="294"/>
      <c r="JEL614" s="294"/>
      <c r="JEM614" s="294"/>
      <c r="JEN614" s="294"/>
      <c r="JEO614" s="294"/>
      <c r="JEP614" s="294"/>
      <c r="JEQ614" s="294"/>
      <c r="JER614" s="294"/>
      <c r="JES614" s="294"/>
      <c r="JET614" s="294"/>
      <c r="JEU614" s="294"/>
      <c r="JEV614" s="294"/>
      <c r="JEW614" s="294"/>
      <c r="JEX614" s="294"/>
      <c r="JEY614" s="294"/>
      <c r="JEZ614" s="294"/>
      <c r="JFA614" s="294"/>
      <c r="JFB614" s="294"/>
      <c r="JFC614" s="294"/>
      <c r="JFD614" s="294"/>
      <c r="JFE614" s="294"/>
      <c r="JFF614" s="294"/>
      <c r="JFG614" s="294"/>
      <c r="JFH614" s="294"/>
      <c r="JFI614" s="294"/>
      <c r="JFJ614" s="294"/>
      <c r="JFK614" s="294"/>
      <c r="JFL614" s="294"/>
      <c r="JFM614" s="294"/>
      <c r="JFN614" s="294"/>
      <c r="JFO614" s="294"/>
      <c r="JFP614" s="294"/>
      <c r="JFQ614" s="294"/>
      <c r="JFR614" s="294"/>
      <c r="JFS614" s="294"/>
      <c r="JFT614" s="294"/>
      <c r="JFU614" s="294"/>
      <c r="JFV614" s="294"/>
      <c r="JFW614" s="294"/>
      <c r="JFX614" s="294"/>
      <c r="JFY614" s="294"/>
      <c r="JFZ614" s="294"/>
      <c r="JGA614" s="294"/>
      <c r="JGB614" s="294"/>
      <c r="JGC614" s="294"/>
      <c r="JGD614" s="294"/>
      <c r="JGE614" s="294"/>
      <c r="JGF614" s="294"/>
      <c r="JGG614" s="294"/>
      <c r="JGH614" s="294"/>
      <c r="JGI614" s="294"/>
      <c r="JGJ614" s="294"/>
      <c r="JGK614" s="294"/>
      <c r="JGL614" s="294"/>
      <c r="JGM614" s="294"/>
      <c r="JGN614" s="294"/>
      <c r="JGO614" s="294"/>
      <c r="JGP614" s="294"/>
      <c r="JGQ614" s="294"/>
      <c r="JGR614" s="294"/>
      <c r="JGS614" s="294"/>
      <c r="JGT614" s="294"/>
      <c r="JGU614" s="294"/>
      <c r="JGV614" s="294"/>
      <c r="JGW614" s="294"/>
      <c r="JGX614" s="294"/>
      <c r="JGY614" s="294"/>
      <c r="JGZ614" s="294"/>
      <c r="JHA614" s="294"/>
      <c r="JHB614" s="294"/>
      <c r="JHC614" s="294"/>
      <c r="JHD614" s="294"/>
      <c r="JHE614" s="294"/>
      <c r="JHF614" s="294"/>
      <c r="JHG614" s="294"/>
      <c r="JHH614" s="294"/>
      <c r="JHI614" s="294"/>
      <c r="JHJ614" s="294"/>
      <c r="JHK614" s="294"/>
      <c r="JHL614" s="294"/>
      <c r="JHM614" s="294"/>
      <c r="JHN614" s="294"/>
      <c r="JHO614" s="294"/>
      <c r="JHP614" s="294"/>
      <c r="JHQ614" s="294"/>
      <c r="JHR614" s="294"/>
      <c r="JHS614" s="294"/>
      <c r="JHT614" s="294"/>
      <c r="JHU614" s="294"/>
      <c r="JHV614" s="294"/>
      <c r="JHW614" s="294"/>
      <c r="JHX614" s="294"/>
      <c r="JHY614" s="294"/>
      <c r="JHZ614" s="294"/>
      <c r="JIA614" s="294"/>
      <c r="JIB614" s="294"/>
      <c r="JIC614" s="294"/>
      <c r="JID614" s="294"/>
      <c r="JIE614" s="294"/>
      <c r="JIF614" s="294"/>
      <c r="JIG614" s="294"/>
      <c r="JIH614" s="294"/>
      <c r="JII614" s="294"/>
      <c r="JIJ614" s="294"/>
      <c r="JIK614" s="294"/>
      <c r="JIL614" s="294"/>
      <c r="JIM614" s="294"/>
      <c r="JIN614" s="294"/>
      <c r="JIO614" s="294"/>
      <c r="JIP614" s="294"/>
      <c r="JIQ614" s="294"/>
      <c r="JIR614" s="294"/>
      <c r="JIS614" s="294"/>
      <c r="JIT614" s="294"/>
      <c r="JIU614" s="294"/>
      <c r="JIV614" s="294"/>
      <c r="JIW614" s="294"/>
      <c r="JIX614" s="294"/>
      <c r="JIY614" s="294"/>
      <c r="JIZ614" s="294"/>
      <c r="JJA614" s="294"/>
      <c r="JJB614" s="294"/>
      <c r="JJC614" s="294"/>
      <c r="JJD614" s="294"/>
      <c r="JJE614" s="294"/>
      <c r="JJF614" s="294"/>
      <c r="JJG614" s="294"/>
      <c r="JJH614" s="294"/>
      <c r="JJI614" s="294"/>
      <c r="JJJ614" s="294"/>
      <c r="JJK614" s="294"/>
      <c r="JJL614" s="294"/>
      <c r="JJM614" s="294"/>
      <c r="JJN614" s="294"/>
      <c r="JJO614" s="294"/>
      <c r="JJP614" s="294"/>
      <c r="JJQ614" s="294"/>
      <c r="JJR614" s="294"/>
      <c r="JJS614" s="294"/>
      <c r="JJT614" s="294"/>
      <c r="JJU614" s="294"/>
      <c r="JJV614" s="294"/>
      <c r="JJW614" s="294"/>
      <c r="JJX614" s="294"/>
      <c r="JJY614" s="294"/>
      <c r="JJZ614" s="294"/>
      <c r="JKA614" s="294"/>
      <c r="JKB614" s="294"/>
      <c r="JKC614" s="294"/>
      <c r="JKD614" s="294"/>
      <c r="JKE614" s="294"/>
      <c r="JKF614" s="294"/>
      <c r="JKG614" s="294"/>
      <c r="JKH614" s="294"/>
      <c r="JKI614" s="294"/>
      <c r="JKJ614" s="294"/>
      <c r="JKK614" s="294"/>
      <c r="JKL614" s="294"/>
      <c r="JKM614" s="294"/>
      <c r="JKN614" s="294"/>
      <c r="JKO614" s="294"/>
      <c r="JKP614" s="294"/>
      <c r="JKQ614" s="294"/>
      <c r="JKR614" s="294"/>
      <c r="JKS614" s="294"/>
      <c r="JKT614" s="294"/>
      <c r="JKU614" s="294"/>
      <c r="JKV614" s="294"/>
      <c r="JKW614" s="294"/>
      <c r="JKX614" s="294"/>
      <c r="JKY614" s="294"/>
      <c r="JKZ614" s="294"/>
      <c r="JLA614" s="294"/>
      <c r="JLB614" s="294"/>
      <c r="JLC614" s="294"/>
      <c r="JLD614" s="294"/>
      <c r="JLE614" s="294"/>
      <c r="JLF614" s="294"/>
      <c r="JLG614" s="294"/>
      <c r="JLH614" s="294"/>
      <c r="JLI614" s="294"/>
      <c r="JLJ614" s="294"/>
      <c r="JLK614" s="294"/>
      <c r="JLL614" s="294"/>
      <c r="JLM614" s="294"/>
      <c r="JLN614" s="294"/>
      <c r="JLO614" s="294"/>
      <c r="JLP614" s="294"/>
      <c r="JLQ614" s="294"/>
      <c r="JLR614" s="294"/>
      <c r="JLS614" s="294"/>
      <c r="JLT614" s="294"/>
      <c r="JLU614" s="294"/>
      <c r="JLV614" s="294"/>
      <c r="JLW614" s="294"/>
      <c r="JLX614" s="294"/>
      <c r="JLY614" s="294"/>
      <c r="JLZ614" s="294"/>
      <c r="JMA614" s="294"/>
      <c r="JMB614" s="294"/>
      <c r="JMC614" s="294"/>
      <c r="JMD614" s="294"/>
      <c r="JME614" s="294"/>
      <c r="JMF614" s="294"/>
      <c r="JMG614" s="294"/>
      <c r="JMH614" s="294"/>
      <c r="JMI614" s="294"/>
      <c r="JMJ614" s="294"/>
      <c r="JMK614" s="294"/>
      <c r="JML614" s="294"/>
      <c r="JMM614" s="294"/>
      <c r="JMN614" s="294"/>
      <c r="JMO614" s="294"/>
      <c r="JMP614" s="294"/>
      <c r="JMQ614" s="294"/>
      <c r="JMR614" s="294"/>
      <c r="JMS614" s="294"/>
      <c r="JMT614" s="294"/>
      <c r="JMU614" s="294"/>
      <c r="JMV614" s="294"/>
      <c r="JMW614" s="294"/>
      <c r="JMX614" s="294"/>
      <c r="JMY614" s="294"/>
      <c r="JMZ614" s="294"/>
      <c r="JNA614" s="294"/>
      <c r="JNB614" s="294"/>
      <c r="JNC614" s="294"/>
      <c r="JND614" s="294"/>
      <c r="JNE614" s="294"/>
      <c r="JNF614" s="294"/>
      <c r="JNG614" s="294"/>
      <c r="JNH614" s="294"/>
      <c r="JNI614" s="294"/>
      <c r="JNJ614" s="294"/>
      <c r="JNK614" s="294"/>
      <c r="JNL614" s="294"/>
      <c r="JNM614" s="294"/>
      <c r="JNN614" s="294"/>
      <c r="JNO614" s="294"/>
      <c r="JNP614" s="294"/>
      <c r="JNQ614" s="294"/>
      <c r="JNR614" s="294"/>
      <c r="JNS614" s="294"/>
      <c r="JNT614" s="294"/>
      <c r="JNU614" s="294"/>
      <c r="JNV614" s="294"/>
      <c r="JNW614" s="294"/>
      <c r="JNX614" s="294"/>
      <c r="JNY614" s="294"/>
      <c r="JNZ614" s="294"/>
      <c r="JOA614" s="294"/>
      <c r="JOB614" s="294"/>
      <c r="JOC614" s="294"/>
      <c r="JOD614" s="294"/>
      <c r="JOE614" s="294"/>
      <c r="JOF614" s="294"/>
      <c r="JOG614" s="294"/>
      <c r="JOH614" s="294"/>
      <c r="JOI614" s="294"/>
      <c r="JOJ614" s="294"/>
      <c r="JOK614" s="294"/>
      <c r="JOL614" s="294"/>
      <c r="JOM614" s="294"/>
      <c r="JON614" s="294"/>
      <c r="JOO614" s="294"/>
      <c r="JOP614" s="294"/>
      <c r="JOQ614" s="294"/>
      <c r="JOR614" s="294"/>
      <c r="JOS614" s="294"/>
      <c r="JOT614" s="294"/>
      <c r="JOU614" s="294"/>
      <c r="JOV614" s="294"/>
      <c r="JOW614" s="294"/>
      <c r="JOX614" s="294"/>
      <c r="JOY614" s="294"/>
      <c r="JOZ614" s="294"/>
      <c r="JPA614" s="294"/>
      <c r="JPB614" s="294"/>
      <c r="JPC614" s="294"/>
      <c r="JPD614" s="294"/>
      <c r="JPE614" s="294"/>
      <c r="JPF614" s="294"/>
      <c r="JPG614" s="294"/>
      <c r="JPH614" s="294"/>
      <c r="JPI614" s="294"/>
      <c r="JPJ614" s="294"/>
      <c r="JPK614" s="294"/>
      <c r="JPL614" s="294"/>
      <c r="JPM614" s="294"/>
      <c r="JPN614" s="294"/>
      <c r="JPO614" s="294"/>
      <c r="JPP614" s="294"/>
      <c r="JPQ614" s="294"/>
      <c r="JPR614" s="294"/>
      <c r="JPS614" s="294"/>
      <c r="JPT614" s="294"/>
      <c r="JPU614" s="294"/>
      <c r="JPV614" s="294"/>
      <c r="JPW614" s="294"/>
      <c r="JPX614" s="294"/>
      <c r="JPY614" s="294"/>
      <c r="JPZ614" s="294"/>
      <c r="JQA614" s="294"/>
      <c r="JQB614" s="294"/>
      <c r="JQC614" s="294"/>
      <c r="JQD614" s="294"/>
      <c r="JQE614" s="294"/>
      <c r="JQF614" s="294"/>
      <c r="JQG614" s="294"/>
      <c r="JQH614" s="294"/>
      <c r="JQI614" s="294"/>
      <c r="JQJ614" s="294"/>
      <c r="JQK614" s="294"/>
      <c r="JQL614" s="294"/>
      <c r="JQM614" s="294"/>
      <c r="JQN614" s="294"/>
      <c r="JQO614" s="294"/>
      <c r="JQP614" s="294"/>
      <c r="JQQ614" s="294"/>
      <c r="JQR614" s="294"/>
      <c r="JQS614" s="294"/>
      <c r="JQT614" s="294"/>
      <c r="JQU614" s="294"/>
      <c r="JQV614" s="294"/>
      <c r="JQW614" s="294"/>
      <c r="JQX614" s="294"/>
      <c r="JQY614" s="294"/>
      <c r="JQZ614" s="294"/>
      <c r="JRA614" s="294"/>
      <c r="JRB614" s="294"/>
      <c r="JRC614" s="294"/>
      <c r="JRD614" s="294"/>
      <c r="JRE614" s="294"/>
      <c r="JRF614" s="294"/>
      <c r="JRG614" s="294"/>
      <c r="JRH614" s="294"/>
      <c r="JRI614" s="294"/>
      <c r="JRJ614" s="294"/>
      <c r="JRK614" s="294"/>
      <c r="JRL614" s="294"/>
      <c r="JRM614" s="294"/>
      <c r="JRN614" s="294"/>
      <c r="JRO614" s="294"/>
      <c r="JRP614" s="294"/>
      <c r="JRQ614" s="294"/>
      <c r="JRR614" s="294"/>
      <c r="JRS614" s="294"/>
      <c r="JRT614" s="294"/>
      <c r="JRU614" s="294"/>
      <c r="JRV614" s="294"/>
      <c r="JRW614" s="294"/>
      <c r="JRX614" s="294"/>
      <c r="JRY614" s="294"/>
      <c r="JRZ614" s="294"/>
      <c r="JSA614" s="294"/>
      <c r="JSB614" s="294"/>
      <c r="JSC614" s="294"/>
      <c r="JSD614" s="294"/>
      <c r="JSE614" s="294"/>
      <c r="JSF614" s="294"/>
      <c r="JSG614" s="294"/>
      <c r="JSH614" s="294"/>
      <c r="JSI614" s="294"/>
      <c r="JSJ614" s="294"/>
      <c r="JSK614" s="294"/>
      <c r="JSL614" s="294"/>
      <c r="JSM614" s="294"/>
      <c r="JSN614" s="294"/>
      <c r="JSO614" s="294"/>
      <c r="JSP614" s="294"/>
      <c r="JSQ614" s="294"/>
      <c r="JSR614" s="294"/>
      <c r="JSS614" s="294"/>
      <c r="JST614" s="294"/>
      <c r="JSU614" s="294"/>
      <c r="JSV614" s="294"/>
      <c r="JSW614" s="294"/>
      <c r="JSX614" s="294"/>
      <c r="JSY614" s="294"/>
      <c r="JSZ614" s="294"/>
      <c r="JTA614" s="294"/>
      <c r="JTB614" s="294"/>
      <c r="JTC614" s="294"/>
      <c r="JTD614" s="294"/>
      <c r="JTE614" s="294"/>
      <c r="JTF614" s="294"/>
      <c r="JTG614" s="294"/>
      <c r="JTH614" s="294"/>
      <c r="JTI614" s="294"/>
      <c r="JTJ614" s="294"/>
      <c r="JTK614" s="294"/>
      <c r="JTL614" s="294"/>
      <c r="JTM614" s="294"/>
      <c r="JTN614" s="294"/>
      <c r="JTO614" s="294"/>
      <c r="JTP614" s="294"/>
      <c r="JTQ614" s="294"/>
      <c r="JTR614" s="294"/>
      <c r="JTS614" s="294"/>
      <c r="JTT614" s="294"/>
      <c r="JTU614" s="294"/>
      <c r="JTV614" s="294"/>
      <c r="JTW614" s="294"/>
      <c r="JTX614" s="294"/>
      <c r="JTY614" s="294"/>
      <c r="JTZ614" s="294"/>
      <c r="JUA614" s="294"/>
      <c r="JUB614" s="294"/>
      <c r="JUC614" s="294"/>
      <c r="JUD614" s="294"/>
      <c r="JUE614" s="294"/>
      <c r="JUF614" s="294"/>
      <c r="JUG614" s="294"/>
      <c r="JUH614" s="294"/>
      <c r="JUI614" s="294"/>
      <c r="JUJ614" s="294"/>
      <c r="JUK614" s="294"/>
      <c r="JUL614" s="294"/>
      <c r="JUM614" s="294"/>
      <c r="JUN614" s="294"/>
      <c r="JUO614" s="294"/>
      <c r="JUP614" s="294"/>
      <c r="JUQ614" s="294"/>
      <c r="JUR614" s="294"/>
      <c r="JUS614" s="294"/>
      <c r="JUT614" s="294"/>
      <c r="JUU614" s="294"/>
      <c r="JUV614" s="294"/>
      <c r="JUW614" s="294"/>
      <c r="JUX614" s="294"/>
      <c r="JUY614" s="294"/>
      <c r="JUZ614" s="294"/>
      <c r="JVA614" s="294"/>
      <c r="JVB614" s="294"/>
      <c r="JVC614" s="294"/>
      <c r="JVD614" s="294"/>
      <c r="JVE614" s="294"/>
      <c r="JVF614" s="294"/>
      <c r="JVG614" s="294"/>
      <c r="JVH614" s="294"/>
      <c r="JVI614" s="294"/>
      <c r="JVJ614" s="294"/>
      <c r="JVK614" s="294"/>
      <c r="JVL614" s="294"/>
      <c r="JVM614" s="294"/>
      <c r="JVN614" s="294"/>
      <c r="JVO614" s="294"/>
      <c r="JVP614" s="294"/>
      <c r="JVQ614" s="294"/>
      <c r="JVR614" s="294"/>
      <c r="JVS614" s="294"/>
      <c r="JVT614" s="294"/>
      <c r="JVU614" s="294"/>
      <c r="JVV614" s="294"/>
      <c r="JVW614" s="294"/>
      <c r="JVX614" s="294"/>
      <c r="JVY614" s="294"/>
      <c r="JVZ614" s="294"/>
      <c r="JWA614" s="294"/>
      <c r="JWB614" s="294"/>
      <c r="JWC614" s="294"/>
      <c r="JWD614" s="294"/>
      <c r="JWE614" s="294"/>
      <c r="JWF614" s="294"/>
      <c r="JWG614" s="294"/>
      <c r="JWH614" s="294"/>
      <c r="JWI614" s="294"/>
      <c r="JWJ614" s="294"/>
      <c r="JWK614" s="294"/>
      <c r="JWL614" s="294"/>
      <c r="JWM614" s="294"/>
      <c r="JWN614" s="294"/>
      <c r="JWO614" s="294"/>
      <c r="JWP614" s="294"/>
      <c r="JWQ614" s="294"/>
      <c r="JWR614" s="294"/>
      <c r="JWS614" s="294"/>
      <c r="JWT614" s="294"/>
      <c r="JWU614" s="294"/>
      <c r="JWV614" s="294"/>
      <c r="JWW614" s="294"/>
      <c r="JWX614" s="294"/>
      <c r="JWY614" s="294"/>
      <c r="JWZ614" s="294"/>
      <c r="JXA614" s="294"/>
      <c r="JXB614" s="294"/>
      <c r="JXC614" s="294"/>
      <c r="JXD614" s="294"/>
      <c r="JXE614" s="294"/>
      <c r="JXF614" s="294"/>
      <c r="JXG614" s="294"/>
      <c r="JXH614" s="294"/>
      <c r="JXI614" s="294"/>
      <c r="JXJ614" s="294"/>
      <c r="JXK614" s="294"/>
      <c r="JXL614" s="294"/>
      <c r="JXM614" s="294"/>
      <c r="JXN614" s="294"/>
      <c r="JXO614" s="294"/>
      <c r="JXP614" s="294"/>
      <c r="JXQ614" s="294"/>
      <c r="JXR614" s="294"/>
      <c r="JXS614" s="294"/>
      <c r="JXT614" s="294"/>
      <c r="JXU614" s="294"/>
      <c r="JXV614" s="294"/>
      <c r="JXW614" s="294"/>
      <c r="JXX614" s="294"/>
      <c r="JXY614" s="294"/>
      <c r="JXZ614" s="294"/>
      <c r="JYA614" s="294"/>
      <c r="JYB614" s="294"/>
      <c r="JYC614" s="294"/>
      <c r="JYD614" s="294"/>
      <c r="JYE614" s="294"/>
      <c r="JYF614" s="294"/>
      <c r="JYG614" s="294"/>
      <c r="JYH614" s="294"/>
      <c r="JYI614" s="294"/>
      <c r="JYJ614" s="294"/>
      <c r="JYK614" s="294"/>
      <c r="JYL614" s="294"/>
      <c r="JYM614" s="294"/>
      <c r="JYN614" s="294"/>
      <c r="JYO614" s="294"/>
      <c r="JYP614" s="294"/>
      <c r="JYQ614" s="294"/>
      <c r="JYR614" s="294"/>
      <c r="JYS614" s="294"/>
      <c r="JYT614" s="294"/>
      <c r="JYU614" s="294"/>
      <c r="JYV614" s="294"/>
      <c r="JYW614" s="294"/>
      <c r="JYX614" s="294"/>
      <c r="JYY614" s="294"/>
      <c r="JYZ614" s="294"/>
      <c r="JZA614" s="294"/>
      <c r="JZB614" s="294"/>
      <c r="JZC614" s="294"/>
      <c r="JZD614" s="294"/>
      <c r="JZE614" s="294"/>
      <c r="JZF614" s="294"/>
      <c r="JZG614" s="294"/>
      <c r="JZH614" s="294"/>
      <c r="JZI614" s="294"/>
      <c r="JZJ614" s="294"/>
      <c r="JZK614" s="294"/>
      <c r="JZL614" s="294"/>
      <c r="JZM614" s="294"/>
      <c r="JZN614" s="294"/>
      <c r="JZO614" s="294"/>
      <c r="JZP614" s="294"/>
      <c r="JZQ614" s="294"/>
      <c r="JZR614" s="294"/>
      <c r="JZS614" s="294"/>
      <c r="JZT614" s="294"/>
      <c r="JZU614" s="294"/>
      <c r="JZV614" s="294"/>
      <c r="JZW614" s="294"/>
      <c r="JZX614" s="294"/>
      <c r="JZY614" s="294"/>
      <c r="JZZ614" s="294"/>
      <c r="KAA614" s="294"/>
      <c r="KAB614" s="294"/>
      <c r="KAC614" s="294"/>
      <c r="KAD614" s="294"/>
      <c r="KAE614" s="294"/>
      <c r="KAF614" s="294"/>
      <c r="KAG614" s="294"/>
      <c r="KAH614" s="294"/>
      <c r="KAI614" s="294"/>
      <c r="KAJ614" s="294"/>
      <c r="KAK614" s="294"/>
      <c r="KAL614" s="294"/>
      <c r="KAM614" s="294"/>
      <c r="KAN614" s="294"/>
      <c r="KAO614" s="294"/>
      <c r="KAP614" s="294"/>
      <c r="KAQ614" s="294"/>
      <c r="KAR614" s="294"/>
      <c r="KAS614" s="294"/>
      <c r="KAT614" s="294"/>
      <c r="KAU614" s="294"/>
      <c r="KAV614" s="294"/>
      <c r="KAW614" s="294"/>
      <c r="KAX614" s="294"/>
      <c r="KAY614" s="294"/>
      <c r="KAZ614" s="294"/>
      <c r="KBA614" s="294"/>
      <c r="KBB614" s="294"/>
      <c r="KBC614" s="294"/>
      <c r="KBD614" s="294"/>
      <c r="KBE614" s="294"/>
      <c r="KBF614" s="294"/>
      <c r="KBG614" s="294"/>
      <c r="KBH614" s="294"/>
      <c r="KBI614" s="294"/>
      <c r="KBJ614" s="294"/>
      <c r="KBK614" s="294"/>
      <c r="KBL614" s="294"/>
      <c r="KBM614" s="294"/>
      <c r="KBN614" s="294"/>
      <c r="KBO614" s="294"/>
      <c r="KBP614" s="294"/>
      <c r="KBQ614" s="294"/>
      <c r="KBR614" s="294"/>
      <c r="KBS614" s="294"/>
      <c r="KBT614" s="294"/>
      <c r="KBU614" s="294"/>
      <c r="KBV614" s="294"/>
      <c r="KBW614" s="294"/>
      <c r="KBX614" s="294"/>
      <c r="KBY614" s="294"/>
      <c r="KBZ614" s="294"/>
      <c r="KCA614" s="294"/>
      <c r="KCB614" s="294"/>
      <c r="KCC614" s="294"/>
      <c r="KCD614" s="294"/>
      <c r="KCE614" s="294"/>
      <c r="KCF614" s="294"/>
      <c r="KCG614" s="294"/>
      <c r="KCH614" s="294"/>
      <c r="KCI614" s="294"/>
      <c r="KCJ614" s="294"/>
      <c r="KCK614" s="294"/>
      <c r="KCL614" s="294"/>
      <c r="KCM614" s="294"/>
      <c r="KCN614" s="294"/>
      <c r="KCO614" s="294"/>
      <c r="KCP614" s="294"/>
      <c r="KCQ614" s="294"/>
      <c r="KCR614" s="294"/>
      <c r="KCS614" s="294"/>
      <c r="KCT614" s="294"/>
      <c r="KCU614" s="294"/>
      <c r="KCV614" s="294"/>
      <c r="KCW614" s="294"/>
      <c r="KCX614" s="294"/>
      <c r="KCY614" s="294"/>
      <c r="KCZ614" s="294"/>
      <c r="KDA614" s="294"/>
      <c r="KDB614" s="294"/>
      <c r="KDC614" s="294"/>
      <c r="KDD614" s="294"/>
      <c r="KDE614" s="294"/>
      <c r="KDF614" s="294"/>
      <c r="KDG614" s="294"/>
      <c r="KDH614" s="294"/>
      <c r="KDI614" s="294"/>
      <c r="KDJ614" s="294"/>
      <c r="KDK614" s="294"/>
      <c r="KDL614" s="294"/>
      <c r="KDM614" s="294"/>
      <c r="KDN614" s="294"/>
      <c r="KDO614" s="294"/>
      <c r="KDP614" s="294"/>
      <c r="KDQ614" s="294"/>
      <c r="KDR614" s="294"/>
      <c r="KDS614" s="294"/>
      <c r="KDT614" s="294"/>
      <c r="KDU614" s="294"/>
      <c r="KDV614" s="294"/>
      <c r="KDW614" s="294"/>
      <c r="KDX614" s="294"/>
      <c r="KDY614" s="294"/>
      <c r="KDZ614" s="294"/>
      <c r="KEA614" s="294"/>
      <c r="KEB614" s="294"/>
      <c r="KEC614" s="294"/>
      <c r="KED614" s="294"/>
      <c r="KEE614" s="294"/>
      <c r="KEF614" s="294"/>
      <c r="KEG614" s="294"/>
      <c r="KEH614" s="294"/>
      <c r="KEI614" s="294"/>
      <c r="KEJ614" s="294"/>
      <c r="KEK614" s="294"/>
      <c r="KEL614" s="294"/>
      <c r="KEM614" s="294"/>
      <c r="KEN614" s="294"/>
      <c r="KEO614" s="294"/>
      <c r="KEP614" s="294"/>
      <c r="KEQ614" s="294"/>
      <c r="KER614" s="294"/>
      <c r="KES614" s="294"/>
      <c r="KET614" s="294"/>
      <c r="KEU614" s="294"/>
      <c r="KEV614" s="294"/>
      <c r="KEW614" s="294"/>
      <c r="KEX614" s="294"/>
      <c r="KEY614" s="294"/>
      <c r="KEZ614" s="294"/>
      <c r="KFA614" s="294"/>
      <c r="KFB614" s="294"/>
      <c r="KFC614" s="294"/>
      <c r="KFD614" s="294"/>
      <c r="KFE614" s="294"/>
      <c r="KFF614" s="294"/>
      <c r="KFG614" s="294"/>
      <c r="KFH614" s="294"/>
      <c r="KFI614" s="294"/>
      <c r="KFJ614" s="294"/>
      <c r="KFK614" s="294"/>
      <c r="KFL614" s="294"/>
      <c r="KFM614" s="294"/>
      <c r="KFN614" s="294"/>
      <c r="KFO614" s="294"/>
      <c r="KFP614" s="294"/>
      <c r="KFQ614" s="294"/>
      <c r="KFR614" s="294"/>
      <c r="KFS614" s="294"/>
      <c r="KFT614" s="294"/>
      <c r="KFU614" s="294"/>
      <c r="KFV614" s="294"/>
      <c r="KFW614" s="294"/>
      <c r="KFX614" s="294"/>
      <c r="KFY614" s="294"/>
      <c r="KFZ614" s="294"/>
      <c r="KGA614" s="294"/>
      <c r="KGB614" s="294"/>
      <c r="KGC614" s="294"/>
      <c r="KGD614" s="294"/>
      <c r="KGE614" s="294"/>
      <c r="KGF614" s="294"/>
      <c r="KGG614" s="294"/>
      <c r="KGH614" s="294"/>
      <c r="KGI614" s="294"/>
      <c r="KGJ614" s="294"/>
      <c r="KGK614" s="294"/>
      <c r="KGL614" s="294"/>
      <c r="KGM614" s="294"/>
      <c r="KGN614" s="294"/>
      <c r="KGO614" s="294"/>
      <c r="KGP614" s="294"/>
      <c r="KGQ614" s="294"/>
      <c r="KGR614" s="294"/>
      <c r="KGS614" s="294"/>
      <c r="KGT614" s="294"/>
      <c r="KGU614" s="294"/>
      <c r="KGV614" s="294"/>
      <c r="KGW614" s="294"/>
      <c r="KGX614" s="294"/>
      <c r="KGY614" s="294"/>
      <c r="KGZ614" s="294"/>
      <c r="KHA614" s="294"/>
      <c r="KHB614" s="294"/>
      <c r="KHC614" s="294"/>
      <c r="KHD614" s="294"/>
      <c r="KHE614" s="294"/>
      <c r="KHF614" s="294"/>
      <c r="KHG614" s="294"/>
      <c r="KHH614" s="294"/>
      <c r="KHI614" s="294"/>
      <c r="KHJ614" s="294"/>
      <c r="KHK614" s="294"/>
      <c r="KHL614" s="294"/>
      <c r="KHM614" s="294"/>
      <c r="KHN614" s="294"/>
      <c r="KHO614" s="294"/>
      <c r="KHP614" s="294"/>
      <c r="KHQ614" s="294"/>
      <c r="KHR614" s="294"/>
      <c r="KHS614" s="294"/>
      <c r="KHT614" s="294"/>
      <c r="KHU614" s="294"/>
      <c r="KHV614" s="294"/>
      <c r="KHW614" s="294"/>
      <c r="KHX614" s="294"/>
      <c r="KHY614" s="294"/>
      <c r="KHZ614" s="294"/>
      <c r="KIA614" s="294"/>
      <c r="KIB614" s="294"/>
      <c r="KIC614" s="294"/>
      <c r="KID614" s="294"/>
      <c r="KIE614" s="294"/>
      <c r="KIF614" s="294"/>
      <c r="KIG614" s="294"/>
      <c r="KIH614" s="294"/>
      <c r="KII614" s="294"/>
      <c r="KIJ614" s="294"/>
      <c r="KIK614" s="294"/>
      <c r="KIL614" s="294"/>
      <c r="KIM614" s="294"/>
      <c r="KIN614" s="294"/>
      <c r="KIO614" s="294"/>
      <c r="KIP614" s="294"/>
      <c r="KIQ614" s="294"/>
      <c r="KIR614" s="294"/>
      <c r="KIS614" s="294"/>
      <c r="KIT614" s="294"/>
      <c r="KIU614" s="294"/>
      <c r="KIV614" s="294"/>
      <c r="KIW614" s="294"/>
      <c r="KIX614" s="294"/>
      <c r="KIY614" s="294"/>
      <c r="KIZ614" s="294"/>
      <c r="KJA614" s="294"/>
      <c r="KJB614" s="294"/>
      <c r="KJC614" s="294"/>
      <c r="KJD614" s="294"/>
      <c r="KJE614" s="294"/>
      <c r="KJF614" s="294"/>
      <c r="KJG614" s="294"/>
      <c r="KJH614" s="294"/>
      <c r="KJI614" s="294"/>
      <c r="KJJ614" s="294"/>
      <c r="KJK614" s="294"/>
      <c r="KJL614" s="294"/>
      <c r="KJM614" s="294"/>
      <c r="KJN614" s="294"/>
      <c r="KJO614" s="294"/>
      <c r="KJP614" s="294"/>
      <c r="KJQ614" s="294"/>
      <c r="KJR614" s="294"/>
      <c r="KJS614" s="294"/>
      <c r="KJT614" s="294"/>
      <c r="KJU614" s="294"/>
      <c r="KJV614" s="294"/>
      <c r="KJW614" s="294"/>
      <c r="KJX614" s="294"/>
      <c r="KJY614" s="294"/>
      <c r="KJZ614" s="294"/>
      <c r="KKA614" s="294"/>
      <c r="KKB614" s="294"/>
      <c r="KKC614" s="294"/>
      <c r="KKD614" s="294"/>
      <c r="KKE614" s="294"/>
      <c r="KKF614" s="294"/>
      <c r="KKG614" s="294"/>
      <c r="KKH614" s="294"/>
      <c r="KKI614" s="294"/>
      <c r="KKJ614" s="294"/>
      <c r="KKK614" s="294"/>
      <c r="KKL614" s="294"/>
      <c r="KKM614" s="294"/>
      <c r="KKN614" s="294"/>
      <c r="KKO614" s="294"/>
      <c r="KKP614" s="294"/>
      <c r="KKQ614" s="294"/>
      <c r="KKR614" s="294"/>
      <c r="KKS614" s="294"/>
      <c r="KKT614" s="294"/>
      <c r="KKU614" s="294"/>
      <c r="KKV614" s="294"/>
      <c r="KKW614" s="294"/>
      <c r="KKX614" s="294"/>
      <c r="KKY614" s="294"/>
      <c r="KKZ614" s="294"/>
      <c r="KLA614" s="294"/>
      <c r="KLB614" s="294"/>
      <c r="KLC614" s="294"/>
      <c r="KLD614" s="294"/>
      <c r="KLE614" s="294"/>
      <c r="KLF614" s="294"/>
      <c r="KLG614" s="294"/>
      <c r="KLH614" s="294"/>
      <c r="KLI614" s="294"/>
      <c r="KLJ614" s="294"/>
      <c r="KLK614" s="294"/>
      <c r="KLL614" s="294"/>
      <c r="KLM614" s="294"/>
      <c r="KLN614" s="294"/>
      <c r="KLO614" s="294"/>
      <c r="KLP614" s="294"/>
      <c r="KLQ614" s="294"/>
      <c r="KLR614" s="294"/>
      <c r="KLS614" s="294"/>
      <c r="KLT614" s="294"/>
      <c r="KLU614" s="294"/>
      <c r="KLV614" s="294"/>
      <c r="KLW614" s="294"/>
      <c r="KLX614" s="294"/>
      <c r="KLY614" s="294"/>
      <c r="KLZ614" s="294"/>
      <c r="KMA614" s="294"/>
      <c r="KMB614" s="294"/>
      <c r="KMC614" s="294"/>
      <c r="KMD614" s="294"/>
      <c r="KME614" s="294"/>
      <c r="KMF614" s="294"/>
      <c r="KMG614" s="294"/>
      <c r="KMH614" s="294"/>
      <c r="KMI614" s="294"/>
      <c r="KMJ614" s="294"/>
      <c r="KMK614" s="294"/>
      <c r="KML614" s="294"/>
      <c r="KMM614" s="294"/>
      <c r="KMN614" s="294"/>
      <c r="KMO614" s="294"/>
      <c r="KMP614" s="294"/>
      <c r="KMQ614" s="294"/>
      <c r="KMR614" s="294"/>
      <c r="KMS614" s="294"/>
      <c r="KMT614" s="294"/>
      <c r="KMU614" s="294"/>
      <c r="KMV614" s="294"/>
      <c r="KMW614" s="294"/>
      <c r="KMX614" s="294"/>
      <c r="KMY614" s="294"/>
      <c r="KMZ614" s="294"/>
      <c r="KNA614" s="294"/>
      <c r="KNB614" s="294"/>
      <c r="KNC614" s="294"/>
      <c r="KND614" s="294"/>
      <c r="KNE614" s="294"/>
      <c r="KNF614" s="294"/>
      <c r="KNG614" s="294"/>
      <c r="KNH614" s="294"/>
      <c r="KNI614" s="294"/>
      <c r="KNJ614" s="294"/>
      <c r="KNK614" s="294"/>
      <c r="KNL614" s="294"/>
      <c r="KNM614" s="294"/>
      <c r="KNN614" s="294"/>
      <c r="KNO614" s="294"/>
      <c r="KNP614" s="294"/>
      <c r="KNQ614" s="294"/>
      <c r="KNR614" s="294"/>
      <c r="KNS614" s="294"/>
      <c r="KNT614" s="294"/>
      <c r="KNU614" s="294"/>
      <c r="KNV614" s="294"/>
      <c r="KNW614" s="294"/>
      <c r="KNX614" s="294"/>
      <c r="KNY614" s="294"/>
      <c r="KNZ614" s="294"/>
      <c r="KOA614" s="294"/>
      <c r="KOB614" s="294"/>
      <c r="KOC614" s="294"/>
      <c r="KOD614" s="294"/>
      <c r="KOE614" s="294"/>
      <c r="KOF614" s="294"/>
      <c r="KOG614" s="294"/>
      <c r="KOH614" s="294"/>
      <c r="KOI614" s="294"/>
      <c r="KOJ614" s="294"/>
      <c r="KOK614" s="294"/>
      <c r="KOL614" s="294"/>
      <c r="KOM614" s="294"/>
      <c r="KON614" s="294"/>
      <c r="KOO614" s="294"/>
      <c r="KOP614" s="294"/>
      <c r="KOQ614" s="294"/>
      <c r="KOR614" s="294"/>
      <c r="KOS614" s="294"/>
      <c r="KOT614" s="294"/>
      <c r="KOU614" s="294"/>
      <c r="KOV614" s="294"/>
      <c r="KOW614" s="294"/>
      <c r="KOX614" s="294"/>
      <c r="KOY614" s="294"/>
      <c r="KOZ614" s="294"/>
      <c r="KPA614" s="294"/>
      <c r="KPB614" s="294"/>
      <c r="KPC614" s="294"/>
      <c r="KPD614" s="294"/>
      <c r="KPE614" s="294"/>
      <c r="KPF614" s="294"/>
      <c r="KPG614" s="294"/>
      <c r="KPH614" s="294"/>
      <c r="KPI614" s="294"/>
      <c r="KPJ614" s="294"/>
      <c r="KPK614" s="294"/>
      <c r="KPL614" s="294"/>
      <c r="KPM614" s="294"/>
      <c r="KPN614" s="294"/>
      <c r="KPO614" s="294"/>
      <c r="KPP614" s="294"/>
      <c r="KPQ614" s="294"/>
      <c r="KPR614" s="294"/>
      <c r="KPS614" s="294"/>
      <c r="KPT614" s="294"/>
      <c r="KPU614" s="294"/>
      <c r="KPV614" s="294"/>
      <c r="KPW614" s="294"/>
      <c r="KPX614" s="294"/>
      <c r="KPY614" s="294"/>
      <c r="KPZ614" s="294"/>
      <c r="KQA614" s="294"/>
      <c r="KQB614" s="294"/>
      <c r="KQC614" s="294"/>
      <c r="KQD614" s="294"/>
      <c r="KQE614" s="294"/>
      <c r="KQF614" s="294"/>
      <c r="KQG614" s="294"/>
      <c r="KQH614" s="294"/>
      <c r="KQI614" s="294"/>
      <c r="KQJ614" s="294"/>
      <c r="KQK614" s="294"/>
      <c r="KQL614" s="294"/>
      <c r="KQM614" s="294"/>
      <c r="KQN614" s="294"/>
      <c r="KQO614" s="294"/>
      <c r="KQP614" s="294"/>
      <c r="KQQ614" s="294"/>
      <c r="KQR614" s="294"/>
      <c r="KQS614" s="294"/>
      <c r="KQT614" s="294"/>
      <c r="KQU614" s="294"/>
      <c r="KQV614" s="294"/>
      <c r="KQW614" s="294"/>
      <c r="KQX614" s="294"/>
      <c r="KQY614" s="294"/>
      <c r="KQZ614" s="294"/>
      <c r="KRA614" s="294"/>
      <c r="KRB614" s="294"/>
      <c r="KRC614" s="294"/>
      <c r="KRD614" s="294"/>
      <c r="KRE614" s="294"/>
      <c r="KRF614" s="294"/>
      <c r="KRG614" s="294"/>
      <c r="KRH614" s="294"/>
      <c r="KRI614" s="294"/>
      <c r="KRJ614" s="294"/>
      <c r="KRK614" s="294"/>
      <c r="KRL614" s="294"/>
      <c r="KRM614" s="294"/>
      <c r="KRN614" s="294"/>
      <c r="KRO614" s="294"/>
      <c r="KRP614" s="294"/>
      <c r="KRQ614" s="294"/>
      <c r="KRR614" s="294"/>
      <c r="KRS614" s="294"/>
      <c r="KRT614" s="294"/>
      <c r="KRU614" s="294"/>
      <c r="KRV614" s="294"/>
      <c r="KRW614" s="294"/>
      <c r="KRX614" s="294"/>
      <c r="KRY614" s="294"/>
      <c r="KRZ614" s="294"/>
      <c r="KSA614" s="294"/>
      <c r="KSB614" s="294"/>
      <c r="KSC614" s="294"/>
      <c r="KSD614" s="294"/>
      <c r="KSE614" s="294"/>
      <c r="KSF614" s="294"/>
      <c r="KSG614" s="294"/>
      <c r="KSH614" s="294"/>
      <c r="KSI614" s="294"/>
      <c r="KSJ614" s="294"/>
      <c r="KSK614" s="294"/>
      <c r="KSL614" s="294"/>
      <c r="KSM614" s="294"/>
      <c r="KSN614" s="294"/>
      <c r="KSO614" s="294"/>
      <c r="KSP614" s="294"/>
      <c r="KSQ614" s="294"/>
      <c r="KSR614" s="294"/>
      <c r="KSS614" s="294"/>
      <c r="KST614" s="294"/>
      <c r="KSU614" s="294"/>
      <c r="KSV614" s="294"/>
      <c r="KSW614" s="294"/>
      <c r="KSX614" s="294"/>
      <c r="KSY614" s="294"/>
      <c r="KSZ614" s="294"/>
      <c r="KTA614" s="294"/>
      <c r="KTB614" s="294"/>
      <c r="KTC614" s="294"/>
      <c r="KTD614" s="294"/>
      <c r="KTE614" s="294"/>
      <c r="KTF614" s="294"/>
      <c r="KTG614" s="294"/>
      <c r="KTH614" s="294"/>
      <c r="KTI614" s="294"/>
      <c r="KTJ614" s="294"/>
      <c r="KTK614" s="294"/>
      <c r="KTL614" s="294"/>
      <c r="KTM614" s="294"/>
      <c r="KTN614" s="294"/>
      <c r="KTO614" s="294"/>
      <c r="KTP614" s="294"/>
      <c r="KTQ614" s="294"/>
      <c r="KTR614" s="294"/>
      <c r="KTS614" s="294"/>
      <c r="KTT614" s="294"/>
      <c r="KTU614" s="294"/>
      <c r="KTV614" s="294"/>
      <c r="KTW614" s="294"/>
      <c r="KTX614" s="294"/>
      <c r="KTY614" s="294"/>
      <c r="KTZ614" s="294"/>
      <c r="KUA614" s="294"/>
      <c r="KUB614" s="294"/>
      <c r="KUC614" s="294"/>
      <c r="KUD614" s="294"/>
      <c r="KUE614" s="294"/>
      <c r="KUF614" s="294"/>
      <c r="KUG614" s="294"/>
      <c r="KUH614" s="294"/>
      <c r="KUI614" s="294"/>
      <c r="KUJ614" s="294"/>
      <c r="KUK614" s="294"/>
      <c r="KUL614" s="294"/>
      <c r="KUM614" s="294"/>
      <c r="KUN614" s="294"/>
      <c r="KUO614" s="294"/>
      <c r="KUP614" s="294"/>
      <c r="KUQ614" s="294"/>
      <c r="KUR614" s="294"/>
      <c r="KUS614" s="294"/>
      <c r="KUT614" s="294"/>
      <c r="KUU614" s="294"/>
      <c r="KUV614" s="294"/>
      <c r="KUW614" s="294"/>
      <c r="KUX614" s="294"/>
      <c r="KUY614" s="294"/>
      <c r="KUZ614" s="294"/>
      <c r="KVA614" s="294"/>
      <c r="KVB614" s="294"/>
      <c r="KVC614" s="294"/>
      <c r="KVD614" s="294"/>
      <c r="KVE614" s="294"/>
      <c r="KVF614" s="294"/>
      <c r="KVG614" s="294"/>
      <c r="KVH614" s="294"/>
      <c r="KVI614" s="294"/>
      <c r="KVJ614" s="294"/>
      <c r="KVK614" s="294"/>
      <c r="KVL614" s="294"/>
      <c r="KVM614" s="294"/>
      <c r="KVN614" s="294"/>
      <c r="KVO614" s="294"/>
      <c r="KVP614" s="294"/>
      <c r="KVQ614" s="294"/>
      <c r="KVR614" s="294"/>
      <c r="KVS614" s="294"/>
      <c r="KVT614" s="294"/>
      <c r="KVU614" s="294"/>
      <c r="KVV614" s="294"/>
      <c r="KVW614" s="294"/>
      <c r="KVX614" s="294"/>
      <c r="KVY614" s="294"/>
      <c r="KVZ614" s="294"/>
      <c r="KWA614" s="294"/>
      <c r="KWB614" s="294"/>
      <c r="KWC614" s="294"/>
      <c r="KWD614" s="294"/>
      <c r="KWE614" s="294"/>
      <c r="KWF614" s="294"/>
      <c r="KWG614" s="294"/>
      <c r="KWH614" s="294"/>
      <c r="KWI614" s="294"/>
      <c r="KWJ614" s="294"/>
      <c r="KWK614" s="294"/>
      <c r="KWL614" s="294"/>
      <c r="KWM614" s="294"/>
      <c r="KWN614" s="294"/>
      <c r="KWO614" s="294"/>
      <c r="KWP614" s="294"/>
      <c r="KWQ614" s="294"/>
      <c r="KWR614" s="294"/>
      <c r="KWS614" s="294"/>
      <c r="KWT614" s="294"/>
      <c r="KWU614" s="294"/>
      <c r="KWV614" s="294"/>
      <c r="KWW614" s="294"/>
      <c r="KWX614" s="294"/>
      <c r="KWY614" s="294"/>
      <c r="KWZ614" s="294"/>
      <c r="KXA614" s="294"/>
      <c r="KXB614" s="294"/>
      <c r="KXC614" s="294"/>
      <c r="KXD614" s="294"/>
      <c r="KXE614" s="294"/>
      <c r="KXF614" s="294"/>
      <c r="KXG614" s="294"/>
      <c r="KXH614" s="294"/>
      <c r="KXI614" s="294"/>
      <c r="KXJ614" s="294"/>
      <c r="KXK614" s="294"/>
      <c r="KXL614" s="294"/>
      <c r="KXM614" s="294"/>
      <c r="KXN614" s="294"/>
      <c r="KXO614" s="294"/>
      <c r="KXP614" s="294"/>
      <c r="KXQ614" s="294"/>
      <c r="KXR614" s="294"/>
      <c r="KXS614" s="294"/>
      <c r="KXT614" s="294"/>
      <c r="KXU614" s="294"/>
      <c r="KXV614" s="294"/>
      <c r="KXW614" s="294"/>
      <c r="KXX614" s="294"/>
      <c r="KXY614" s="294"/>
      <c r="KXZ614" s="294"/>
      <c r="KYA614" s="294"/>
      <c r="KYB614" s="294"/>
      <c r="KYC614" s="294"/>
      <c r="KYD614" s="294"/>
      <c r="KYE614" s="294"/>
      <c r="KYF614" s="294"/>
      <c r="KYG614" s="294"/>
      <c r="KYH614" s="294"/>
      <c r="KYI614" s="294"/>
      <c r="KYJ614" s="294"/>
      <c r="KYK614" s="294"/>
      <c r="KYL614" s="294"/>
      <c r="KYM614" s="294"/>
      <c r="KYN614" s="294"/>
      <c r="KYO614" s="294"/>
      <c r="KYP614" s="294"/>
      <c r="KYQ614" s="294"/>
      <c r="KYR614" s="294"/>
      <c r="KYS614" s="294"/>
      <c r="KYT614" s="294"/>
      <c r="KYU614" s="294"/>
      <c r="KYV614" s="294"/>
      <c r="KYW614" s="294"/>
      <c r="KYX614" s="294"/>
      <c r="KYY614" s="294"/>
      <c r="KYZ614" s="294"/>
      <c r="KZA614" s="294"/>
      <c r="KZB614" s="294"/>
      <c r="KZC614" s="294"/>
      <c r="KZD614" s="294"/>
      <c r="KZE614" s="294"/>
      <c r="KZF614" s="294"/>
      <c r="KZG614" s="294"/>
      <c r="KZH614" s="294"/>
      <c r="KZI614" s="294"/>
      <c r="KZJ614" s="294"/>
      <c r="KZK614" s="294"/>
      <c r="KZL614" s="294"/>
      <c r="KZM614" s="294"/>
      <c r="KZN614" s="294"/>
      <c r="KZO614" s="294"/>
      <c r="KZP614" s="294"/>
      <c r="KZQ614" s="294"/>
      <c r="KZR614" s="294"/>
      <c r="KZS614" s="294"/>
      <c r="KZT614" s="294"/>
      <c r="KZU614" s="294"/>
      <c r="KZV614" s="294"/>
      <c r="KZW614" s="294"/>
      <c r="KZX614" s="294"/>
      <c r="KZY614" s="294"/>
      <c r="KZZ614" s="294"/>
      <c r="LAA614" s="294"/>
      <c r="LAB614" s="294"/>
      <c r="LAC614" s="294"/>
      <c r="LAD614" s="294"/>
      <c r="LAE614" s="294"/>
      <c r="LAF614" s="294"/>
      <c r="LAG614" s="294"/>
      <c r="LAH614" s="294"/>
      <c r="LAI614" s="294"/>
      <c r="LAJ614" s="294"/>
      <c r="LAK614" s="294"/>
      <c r="LAL614" s="294"/>
      <c r="LAM614" s="294"/>
      <c r="LAN614" s="294"/>
      <c r="LAO614" s="294"/>
      <c r="LAP614" s="294"/>
      <c r="LAQ614" s="294"/>
      <c r="LAR614" s="294"/>
      <c r="LAS614" s="294"/>
      <c r="LAT614" s="294"/>
      <c r="LAU614" s="294"/>
      <c r="LAV614" s="294"/>
      <c r="LAW614" s="294"/>
      <c r="LAX614" s="294"/>
      <c r="LAY614" s="294"/>
      <c r="LAZ614" s="294"/>
      <c r="LBA614" s="294"/>
      <c r="LBB614" s="294"/>
      <c r="LBC614" s="294"/>
      <c r="LBD614" s="294"/>
      <c r="LBE614" s="294"/>
      <c r="LBF614" s="294"/>
      <c r="LBG614" s="294"/>
      <c r="LBH614" s="294"/>
      <c r="LBI614" s="294"/>
      <c r="LBJ614" s="294"/>
      <c r="LBK614" s="294"/>
      <c r="LBL614" s="294"/>
      <c r="LBM614" s="294"/>
      <c r="LBN614" s="294"/>
      <c r="LBO614" s="294"/>
      <c r="LBP614" s="294"/>
      <c r="LBQ614" s="294"/>
      <c r="LBR614" s="294"/>
      <c r="LBS614" s="294"/>
      <c r="LBT614" s="294"/>
      <c r="LBU614" s="294"/>
      <c r="LBV614" s="294"/>
      <c r="LBW614" s="294"/>
      <c r="LBX614" s="294"/>
      <c r="LBY614" s="294"/>
      <c r="LBZ614" s="294"/>
      <c r="LCA614" s="294"/>
      <c r="LCB614" s="294"/>
      <c r="LCC614" s="294"/>
      <c r="LCD614" s="294"/>
      <c r="LCE614" s="294"/>
      <c r="LCF614" s="294"/>
      <c r="LCG614" s="294"/>
      <c r="LCH614" s="294"/>
      <c r="LCI614" s="294"/>
      <c r="LCJ614" s="294"/>
      <c r="LCK614" s="294"/>
      <c r="LCL614" s="294"/>
      <c r="LCM614" s="294"/>
      <c r="LCN614" s="294"/>
      <c r="LCO614" s="294"/>
      <c r="LCP614" s="294"/>
      <c r="LCQ614" s="294"/>
      <c r="LCR614" s="294"/>
      <c r="LCS614" s="294"/>
      <c r="LCT614" s="294"/>
      <c r="LCU614" s="294"/>
      <c r="LCV614" s="294"/>
      <c r="LCW614" s="294"/>
      <c r="LCX614" s="294"/>
      <c r="LCY614" s="294"/>
      <c r="LCZ614" s="294"/>
      <c r="LDA614" s="294"/>
      <c r="LDB614" s="294"/>
      <c r="LDC614" s="294"/>
      <c r="LDD614" s="294"/>
      <c r="LDE614" s="294"/>
      <c r="LDF614" s="294"/>
      <c r="LDG614" s="294"/>
      <c r="LDH614" s="294"/>
      <c r="LDI614" s="294"/>
      <c r="LDJ614" s="294"/>
      <c r="LDK614" s="294"/>
      <c r="LDL614" s="294"/>
      <c r="LDM614" s="294"/>
      <c r="LDN614" s="294"/>
      <c r="LDO614" s="294"/>
      <c r="LDP614" s="294"/>
      <c r="LDQ614" s="294"/>
      <c r="LDR614" s="294"/>
      <c r="LDS614" s="294"/>
      <c r="LDT614" s="294"/>
      <c r="LDU614" s="294"/>
      <c r="LDV614" s="294"/>
      <c r="LDW614" s="294"/>
      <c r="LDX614" s="294"/>
      <c r="LDY614" s="294"/>
      <c r="LDZ614" s="294"/>
      <c r="LEA614" s="294"/>
      <c r="LEB614" s="294"/>
      <c r="LEC614" s="294"/>
      <c r="LED614" s="294"/>
      <c r="LEE614" s="294"/>
      <c r="LEF614" s="294"/>
      <c r="LEG614" s="294"/>
      <c r="LEH614" s="294"/>
      <c r="LEI614" s="294"/>
      <c r="LEJ614" s="294"/>
      <c r="LEK614" s="294"/>
      <c r="LEL614" s="294"/>
      <c r="LEM614" s="294"/>
      <c r="LEN614" s="294"/>
      <c r="LEO614" s="294"/>
      <c r="LEP614" s="294"/>
      <c r="LEQ614" s="294"/>
      <c r="LER614" s="294"/>
      <c r="LES614" s="294"/>
      <c r="LET614" s="294"/>
      <c r="LEU614" s="294"/>
      <c r="LEV614" s="294"/>
      <c r="LEW614" s="294"/>
      <c r="LEX614" s="294"/>
      <c r="LEY614" s="294"/>
      <c r="LEZ614" s="294"/>
      <c r="LFA614" s="294"/>
      <c r="LFB614" s="294"/>
      <c r="LFC614" s="294"/>
      <c r="LFD614" s="294"/>
      <c r="LFE614" s="294"/>
      <c r="LFF614" s="294"/>
      <c r="LFG614" s="294"/>
      <c r="LFH614" s="294"/>
      <c r="LFI614" s="294"/>
      <c r="LFJ614" s="294"/>
      <c r="LFK614" s="294"/>
      <c r="LFL614" s="294"/>
      <c r="LFM614" s="294"/>
      <c r="LFN614" s="294"/>
      <c r="LFO614" s="294"/>
      <c r="LFP614" s="294"/>
      <c r="LFQ614" s="294"/>
      <c r="LFR614" s="294"/>
      <c r="LFS614" s="294"/>
      <c r="LFT614" s="294"/>
      <c r="LFU614" s="294"/>
      <c r="LFV614" s="294"/>
      <c r="LFW614" s="294"/>
      <c r="LFX614" s="294"/>
      <c r="LFY614" s="294"/>
      <c r="LFZ614" s="294"/>
      <c r="LGA614" s="294"/>
      <c r="LGB614" s="294"/>
      <c r="LGC614" s="294"/>
      <c r="LGD614" s="294"/>
      <c r="LGE614" s="294"/>
      <c r="LGF614" s="294"/>
      <c r="LGG614" s="294"/>
      <c r="LGH614" s="294"/>
      <c r="LGI614" s="294"/>
      <c r="LGJ614" s="294"/>
      <c r="LGK614" s="294"/>
      <c r="LGL614" s="294"/>
      <c r="LGM614" s="294"/>
      <c r="LGN614" s="294"/>
      <c r="LGO614" s="294"/>
      <c r="LGP614" s="294"/>
      <c r="LGQ614" s="294"/>
      <c r="LGR614" s="294"/>
      <c r="LGS614" s="294"/>
      <c r="LGT614" s="294"/>
      <c r="LGU614" s="294"/>
      <c r="LGV614" s="294"/>
      <c r="LGW614" s="294"/>
      <c r="LGX614" s="294"/>
      <c r="LGY614" s="294"/>
      <c r="LGZ614" s="294"/>
      <c r="LHA614" s="294"/>
      <c r="LHB614" s="294"/>
      <c r="LHC614" s="294"/>
      <c r="LHD614" s="294"/>
      <c r="LHE614" s="294"/>
      <c r="LHF614" s="294"/>
      <c r="LHG614" s="294"/>
      <c r="LHH614" s="294"/>
      <c r="LHI614" s="294"/>
      <c r="LHJ614" s="294"/>
      <c r="LHK614" s="294"/>
      <c r="LHL614" s="294"/>
      <c r="LHM614" s="294"/>
      <c r="LHN614" s="294"/>
      <c r="LHO614" s="294"/>
      <c r="LHP614" s="294"/>
      <c r="LHQ614" s="294"/>
      <c r="LHR614" s="294"/>
      <c r="LHS614" s="294"/>
      <c r="LHT614" s="294"/>
      <c r="LHU614" s="294"/>
      <c r="LHV614" s="294"/>
      <c r="LHW614" s="294"/>
      <c r="LHX614" s="294"/>
      <c r="LHY614" s="294"/>
      <c r="LHZ614" s="294"/>
      <c r="LIA614" s="294"/>
      <c r="LIB614" s="294"/>
      <c r="LIC614" s="294"/>
      <c r="LID614" s="294"/>
      <c r="LIE614" s="294"/>
      <c r="LIF614" s="294"/>
      <c r="LIG614" s="294"/>
      <c r="LIH614" s="294"/>
      <c r="LII614" s="294"/>
      <c r="LIJ614" s="294"/>
      <c r="LIK614" s="294"/>
      <c r="LIL614" s="294"/>
      <c r="LIM614" s="294"/>
      <c r="LIN614" s="294"/>
      <c r="LIO614" s="294"/>
      <c r="LIP614" s="294"/>
      <c r="LIQ614" s="294"/>
      <c r="LIR614" s="294"/>
      <c r="LIS614" s="294"/>
      <c r="LIT614" s="294"/>
      <c r="LIU614" s="294"/>
      <c r="LIV614" s="294"/>
      <c r="LIW614" s="294"/>
      <c r="LIX614" s="294"/>
      <c r="LIY614" s="294"/>
      <c r="LIZ614" s="294"/>
      <c r="LJA614" s="294"/>
      <c r="LJB614" s="294"/>
      <c r="LJC614" s="294"/>
      <c r="LJD614" s="294"/>
      <c r="LJE614" s="294"/>
      <c r="LJF614" s="294"/>
      <c r="LJG614" s="294"/>
      <c r="LJH614" s="294"/>
      <c r="LJI614" s="294"/>
      <c r="LJJ614" s="294"/>
      <c r="LJK614" s="294"/>
      <c r="LJL614" s="294"/>
      <c r="LJM614" s="294"/>
      <c r="LJN614" s="294"/>
      <c r="LJO614" s="294"/>
      <c r="LJP614" s="294"/>
      <c r="LJQ614" s="294"/>
      <c r="LJR614" s="294"/>
      <c r="LJS614" s="294"/>
      <c r="LJT614" s="294"/>
      <c r="LJU614" s="294"/>
      <c r="LJV614" s="294"/>
      <c r="LJW614" s="294"/>
      <c r="LJX614" s="294"/>
      <c r="LJY614" s="294"/>
      <c r="LJZ614" s="294"/>
      <c r="LKA614" s="294"/>
      <c r="LKB614" s="294"/>
      <c r="LKC614" s="294"/>
      <c r="LKD614" s="294"/>
      <c r="LKE614" s="294"/>
      <c r="LKF614" s="294"/>
      <c r="LKG614" s="294"/>
      <c r="LKH614" s="294"/>
      <c r="LKI614" s="294"/>
      <c r="LKJ614" s="294"/>
      <c r="LKK614" s="294"/>
      <c r="LKL614" s="294"/>
      <c r="LKM614" s="294"/>
      <c r="LKN614" s="294"/>
      <c r="LKO614" s="294"/>
      <c r="LKP614" s="294"/>
      <c r="LKQ614" s="294"/>
      <c r="LKR614" s="294"/>
      <c r="LKS614" s="294"/>
      <c r="LKT614" s="294"/>
      <c r="LKU614" s="294"/>
      <c r="LKV614" s="294"/>
      <c r="LKW614" s="294"/>
      <c r="LKX614" s="294"/>
      <c r="LKY614" s="294"/>
      <c r="LKZ614" s="294"/>
      <c r="LLA614" s="294"/>
      <c r="LLB614" s="294"/>
      <c r="LLC614" s="294"/>
      <c r="LLD614" s="294"/>
      <c r="LLE614" s="294"/>
      <c r="LLF614" s="294"/>
      <c r="LLG614" s="294"/>
      <c r="LLH614" s="294"/>
      <c r="LLI614" s="294"/>
      <c r="LLJ614" s="294"/>
      <c r="LLK614" s="294"/>
      <c r="LLL614" s="294"/>
      <c r="LLM614" s="294"/>
      <c r="LLN614" s="294"/>
      <c r="LLO614" s="294"/>
      <c r="LLP614" s="294"/>
      <c r="LLQ614" s="294"/>
      <c r="LLR614" s="294"/>
      <c r="LLS614" s="294"/>
      <c r="LLT614" s="294"/>
      <c r="LLU614" s="294"/>
      <c r="LLV614" s="294"/>
      <c r="LLW614" s="294"/>
      <c r="LLX614" s="294"/>
      <c r="LLY614" s="294"/>
      <c r="LLZ614" s="294"/>
      <c r="LMA614" s="294"/>
      <c r="LMB614" s="294"/>
      <c r="LMC614" s="294"/>
      <c r="LMD614" s="294"/>
      <c r="LME614" s="294"/>
      <c r="LMF614" s="294"/>
      <c r="LMG614" s="294"/>
      <c r="LMH614" s="294"/>
      <c r="LMI614" s="294"/>
      <c r="LMJ614" s="294"/>
      <c r="LMK614" s="294"/>
      <c r="LML614" s="294"/>
      <c r="LMM614" s="294"/>
      <c r="LMN614" s="294"/>
      <c r="LMO614" s="294"/>
      <c r="LMP614" s="294"/>
      <c r="LMQ614" s="294"/>
      <c r="LMR614" s="294"/>
      <c r="LMS614" s="294"/>
      <c r="LMT614" s="294"/>
      <c r="LMU614" s="294"/>
      <c r="LMV614" s="294"/>
      <c r="LMW614" s="294"/>
      <c r="LMX614" s="294"/>
      <c r="LMY614" s="294"/>
      <c r="LMZ614" s="294"/>
      <c r="LNA614" s="294"/>
      <c r="LNB614" s="294"/>
      <c r="LNC614" s="294"/>
      <c r="LND614" s="294"/>
      <c r="LNE614" s="294"/>
      <c r="LNF614" s="294"/>
      <c r="LNG614" s="294"/>
      <c r="LNH614" s="294"/>
      <c r="LNI614" s="294"/>
      <c r="LNJ614" s="294"/>
      <c r="LNK614" s="294"/>
      <c r="LNL614" s="294"/>
      <c r="LNM614" s="294"/>
      <c r="LNN614" s="294"/>
      <c r="LNO614" s="294"/>
      <c r="LNP614" s="294"/>
      <c r="LNQ614" s="294"/>
      <c r="LNR614" s="294"/>
      <c r="LNS614" s="294"/>
      <c r="LNT614" s="294"/>
      <c r="LNU614" s="294"/>
      <c r="LNV614" s="294"/>
      <c r="LNW614" s="294"/>
      <c r="LNX614" s="294"/>
      <c r="LNY614" s="294"/>
      <c r="LNZ614" s="294"/>
      <c r="LOA614" s="294"/>
      <c r="LOB614" s="294"/>
      <c r="LOC614" s="294"/>
      <c r="LOD614" s="294"/>
      <c r="LOE614" s="294"/>
      <c r="LOF614" s="294"/>
      <c r="LOG614" s="294"/>
      <c r="LOH614" s="294"/>
      <c r="LOI614" s="294"/>
      <c r="LOJ614" s="294"/>
      <c r="LOK614" s="294"/>
      <c r="LOL614" s="294"/>
      <c r="LOM614" s="294"/>
      <c r="LON614" s="294"/>
      <c r="LOO614" s="294"/>
      <c r="LOP614" s="294"/>
      <c r="LOQ614" s="294"/>
      <c r="LOR614" s="294"/>
      <c r="LOS614" s="294"/>
      <c r="LOT614" s="294"/>
      <c r="LOU614" s="294"/>
      <c r="LOV614" s="294"/>
      <c r="LOW614" s="294"/>
      <c r="LOX614" s="294"/>
      <c r="LOY614" s="294"/>
      <c r="LOZ614" s="294"/>
      <c r="LPA614" s="294"/>
      <c r="LPB614" s="294"/>
      <c r="LPC614" s="294"/>
      <c r="LPD614" s="294"/>
      <c r="LPE614" s="294"/>
      <c r="LPF614" s="294"/>
      <c r="LPG614" s="294"/>
      <c r="LPH614" s="294"/>
      <c r="LPI614" s="294"/>
      <c r="LPJ614" s="294"/>
      <c r="LPK614" s="294"/>
      <c r="LPL614" s="294"/>
      <c r="LPM614" s="294"/>
      <c r="LPN614" s="294"/>
      <c r="LPO614" s="294"/>
      <c r="LPP614" s="294"/>
      <c r="LPQ614" s="294"/>
      <c r="LPR614" s="294"/>
      <c r="LPS614" s="294"/>
      <c r="LPT614" s="294"/>
      <c r="LPU614" s="294"/>
      <c r="LPV614" s="294"/>
      <c r="LPW614" s="294"/>
      <c r="LPX614" s="294"/>
      <c r="LPY614" s="294"/>
      <c r="LPZ614" s="294"/>
      <c r="LQA614" s="294"/>
      <c r="LQB614" s="294"/>
      <c r="LQC614" s="294"/>
      <c r="LQD614" s="294"/>
      <c r="LQE614" s="294"/>
      <c r="LQF614" s="294"/>
      <c r="LQG614" s="294"/>
      <c r="LQH614" s="294"/>
      <c r="LQI614" s="294"/>
      <c r="LQJ614" s="294"/>
      <c r="LQK614" s="294"/>
      <c r="LQL614" s="294"/>
      <c r="LQM614" s="294"/>
      <c r="LQN614" s="294"/>
      <c r="LQO614" s="294"/>
      <c r="LQP614" s="294"/>
      <c r="LQQ614" s="294"/>
      <c r="LQR614" s="294"/>
      <c r="LQS614" s="294"/>
      <c r="LQT614" s="294"/>
      <c r="LQU614" s="294"/>
      <c r="LQV614" s="294"/>
      <c r="LQW614" s="294"/>
      <c r="LQX614" s="294"/>
      <c r="LQY614" s="294"/>
      <c r="LQZ614" s="294"/>
      <c r="LRA614" s="294"/>
      <c r="LRB614" s="294"/>
      <c r="LRC614" s="294"/>
      <c r="LRD614" s="294"/>
      <c r="LRE614" s="294"/>
      <c r="LRF614" s="294"/>
      <c r="LRG614" s="294"/>
      <c r="LRH614" s="294"/>
      <c r="LRI614" s="294"/>
      <c r="LRJ614" s="294"/>
      <c r="LRK614" s="294"/>
      <c r="LRL614" s="294"/>
      <c r="LRM614" s="294"/>
      <c r="LRN614" s="294"/>
      <c r="LRO614" s="294"/>
      <c r="LRP614" s="294"/>
      <c r="LRQ614" s="294"/>
      <c r="LRR614" s="294"/>
      <c r="LRS614" s="294"/>
      <c r="LRT614" s="294"/>
      <c r="LRU614" s="294"/>
      <c r="LRV614" s="294"/>
      <c r="LRW614" s="294"/>
      <c r="LRX614" s="294"/>
      <c r="LRY614" s="294"/>
      <c r="LRZ614" s="294"/>
      <c r="LSA614" s="294"/>
      <c r="LSB614" s="294"/>
      <c r="LSC614" s="294"/>
      <c r="LSD614" s="294"/>
      <c r="LSE614" s="294"/>
      <c r="LSF614" s="294"/>
      <c r="LSG614" s="294"/>
      <c r="LSH614" s="294"/>
      <c r="LSI614" s="294"/>
      <c r="LSJ614" s="294"/>
      <c r="LSK614" s="294"/>
      <c r="LSL614" s="294"/>
      <c r="LSM614" s="294"/>
      <c r="LSN614" s="294"/>
      <c r="LSO614" s="294"/>
      <c r="LSP614" s="294"/>
      <c r="LSQ614" s="294"/>
      <c r="LSR614" s="294"/>
      <c r="LSS614" s="294"/>
      <c r="LST614" s="294"/>
      <c r="LSU614" s="294"/>
      <c r="LSV614" s="294"/>
      <c r="LSW614" s="294"/>
      <c r="LSX614" s="294"/>
      <c r="LSY614" s="294"/>
      <c r="LSZ614" s="294"/>
      <c r="LTA614" s="294"/>
      <c r="LTB614" s="294"/>
      <c r="LTC614" s="294"/>
      <c r="LTD614" s="294"/>
      <c r="LTE614" s="294"/>
      <c r="LTF614" s="294"/>
      <c r="LTG614" s="294"/>
      <c r="LTH614" s="294"/>
      <c r="LTI614" s="294"/>
      <c r="LTJ614" s="294"/>
      <c r="LTK614" s="294"/>
      <c r="LTL614" s="294"/>
      <c r="LTM614" s="294"/>
      <c r="LTN614" s="294"/>
      <c r="LTO614" s="294"/>
      <c r="LTP614" s="294"/>
      <c r="LTQ614" s="294"/>
      <c r="LTR614" s="294"/>
      <c r="LTS614" s="294"/>
      <c r="LTT614" s="294"/>
      <c r="LTU614" s="294"/>
      <c r="LTV614" s="294"/>
      <c r="LTW614" s="294"/>
      <c r="LTX614" s="294"/>
      <c r="LTY614" s="294"/>
      <c r="LTZ614" s="294"/>
      <c r="LUA614" s="294"/>
      <c r="LUB614" s="294"/>
      <c r="LUC614" s="294"/>
      <c r="LUD614" s="294"/>
      <c r="LUE614" s="294"/>
      <c r="LUF614" s="294"/>
      <c r="LUG614" s="294"/>
      <c r="LUH614" s="294"/>
      <c r="LUI614" s="294"/>
      <c r="LUJ614" s="294"/>
      <c r="LUK614" s="294"/>
      <c r="LUL614" s="294"/>
      <c r="LUM614" s="294"/>
      <c r="LUN614" s="294"/>
      <c r="LUO614" s="294"/>
      <c r="LUP614" s="294"/>
      <c r="LUQ614" s="294"/>
      <c r="LUR614" s="294"/>
      <c r="LUS614" s="294"/>
      <c r="LUT614" s="294"/>
      <c r="LUU614" s="294"/>
      <c r="LUV614" s="294"/>
      <c r="LUW614" s="294"/>
      <c r="LUX614" s="294"/>
      <c r="LUY614" s="294"/>
      <c r="LUZ614" s="294"/>
      <c r="LVA614" s="294"/>
      <c r="LVB614" s="294"/>
      <c r="LVC614" s="294"/>
      <c r="LVD614" s="294"/>
      <c r="LVE614" s="294"/>
      <c r="LVF614" s="294"/>
      <c r="LVG614" s="294"/>
      <c r="LVH614" s="294"/>
      <c r="LVI614" s="294"/>
      <c r="LVJ614" s="294"/>
      <c r="LVK614" s="294"/>
      <c r="LVL614" s="294"/>
      <c r="LVM614" s="294"/>
      <c r="LVN614" s="294"/>
      <c r="LVO614" s="294"/>
      <c r="LVP614" s="294"/>
      <c r="LVQ614" s="294"/>
      <c r="LVR614" s="294"/>
      <c r="LVS614" s="294"/>
      <c r="LVT614" s="294"/>
      <c r="LVU614" s="294"/>
      <c r="LVV614" s="294"/>
      <c r="LVW614" s="294"/>
      <c r="LVX614" s="294"/>
      <c r="LVY614" s="294"/>
      <c r="LVZ614" s="294"/>
      <c r="LWA614" s="294"/>
      <c r="LWB614" s="294"/>
      <c r="LWC614" s="294"/>
      <c r="LWD614" s="294"/>
      <c r="LWE614" s="294"/>
      <c r="LWF614" s="294"/>
      <c r="LWG614" s="294"/>
      <c r="LWH614" s="294"/>
      <c r="LWI614" s="294"/>
      <c r="LWJ614" s="294"/>
      <c r="LWK614" s="294"/>
      <c r="LWL614" s="294"/>
      <c r="LWM614" s="294"/>
      <c r="LWN614" s="294"/>
      <c r="LWO614" s="294"/>
      <c r="LWP614" s="294"/>
      <c r="LWQ614" s="294"/>
      <c r="LWR614" s="294"/>
      <c r="LWS614" s="294"/>
      <c r="LWT614" s="294"/>
      <c r="LWU614" s="294"/>
      <c r="LWV614" s="294"/>
      <c r="LWW614" s="294"/>
      <c r="LWX614" s="294"/>
      <c r="LWY614" s="294"/>
      <c r="LWZ614" s="294"/>
      <c r="LXA614" s="294"/>
      <c r="LXB614" s="294"/>
      <c r="LXC614" s="294"/>
      <c r="LXD614" s="294"/>
      <c r="LXE614" s="294"/>
      <c r="LXF614" s="294"/>
      <c r="LXG614" s="294"/>
      <c r="LXH614" s="294"/>
      <c r="LXI614" s="294"/>
      <c r="LXJ614" s="294"/>
      <c r="LXK614" s="294"/>
      <c r="LXL614" s="294"/>
      <c r="LXM614" s="294"/>
      <c r="LXN614" s="294"/>
      <c r="LXO614" s="294"/>
      <c r="LXP614" s="294"/>
      <c r="LXQ614" s="294"/>
      <c r="LXR614" s="294"/>
      <c r="LXS614" s="294"/>
      <c r="LXT614" s="294"/>
      <c r="LXU614" s="294"/>
      <c r="LXV614" s="294"/>
      <c r="LXW614" s="294"/>
      <c r="LXX614" s="294"/>
      <c r="LXY614" s="294"/>
      <c r="LXZ614" s="294"/>
      <c r="LYA614" s="294"/>
      <c r="LYB614" s="294"/>
      <c r="LYC614" s="294"/>
      <c r="LYD614" s="294"/>
      <c r="LYE614" s="294"/>
      <c r="LYF614" s="294"/>
      <c r="LYG614" s="294"/>
      <c r="LYH614" s="294"/>
      <c r="LYI614" s="294"/>
      <c r="LYJ614" s="294"/>
      <c r="LYK614" s="294"/>
      <c r="LYL614" s="294"/>
      <c r="LYM614" s="294"/>
      <c r="LYN614" s="294"/>
      <c r="LYO614" s="294"/>
      <c r="LYP614" s="294"/>
      <c r="LYQ614" s="294"/>
      <c r="LYR614" s="294"/>
      <c r="LYS614" s="294"/>
      <c r="LYT614" s="294"/>
      <c r="LYU614" s="294"/>
      <c r="LYV614" s="294"/>
      <c r="LYW614" s="294"/>
      <c r="LYX614" s="294"/>
      <c r="LYY614" s="294"/>
      <c r="LYZ614" s="294"/>
      <c r="LZA614" s="294"/>
      <c r="LZB614" s="294"/>
      <c r="LZC614" s="294"/>
      <c r="LZD614" s="294"/>
      <c r="LZE614" s="294"/>
      <c r="LZF614" s="294"/>
      <c r="LZG614" s="294"/>
      <c r="LZH614" s="294"/>
      <c r="LZI614" s="294"/>
      <c r="LZJ614" s="294"/>
      <c r="LZK614" s="294"/>
      <c r="LZL614" s="294"/>
      <c r="LZM614" s="294"/>
      <c r="LZN614" s="294"/>
      <c r="LZO614" s="294"/>
      <c r="LZP614" s="294"/>
      <c r="LZQ614" s="294"/>
      <c r="LZR614" s="294"/>
      <c r="LZS614" s="294"/>
      <c r="LZT614" s="294"/>
      <c r="LZU614" s="294"/>
      <c r="LZV614" s="294"/>
      <c r="LZW614" s="294"/>
      <c r="LZX614" s="294"/>
      <c r="LZY614" s="294"/>
      <c r="LZZ614" s="294"/>
      <c r="MAA614" s="294"/>
      <c r="MAB614" s="294"/>
      <c r="MAC614" s="294"/>
      <c r="MAD614" s="294"/>
      <c r="MAE614" s="294"/>
      <c r="MAF614" s="294"/>
      <c r="MAG614" s="294"/>
      <c r="MAH614" s="294"/>
      <c r="MAI614" s="294"/>
      <c r="MAJ614" s="294"/>
      <c r="MAK614" s="294"/>
      <c r="MAL614" s="294"/>
      <c r="MAM614" s="294"/>
      <c r="MAN614" s="294"/>
      <c r="MAO614" s="294"/>
      <c r="MAP614" s="294"/>
      <c r="MAQ614" s="294"/>
      <c r="MAR614" s="294"/>
      <c r="MAS614" s="294"/>
      <c r="MAT614" s="294"/>
      <c r="MAU614" s="294"/>
      <c r="MAV614" s="294"/>
      <c r="MAW614" s="294"/>
      <c r="MAX614" s="294"/>
      <c r="MAY614" s="294"/>
      <c r="MAZ614" s="294"/>
      <c r="MBA614" s="294"/>
      <c r="MBB614" s="294"/>
      <c r="MBC614" s="294"/>
      <c r="MBD614" s="294"/>
      <c r="MBE614" s="294"/>
      <c r="MBF614" s="294"/>
      <c r="MBG614" s="294"/>
      <c r="MBH614" s="294"/>
      <c r="MBI614" s="294"/>
      <c r="MBJ614" s="294"/>
      <c r="MBK614" s="294"/>
      <c r="MBL614" s="294"/>
      <c r="MBM614" s="294"/>
      <c r="MBN614" s="294"/>
      <c r="MBO614" s="294"/>
      <c r="MBP614" s="294"/>
      <c r="MBQ614" s="294"/>
      <c r="MBR614" s="294"/>
      <c r="MBS614" s="294"/>
      <c r="MBT614" s="294"/>
      <c r="MBU614" s="294"/>
      <c r="MBV614" s="294"/>
      <c r="MBW614" s="294"/>
      <c r="MBX614" s="294"/>
      <c r="MBY614" s="294"/>
      <c r="MBZ614" s="294"/>
      <c r="MCA614" s="294"/>
      <c r="MCB614" s="294"/>
      <c r="MCC614" s="294"/>
      <c r="MCD614" s="294"/>
      <c r="MCE614" s="294"/>
      <c r="MCF614" s="294"/>
      <c r="MCG614" s="294"/>
      <c r="MCH614" s="294"/>
      <c r="MCI614" s="294"/>
      <c r="MCJ614" s="294"/>
      <c r="MCK614" s="294"/>
      <c r="MCL614" s="294"/>
      <c r="MCM614" s="294"/>
      <c r="MCN614" s="294"/>
      <c r="MCO614" s="294"/>
      <c r="MCP614" s="294"/>
      <c r="MCQ614" s="294"/>
      <c r="MCR614" s="294"/>
      <c r="MCS614" s="294"/>
      <c r="MCT614" s="294"/>
      <c r="MCU614" s="294"/>
      <c r="MCV614" s="294"/>
      <c r="MCW614" s="294"/>
      <c r="MCX614" s="294"/>
      <c r="MCY614" s="294"/>
      <c r="MCZ614" s="294"/>
      <c r="MDA614" s="294"/>
      <c r="MDB614" s="294"/>
      <c r="MDC614" s="294"/>
      <c r="MDD614" s="294"/>
      <c r="MDE614" s="294"/>
      <c r="MDF614" s="294"/>
      <c r="MDG614" s="294"/>
      <c r="MDH614" s="294"/>
      <c r="MDI614" s="294"/>
      <c r="MDJ614" s="294"/>
      <c r="MDK614" s="294"/>
      <c r="MDL614" s="294"/>
      <c r="MDM614" s="294"/>
      <c r="MDN614" s="294"/>
      <c r="MDO614" s="294"/>
      <c r="MDP614" s="294"/>
      <c r="MDQ614" s="294"/>
      <c r="MDR614" s="294"/>
      <c r="MDS614" s="294"/>
      <c r="MDT614" s="294"/>
      <c r="MDU614" s="294"/>
      <c r="MDV614" s="294"/>
      <c r="MDW614" s="294"/>
      <c r="MDX614" s="294"/>
      <c r="MDY614" s="294"/>
      <c r="MDZ614" s="294"/>
      <c r="MEA614" s="294"/>
      <c r="MEB614" s="294"/>
      <c r="MEC614" s="294"/>
      <c r="MED614" s="294"/>
      <c r="MEE614" s="294"/>
      <c r="MEF614" s="294"/>
      <c r="MEG614" s="294"/>
      <c r="MEH614" s="294"/>
      <c r="MEI614" s="294"/>
      <c r="MEJ614" s="294"/>
      <c r="MEK614" s="294"/>
      <c r="MEL614" s="294"/>
      <c r="MEM614" s="294"/>
      <c r="MEN614" s="294"/>
      <c r="MEO614" s="294"/>
      <c r="MEP614" s="294"/>
      <c r="MEQ614" s="294"/>
      <c r="MER614" s="294"/>
      <c r="MES614" s="294"/>
      <c r="MET614" s="294"/>
      <c r="MEU614" s="294"/>
      <c r="MEV614" s="294"/>
      <c r="MEW614" s="294"/>
      <c r="MEX614" s="294"/>
      <c r="MEY614" s="294"/>
      <c r="MEZ614" s="294"/>
      <c r="MFA614" s="294"/>
      <c r="MFB614" s="294"/>
      <c r="MFC614" s="294"/>
      <c r="MFD614" s="294"/>
      <c r="MFE614" s="294"/>
      <c r="MFF614" s="294"/>
      <c r="MFG614" s="294"/>
      <c r="MFH614" s="294"/>
      <c r="MFI614" s="294"/>
      <c r="MFJ614" s="294"/>
      <c r="MFK614" s="294"/>
      <c r="MFL614" s="294"/>
      <c r="MFM614" s="294"/>
      <c r="MFN614" s="294"/>
      <c r="MFO614" s="294"/>
      <c r="MFP614" s="294"/>
      <c r="MFQ614" s="294"/>
      <c r="MFR614" s="294"/>
      <c r="MFS614" s="294"/>
      <c r="MFT614" s="294"/>
      <c r="MFU614" s="294"/>
      <c r="MFV614" s="294"/>
      <c r="MFW614" s="294"/>
      <c r="MFX614" s="294"/>
      <c r="MFY614" s="294"/>
      <c r="MFZ614" s="294"/>
      <c r="MGA614" s="294"/>
      <c r="MGB614" s="294"/>
      <c r="MGC614" s="294"/>
      <c r="MGD614" s="294"/>
      <c r="MGE614" s="294"/>
      <c r="MGF614" s="294"/>
      <c r="MGG614" s="294"/>
      <c r="MGH614" s="294"/>
      <c r="MGI614" s="294"/>
      <c r="MGJ614" s="294"/>
      <c r="MGK614" s="294"/>
      <c r="MGL614" s="294"/>
      <c r="MGM614" s="294"/>
      <c r="MGN614" s="294"/>
      <c r="MGO614" s="294"/>
      <c r="MGP614" s="294"/>
      <c r="MGQ614" s="294"/>
      <c r="MGR614" s="294"/>
      <c r="MGS614" s="294"/>
      <c r="MGT614" s="294"/>
      <c r="MGU614" s="294"/>
      <c r="MGV614" s="294"/>
      <c r="MGW614" s="294"/>
      <c r="MGX614" s="294"/>
      <c r="MGY614" s="294"/>
      <c r="MGZ614" s="294"/>
      <c r="MHA614" s="294"/>
      <c r="MHB614" s="294"/>
      <c r="MHC614" s="294"/>
      <c r="MHD614" s="294"/>
      <c r="MHE614" s="294"/>
      <c r="MHF614" s="294"/>
      <c r="MHG614" s="294"/>
      <c r="MHH614" s="294"/>
      <c r="MHI614" s="294"/>
      <c r="MHJ614" s="294"/>
      <c r="MHK614" s="294"/>
      <c r="MHL614" s="294"/>
      <c r="MHM614" s="294"/>
      <c r="MHN614" s="294"/>
      <c r="MHO614" s="294"/>
      <c r="MHP614" s="294"/>
      <c r="MHQ614" s="294"/>
      <c r="MHR614" s="294"/>
      <c r="MHS614" s="294"/>
      <c r="MHT614" s="294"/>
      <c r="MHU614" s="294"/>
      <c r="MHV614" s="294"/>
      <c r="MHW614" s="294"/>
      <c r="MHX614" s="294"/>
      <c r="MHY614" s="294"/>
      <c r="MHZ614" s="294"/>
      <c r="MIA614" s="294"/>
      <c r="MIB614" s="294"/>
      <c r="MIC614" s="294"/>
      <c r="MID614" s="294"/>
      <c r="MIE614" s="294"/>
      <c r="MIF614" s="294"/>
      <c r="MIG614" s="294"/>
      <c r="MIH614" s="294"/>
      <c r="MII614" s="294"/>
      <c r="MIJ614" s="294"/>
      <c r="MIK614" s="294"/>
      <c r="MIL614" s="294"/>
      <c r="MIM614" s="294"/>
      <c r="MIN614" s="294"/>
      <c r="MIO614" s="294"/>
      <c r="MIP614" s="294"/>
      <c r="MIQ614" s="294"/>
      <c r="MIR614" s="294"/>
      <c r="MIS614" s="294"/>
      <c r="MIT614" s="294"/>
      <c r="MIU614" s="294"/>
      <c r="MIV614" s="294"/>
      <c r="MIW614" s="294"/>
      <c r="MIX614" s="294"/>
      <c r="MIY614" s="294"/>
      <c r="MIZ614" s="294"/>
      <c r="MJA614" s="294"/>
      <c r="MJB614" s="294"/>
      <c r="MJC614" s="294"/>
      <c r="MJD614" s="294"/>
      <c r="MJE614" s="294"/>
      <c r="MJF614" s="294"/>
      <c r="MJG614" s="294"/>
      <c r="MJH614" s="294"/>
      <c r="MJI614" s="294"/>
      <c r="MJJ614" s="294"/>
      <c r="MJK614" s="294"/>
      <c r="MJL614" s="294"/>
      <c r="MJM614" s="294"/>
      <c r="MJN614" s="294"/>
      <c r="MJO614" s="294"/>
      <c r="MJP614" s="294"/>
      <c r="MJQ614" s="294"/>
      <c r="MJR614" s="294"/>
      <c r="MJS614" s="294"/>
      <c r="MJT614" s="294"/>
      <c r="MJU614" s="294"/>
      <c r="MJV614" s="294"/>
      <c r="MJW614" s="294"/>
      <c r="MJX614" s="294"/>
      <c r="MJY614" s="294"/>
      <c r="MJZ614" s="294"/>
      <c r="MKA614" s="294"/>
      <c r="MKB614" s="294"/>
      <c r="MKC614" s="294"/>
      <c r="MKD614" s="294"/>
      <c r="MKE614" s="294"/>
      <c r="MKF614" s="294"/>
      <c r="MKG614" s="294"/>
      <c r="MKH614" s="294"/>
      <c r="MKI614" s="294"/>
      <c r="MKJ614" s="294"/>
      <c r="MKK614" s="294"/>
      <c r="MKL614" s="294"/>
      <c r="MKM614" s="294"/>
      <c r="MKN614" s="294"/>
      <c r="MKO614" s="294"/>
      <c r="MKP614" s="294"/>
      <c r="MKQ614" s="294"/>
      <c r="MKR614" s="294"/>
      <c r="MKS614" s="294"/>
      <c r="MKT614" s="294"/>
      <c r="MKU614" s="294"/>
      <c r="MKV614" s="294"/>
      <c r="MKW614" s="294"/>
      <c r="MKX614" s="294"/>
      <c r="MKY614" s="294"/>
      <c r="MKZ614" s="294"/>
      <c r="MLA614" s="294"/>
      <c r="MLB614" s="294"/>
      <c r="MLC614" s="294"/>
      <c r="MLD614" s="294"/>
      <c r="MLE614" s="294"/>
      <c r="MLF614" s="294"/>
      <c r="MLG614" s="294"/>
      <c r="MLH614" s="294"/>
      <c r="MLI614" s="294"/>
      <c r="MLJ614" s="294"/>
      <c r="MLK614" s="294"/>
      <c r="MLL614" s="294"/>
      <c r="MLM614" s="294"/>
      <c r="MLN614" s="294"/>
      <c r="MLO614" s="294"/>
      <c r="MLP614" s="294"/>
      <c r="MLQ614" s="294"/>
      <c r="MLR614" s="294"/>
      <c r="MLS614" s="294"/>
      <c r="MLT614" s="294"/>
      <c r="MLU614" s="294"/>
      <c r="MLV614" s="294"/>
      <c r="MLW614" s="294"/>
      <c r="MLX614" s="294"/>
      <c r="MLY614" s="294"/>
      <c r="MLZ614" s="294"/>
      <c r="MMA614" s="294"/>
      <c r="MMB614" s="294"/>
      <c r="MMC614" s="294"/>
      <c r="MMD614" s="294"/>
      <c r="MME614" s="294"/>
      <c r="MMF614" s="294"/>
      <c r="MMG614" s="294"/>
      <c r="MMH614" s="294"/>
      <c r="MMI614" s="294"/>
      <c r="MMJ614" s="294"/>
      <c r="MMK614" s="294"/>
      <c r="MML614" s="294"/>
      <c r="MMM614" s="294"/>
      <c r="MMN614" s="294"/>
      <c r="MMO614" s="294"/>
      <c r="MMP614" s="294"/>
      <c r="MMQ614" s="294"/>
      <c r="MMR614" s="294"/>
      <c r="MMS614" s="294"/>
      <c r="MMT614" s="294"/>
      <c r="MMU614" s="294"/>
      <c r="MMV614" s="294"/>
      <c r="MMW614" s="294"/>
      <c r="MMX614" s="294"/>
      <c r="MMY614" s="294"/>
      <c r="MMZ614" s="294"/>
      <c r="MNA614" s="294"/>
      <c r="MNB614" s="294"/>
      <c r="MNC614" s="294"/>
      <c r="MND614" s="294"/>
      <c r="MNE614" s="294"/>
      <c r="MNF614" s="294"/>
      <c r="MNG614" s="294"/>
      <c r="MNH614" s="294"/>
      <c r="MNI614" s="294"/>
      <c r="MNJ614" s="294"/>
      <c r="MNK614" s="294"/>
      <c r="MNL614" s="294"/>
      <c r="MNM614" s="294"/>
      <c r="MNN614" s="294"/>
      <c r="MNO614" s="294"/>
      <c r="MNP614" s="294"/>
      <c r="MNQ614" s="294"/>
      <c r="MNR614" s="294"/>
      <c r="MNS614" s="294"/>
      <c r="MNT614" s="294"/>
      <c r="MNU614" s="294"/>
      <c r="MNV614" s="294"/>
      <c r="MNW614" s="294"/>
      <c r="MNX614" s="294"/>
      <c r="MNY614" s="294"/>
      <c r="MNZ614" s="294"/>
      <c r="MOA614" s="294"/>
      <c r="MOB614" s="294"/>
      <c r="MOC614" s="294"/>
      <c r="MOD614" s="294"/>
      <c r="MOE614" s="294"/>
      <c r="MOF614" s="294"/>
      <c r="MOG614" s="294"/>
      <c r="MOH614" s="294"/>
      <c r="MOI614" s="294"/>
      <c r="MOJ614" s="294"/>
      <c r="MOK614" s="294"/>
      <c r="MOL614" s="294"/>
      <c r="MOM614" s="294"/>
      <c r="MON614" s="294"/>
      <c r="MOO614" s="294"/>
      <c r="MOP614" s="294"/>
      <c r="MOQ614" s="294"/>
      <c r="MOR614" s="294"/>
      <c r="MOS614" s="294"/>
      <c r="MOT614" s="294"/>
      <c r="MOU614" s="294"/>
      <c r="MOV614" s="294"/>
      <c r="MOW614" s="294"/>
      <c r="MOX614" s="294"/>
      <c r="MOY614" s="294"/>
      <c r="MOZ614" s="294"/>
      <c r="MPA614" s="294"/>
      <c r="MPB614" s="294"/>
      <c r="MPC614" s="294"/>
      <c r="MPD614" s="294"/>
      <c r="MPE614" s="294"/>
      <c r="MPF614" s="294"/>
      <c r="MPG614" s="294"/>
      <c r="MPH614" s="294"/>
      <c r="MPI614" s="294"/>
      <c r="MPJ614" s="294"/>
      <c r="MPK614" s="294"/>
      <c r="MPL614" s="294"/>
      <c r="MPM614" s="294"/>
      <c r="MPN614" s="294"/>
      <c r="MPO614" s="294"/>
      <c r="MPP614" s="294"/>
      <c r="MPQ614" s="294"/>
      <c r="MPR614" s="294"/>
      <c r="MPS614" s="294"/>
      <c r="MPT614" s="294"/>
      <c r="MPU614" s="294"/>
      <c r="MPV614" s="294"/>
      <c r="MPW614" s="294"/>
      <c r="MPX614" s="294"/>
      <c r="MPY614" s="294"/>
      <c r="MPZ614" s="294"/>
      <c r="MQA614" s="294"/>
      <c r="MQB614" s="294"/>
      <c r="MQC614" s="294"/>
      <c r="MQD614" s="294"/>
      <c r="MQE614" s="294"/>
      <c r="MQF614" s="294"/>
      <c r="MQG614" s="294"/>
      <c r="MQH614" s="294"/>
      <c r="MQI614" s="294"/>
      <c r="MQJ614" s="294"/>
      <c r="MQK614" s="294"/>
      <c r="MQL614" s="294"/>
      <c r="MQM614" s="294"/>
      <c r="MQN614" s="294"/>
      <c r="MQO614" s="294"/>
      <c r="MQP614" s="294"/>
      <c r="MQQ614" s="294"/>
      <c r="MQR614" s="294"/>
      <c r="MQS614" s="294"/>
      <c r="MQT614" s="294"/>
      <c r="MQU614" s="294"/>
      <c r="MQV614" s="294"/>
      <c r="MQW614" s="294"/>
      <c r="MQX614" s="294"/>
      <c r="MQY614" s="294"/>
      <c r="MQZ614" s="294"/>
      <c r="MRA614" s="294"/>
      <c r="MRB614" s="294"/>
      <c r="MRC614" s="294"/>
      <c r="MRD614" s="294"/>
      <c r="MRE614" s="294"/>
      <c r="MRF614" s="294"/>
      <c r="MRG614" s="294"/>
      <c r="MRH614" s="294"/>
      <c r="MRI614" s="294"/>
      <c r="MRJ614" s="294"/>
      <c r="MRK614" s="294"/>
      <c r="MRL614" s="294"/>
      <c r="MRM614" s="294"/>
      <c r="MRN614" s="294"/>
      <c r="MRO614" s="294"/>
      <c r="MRP614" s="294"/>
      <c r="MRQ614" s="294"/>
      <c r="MRR614" s="294"/>
      <c r="MRS614" s="294"/>
      <c r="MRT614" s="294"/>
      <c r="MRU614" s="294"/>
      <c r="MRV614" s="294"/>
      <c r="MRW614" s="294"/>
      <c r="MRX614" s="294"/>
      <c r="MRY614" s="294"/>
      <c r="MRZ614" s="294"/>
      <c r="MSA614" s="294"/>
      <c r="MSB614" s="294"/>
      <c r="MSC614" s="294"/>
      <c r="MSD614" s="294"/>
      <c r="MSE614" s="294"/>
      <c r="MSF614" s="294"/>
      <c r="MSG614" s="294"/>
      <c r="MSH614" s="294"/>
      <c r="MSI614" s="294"/>
      <c r="MSJ614" s="294"/>
      <c r="MSK614" s="294"/>
      <c r="MSL614" s="294"/>
      <c r="MSM614" s="294"/>
      <c r="MSN614" s="294"/>
      <c r="MSO614" s="294"/>
      <c r="MSP614" s="294"/>
      <c r="MSQ614" s="294"/>
      <c r="MSR614" s="294"/>
      <c r="MSS614" s="294"/>
      <c r="MST614" s="294"/>
      <c r="MSU614" s="294"/>
      <c r="MSV614" s="294"/>
      <c r="MSW614" s="294"/>
      <c r="MSX614" s="294"/>
      <c r="MSY614" s="294"/>
      <c r="MSZ614" s="294"/>
      <c r="MTA614" s="294"/>
      <c r="MTB614" s="294"/>
      <c r="MTC614" s="294"/>
      <c r="MTD614" s="294"/>
      <c r="MTE614" s="294"/>
      <c r="MTF614" s="294"/>
      <c r="MTG614" s="294"/>
      <c r="MTH614" s="294"/>
      <c r="MTI614" s="294"/>
      <c r="MTJ614" s="294"/>
      <c r="MTK614" s="294"/>
      <c r="MTL614" s="294"/>
      <c r="MTM614" s="294"/>
      <c r="MTN614" s="294"/>
      <c r="MTO614" s="294"/>
      <c r="MTP614" s="294"/>
      <c r="MTQ614" s="294"/>
      <c r="MTR614" s="294"/>
      <c r="MTS614" s="294"/>
      <c r="MTT614" s="294"/>
      <c r="MTU614" s="294"/>
      <c r="MTV614" s="294"/>
      <c r="MTW614" s="294"/>
      <c r="MTX614" s="294"/>
      <c r="MTY614" s="294"/>
      <c r="MTZ614" s="294"/>
      <c r="MUA614" s="294"/>
      <c r="MUB614" s="294"/>
      <c r="MUC614" s="294"/>
      <c r="MUD614" s="294"/>
      <c r="MUE614" s="294"/>
      <c r="MUF614" s="294"/>
      <c r="MUG614" s="294"/>
      <c r="MUH614" s="294"/>
      <c r="MUI614" s="294"/>
      <c r="MUJ614" s="294"/>
      <c r="MUK614" s="294"/>
      <c r="MUL614" s="294"/>
      <c r="MUM614" s="294"/>
      <c r="MUN614" s="294"/>
      <c r="MUO614" s="294"/>
      <c r="MUP614" s="294"/>
      <c r="MUQ614" s="294"/>
      <c r="MUR614" s="294"/>
      <c r="MUS614" s="294"/>
      <c r="MUT614" s="294"/>
      <c r="MUU614" s="294"/>
      <c r="MUV614" s="294"/>
      <c r="MUW614" s="294"/>
      <c r="MUX614" s="294"/>
      <c r="MUY614" s="294"/>
      <c r="MUZ614" s="294"/>
      <c r="MVA614" s="294"/>
      <c r="MVB614" s="294"/>
      <c r="MVC614" s="294"/>
      <c r="MVD614" s="294"/>
      <c r="MVE614" s="294"/>
      <c r="MVF614" s="294"/>
      <c r="MVG614" s="294"/>
      <c r="MVH614" s="294"/>
      <c r="MVI614" s="294"/>
      <c r="MVJ614" s="294"/>
      <c r="MVK614" s="294"/>
      <c r="MVL614" s="294"/>
      <c r="MVM614" s="294"/>
      <c r="MVN614" s="294"/>
      <c r="MVO614" s="294"/>
      <c r="MVP614" s="294"/>
      <c r="MVQ614" s="294"/>
      <c r="MVR614" s="294"/>
      <c r="MVS614" s="294"/>
      <c r="MVT614" s="294"/>
      <c r="MVU614" s="294"/>
      <c r="MVV614" s="294"/>
      <c r="MVW614" s="294"/>
      <c r="MVX614" s="294"/>
      <c r="MVY614" s="294"/>
      <c r="MVZ614" s="294"/>
      <c r="MWA614" s="294"/>
      <c r="MWB614" s="294"/>
      <c r="MWC614" s="294"/>
      <c r="MWD614" s="294"/>
      <c r="MWE614" s="294"/>
      <c r="MWF614" s="294"/>
      <c r="MWG614" s="294"/>
      <c r="MWH614" s="294"/>
      <c r="MWI614" s="294"/>
      <c r="MWJ614" s="294"/>
      <c r="MWK614" s="294"/>
      <c r="MWL614" s="294"/>
      <c r="MWM614" s="294"/>
      <c r="MWN614" s="294"/>
      <c r="MWO614" s="294"/>
      <c r="MWP614" s="294"/>
      <c r="MWQ614" s="294"/>
      <c r="MWR614" s="294"/>
      <c r="MWS614" s="294"/>
      <c r="MWT614" s="294"/>
      <c r="MWU614" s="294"/>
      <c r="MWV614" s="294"/>
      <c r="MWW614" s="294"/>
      <c r="MWX614" s="294"/>
      <c r="MWY614" s="294"/>
      <c r="MWZ614" s="294"/>
      <c r="MXA614" s="294"/>
      <c r="MXB614" s="294"/>
      <c r="MXC614" s="294"/>
      <c r="MXD614" s="294"/>
      <c r="MXE614" s="294"/>
      <c r="MXF614" s="294"/>
      <c r="MXG614" s="294"/>
      <c r="MXH614" s="294"/>
      <c r="MXI614" s="294"/>
      <c r="MXJ614" s="294"/>
      <c r="MXK614" s="294"/>
      <c r="MXL614" s="294"/>
      <c r="MXM614" s="294"/>
      <c r="MXN614" s="294"/>
      <c r="MXO614" s="294"/>
      <c r="MXP614" s="294"/>
      <c r="MXQ614" s="294"/>
      <c r="MXR614" s="294"/>
      <c r="MXS614" s="294"/>
      <c r="MXT614" s="294"/>
      <c r="MXU614" s="294"/>
      <c r="MXV614" s="294"/>
      <c r="MXW614" s="294"/>
      <c r="MXX614" s="294"/>
      <c r="MXY614" s="294"/>
      <c r="MXZ614" s="294"/>
      <c r="MYA614" s="294"/>
      <c r="MYB614" s="294"/>
      <c r="MYC614" s="294"/>
      <c r="MYD614" s="294"/>
      <c r="MYE614" s="294"/>
      <c r="MYF614" s="294"/>
      <c r="MYG614" s="294"/>
      <c r="MYH614" s="294"/>
      <c r="MYI614" s="294"/>
      <c r="MYJ614" s="294"/>
      <c r="MYK614" s="294"/>
      <c r="MYL614" s="294"/>
      <c r="MYM614" s="294"/>
      <c r="MYN614" s="294"/>
      <c r="MYO614" s="294"/>
      <c r="MYP614" s="294"/>
      <c r="MYQ614" s="294"/>
      <c r="MYR614" s="294"/>
      <c r="MYS614" s="294"/>
      <c r="MYT614" s="294"/>
      <c r="MYU614" s="294"/>
      <c r="MYV614" s="294"/>
      <c r="MYW614" s="294"/>
      <c r="MYX614" s="294"/>
      <c r="MYY614" s="294"/>
      <c r="MYZ614" s="294"/>
      <c r="MZA614" s="294"/>
      <c r="MZB614" s="294"/>
      <c r="MZC614" s="294"/>
      <c r="MZD614" s="294"/>
      <c r="MZE614" s="294"/>
      <c r="MZF614" s="294"/>
      <c r="MZG614" s="294"/>
      <c r="MZH614" s="294"/>
      <c r="MZI614" s="294"/>
      <c r="MZJ614" s="294"/>
      <c r="MZK614" s="294"/>
      <c r="MZL614" s="294"/>
      <c r="MZM614" s="294"/>
      <c r="MZN614" s="294"/>
      <c r="MZO614" s="294"/>
      <c r="MZP614" s="294"/>
      <c r="MZQ614" s="294"/>
      <c r="MZR614" s="294"/>
      <c r="MZS614" s="294"/>
      <c r="MZT614" s="294"/>
      <c r="MZU614" s="294"/>
      <c r="MZV614" s="294"/>
      <c r="MZW614" s="294"/>
      <c r="MZX614" s="294"/>
      <c r="MZY614" s="294"/>
      <c r="MZZ614" s="294"/>
      <c r="NAA614" s="294"/>
      <c r="NAB614" s="294"/>
      <c r="NAC614" s="294"/>
      <c r="NAD614" s="294"/>
      <c r="NAE614" s="294"/>
      <c r="NAF614" s="294"/>
      <c r="NAG614" s="294"/>
      <c r="NAH614" s="294"/>
      <c r="NAI614" s="294"/>
      <c r="NAJ614" s="294"/>
      <c r="NAK614" s="294"/>
      <c r="NAL614" s="294"/>
      <c r="NAM614" s="294"/>
      <c r="NAN614" s="294"/>
      <c r="NAO614" s="294"/>
      <c r="NAP614" s="294"/>
      <c r="NAQ614" s="294"/>
      <c r="NAR614" s="294"/>
      <c r="NAS614" s="294"/>
      <c r="NAT614" s="294"/>
      <c r="NAU614" s="294"/>
      <c r="NAV614" s="294"/>
      <c r="NAW614" s="294"/>
      <c r="NAX614" s="294"/>
      <c r="NAY614" s="294"/>
      <c r="NAZ614" s="294"/>
      <c r="NBA614" s="294"/>
      <c r="NBB614" s="294"/>
      <c r="NBC614" s="294"/>
      <c r="NBD614" s="294"/>
      <c r="NBE614" s="294"/>
      <c r="NBF614" s="294"/>
      <c r="NBG614" s="294"/>
      <c r="NBH614" s="294"/>
      <c r="NBI614" s="294"/>
      <c r="NBJ614" s="294"/>
      <c r="NBK614" s="294"/>
      <c r="NBL614" s="294"/>
      <c r="NBM614" s="294"/>
      <c r="NBN614" s="294"/>
      <c r="NBO614" s="294"/>
      <c r="NBP614" s="294"/>
      <c r="NBQ614" s="294"/>
      <c r="NBR614" s="294"/>
      <c r="NBS614" s="294"/>
      <c r="NBT614" s="294"/>
      <c r="NBU614" s="294"/>
      <c r="NBV614" s="294"/>
      <c r="NBW614" s="294"/>
      <c r="NBX614" s="294"/>
      <c r="NBY614" s="294"/>
      <c r="NBZ614" s="294"/>
      <c r="NCA614" s="294"/>
      <c r="NCB614" s="294"/>
      <c r="NCC614" s="294"/>
      <c r="NCD614" s="294"/>
      <c r="NCE614" s="294"/>
      <c r="NCF614" s="294"/>
      <c r="NCG614" s="294"/>
      <c r="NCH614" s="294"/>
      <c r="NCI614" s="294"/>
      <c r="NCJ614" s="294"/>
      <c r="NCK614" s="294"/>
      <c r="NCL614" s="294"/>
      <c r="NCM614" s="294"/>
      <c r="NCN614" s="294"/>
      <c r="NCO614" s="294"/>
      <c r="NCP614" s="294"/>
      <c r="NCQ614" s="294"/>
      <c r="NCR614" s="294"/>
      <c r="NCS614" s="294"/>
      <c r="NCT614" s="294"/>
      <c r="NCU614" s="294"/>
      <c r="NCV614" s="294"/>
      <c r="NCW614" s="294"/>
      <c r="NCX614" s="294"/>
      <c r="NCY614" s="294"/>
      <c r="NCZ614" s="294"/>
      <c r="NDA614" s="294"/>
      <c r="NDB614" s="294"/>
      <c r="NDC614" s="294"/>
      <c r="NDD614" s="294"/>
      <c r="NDE614" s="294"/>
      <c r="NDF614" s="294"/>
      <c r="NDG614" s="294"/>
      <c r="NDH614" s="294"/>
      <c r="NDI614" s="294"/>
      <c r="NDJ614" s="294"/>
      <c r="NDK614" s="294"/>
      <c r="NDL614" s="294"/>
      <c r="NDM614" s="294"/>
      <c r="NDN614" s="294"/>
      <c r="NDO614" s="294"/>
      <c r="NDP614" s="294"/>
      <c r="NDQ614" s="294"/>
      <c r="NDR614" s="294"/>
      <c r="NDS614" s="294"/>
      <c r="NDT614" s="294"/>
      <c r="NDU614" s="294"/>
      <c r="NDV614" s="294"/>
      <c r="NDW614" s="294"/>
      <c r="NDX614" s="294"/>
      <c r="NDY614" s="294"/>
      <c r="NDZ614" s="294"/>
      <c r="NEA614" s="294"/>
      <c r="NEB614" s="294"/>
      <c r="NEC614" s="294"/>
      <c r="NED614" s="294"/>
      <c r="NEE614" s="294"/>
      <c r="NEF614" s="294"/>
      <c r="NEG614" s="294"/>
      <c r="NEH614" s="294"/>
      <c r="NEI614" s="294"/>
      <c r="NEJ614" s="294"/>
      <c r="NEK614" s="294"/>
      <c r="NEL614" s="294"/>
      <c r="NEM614" s="294"/>
      <c r="NEN614" s="294"/>
      <c r="NEO614" s="294"/>
      <c r="NEP614" s="294"/>
      <c r="NEQ614" s="294"/>
      <c r="NER614" s="294"/>
      <c r="NES614" s="294"/>
      <c r="NET614" s="294"/>
      <c r="NEU614" s="294"/>
      <c r="NEV614" s="294"/>
      <c r="NEW614" s="294"/>
      <c r="NEX614" s="294"/>
      <c r="NEY614" s="294"/>
      <c r="NEZ614" s="294"/>
      <c r="NFA614" s="294"/>
      <c r="NFB614" s="294"/>
      <c r="NFC614" s="294"/>
      <c r="NFD614" s="294"/>
      <c r="NFE614" s="294"/>
      <c r="NFF614" s="294"/>
      <c r="NFG614" s="294"/>
      <c r="NFH614" s="294"/>
      <c r="NFI614" s="294"/>
      <c r="NFJ614" s="294"/>
      <c r="NFK614" s="294"/>
      <c r="NFL614" s="294"/>
      <c r="NFM614" s="294"/>
      <c r="NFN614" s="294"/>
      <c r="NFO614" s="294"/>
      <c r="NFP614" s="294"/>
      <c r="NFQ614" s="294"/>
      <c r="NFR614" s="294"/>
      <c r="NFS614" s="294"/>
      <c r="NFT614" s="294"/>
      <c r="NFU614" s="294"/>
      <c r="NFV614" s="294"/>
      <c r="NFW614" s="294"/>
      <c r="NFX614" s="294"/>
      <c r="NFY614" s="294"/>
      <c r="NFZ614" s="294"/>
      <c r="NGA614" s="294"/>
      <c r="NGB614" s="294"/>
      <c r="NGC614" s="294"/>
      <c r="NGD614" s="294"/>
      <c r="NGE614" s="294"/>
      <c r="NGF614" s="294"/>
      <c r="NGG614" s="294"/>
      <c r="NGH614" s="294"/>
      <c r="NGI614" s="294"/>
      <c r="NGJ614" s="294"/>
      <c r="NGK614" s="294"/>
      <c r="NGL614" s="294"/>
      <c r="NGM614" s="294"/>
      <c r="NGN614" s="294"/>
      <c r="NGO614" s="294"/>
      <c r="NGP614" s="294"/>
      <c r="NGQ614" s="294"/>
      <c r="NGR614" s="294"/>
      <c r="NGS614" s="294"/>
      <c r="NGT614" s="294"/>
      <c r="NGU614" s="294"/>
      <c r="NGV614" s="294"/>
      <c r="NGW614" s="294"/>
      <c r="NGX614" s="294"/>
      <c r="NGY614" s="294"/>
      <c r="NGZ614" s="294"/>
      <c r="NHA614" s="294"/>
      <c r="NHB614" s="294"/>
      <c r="NHC614" s="294"/>
      <c r="NHD614" s="294"/>
      <c r="NHE614" s="294"/>
      <c r="NHF614" s="294"/>
      <c r="NHG614" s="294"/>
      <c r="NHH614" s="294"/>
      <c r="NHI614" s="294"/>
      <c r="NHJ614" s="294"/>
      <c r="NHK614" s="294"/>
      <c r="NHL614" s="294"/>
      <c r="NHM614" s="294"/>
      <c r="NHN614" s="294"/>
      <c r="NHO614" s="294"/>
      <c r="NHP614" s="294"/>
      <c r="NHQ614" s="294"/>
      <c r="NHR614" s="294"/>
      <c r="NHS614" s="294"/>
      <c r="NHT614" s="294"/>
      <c r="NHU614" s="294"/>
      <c r="NHV614" s="294"/>
      <c r="NHW614" s="294"/>
      <c r="NHX614" s="294"/>
      <c r="NHY614" s="294"/>
      <c r="NHZ614" s="294"/>
      <c r="NIA614" s="294"/>
      <c r="NIB614" s="294"/>
      <c r="NIC614" s="294"/>
      <c r="NID614" s="294"/>
      <c r="NIE614" s="294"/>
      <c r="NIF614" s="294"/>
      <c r="NIG614" s="294"/>
      <c r="NIH614" s="294"/>
      <c r="NII614" s="294"/>
      <c r="NIJ614" s="294"/>
      <c r="NIK614" s="294"/>
      <c r="NIL614" s="294"/>
      <c r="NIM614" s="294"/>
      <c r="NIN614" s="294"/>
      <c r="NIO614" s="294"/>
      <c r="NIP614" s="294"/>
      <c r="NIQ614" s="294"/>
      <c r="NIR614" s="294"/>
      <c r="NIS614" s="294"/>
      <c r="NIT614" s="294"/>
      <c r="NIU614" s="294"/>
      <c r="NIV614" s="294"/>
      <c r="NIW614" s="294"/>
      <c r="NIX614" s="294"/>
      <c r="NIY614" s="294"/>
      <c r="NIZ614" s="294"/>
      <c r="NJA614" s="294"/>
      <c r="NJB614" s="294"/>
      <c r="NJC614" s="294"/>
      <c r="NJD614" s="294"/>
      <c r="NJE614" s="294"/>
      <c r="NJF614" s="294"/>
      <c r="NJG614" s="294"/>
      <c r="NJH614" s="294"/>
      <c r="NJI614" s="294"/>
      <c r="NJJ614" s="294"/>
      <c r="NJK614" s="294"/>
      <c r="NJL614" s="294"/>
      <c r="NJM614" s="294"/>
      <c r="NJN614" s="294"/>
      <c r="NJO614" s="294"/>
      <c r="NJP614" s="294"/>
      <c r="NJQ614" s="294"/>
      <c r="NJR614" s="294"/>
      <c r="NJS614" s="294"/>
      <c r="NJT614" s="294"/>
      <c r="NJU614" s="294"/>
      <c r="NJV614" s="294"/>
      <c r="NJW614" s="294"/>
      <c r="NJX614" s="294"/>
      <c r="NJY614" s="294"/>
      <c r="NJZ614" s="294"/>
      <c r="NKA614" s="294"/>
      <c r="NKB614" s="294"/>
      <c r="NKC614" s="294"/>
      <c r="NKD614" s="294"/>
      <c r="NKE614" s="294"/>
      <c r="NKF614" s="294"/>
      <c r="NKG614" s="294"/>
      <c r="NKH614" s="294"/>
      <c r="NKI614" s="294"/>
      <c r="NKJ614" s="294"/>
      <c r="NKK614" s="294"/>
      <c r="NKL614" s="294"/>
      <c r="NKM614" s="294"/>
      <c r="NKN614" s="294"/>
      <c r="NKO614" s="294"/>
      <c r="NKP614" s="294"/>
      <c r="NKQ614" s="294"/>
      <c r="NKR614" s="294"/>
      <c r="NKS614" s="294"/>
      <c r="NKT614" s="294"/>
      <c r="NKU614" s="294"/>
      <c r="NKV614" s="294"/>
      <c r="NKW614" s="294"/>
      <c r="NKX614" s="294"/>
      <c r="NKY614" s="294"/>
      <c r="NKZ614" s="294"/>
      <c r="NLA614" s="294"/>
      <c r="NLB614" s="294"/>
      <c r="NLC614" s="294"/>
      <c r="NLD614" s="294"/>
      <c r="NLE614" s="294"/>
      <c r="NLF614" s="294"/>
      <c r="NLG614" s="294"/>
      <c r="NLH614" s="294"/>
      <c r="NLI614" s="294"/>
      <c r="NLJ614" s="294"/>
      <c r="NLK614" s="294"/>
      <c r="NLL614" s="294"/>
      <c r="NLM614" s="294"/>
      <c r="NLN614" s="294"/>
      <c r="NLO614" s="294"/>
      <c r="NLP614" s="294"/>
      <c r="NLQ614" s="294"/>
      <c r="NLR614" s="294"/>
      <c r="NLS614" s="294"/>
      <c r="NLT614" s="294"/>
      <c r="NLU614" s="294"/>
      <c r="NLV614" s="294"/>
      <c r="NLW614" s="294"/>
      <c r="NLX614" s="294"/>
      <c r="NLY614" s="294"/>
      <c r="NLZ614" s="294"/>
      <c r="NMA614" s="294"/>
      <c r="NMB614" s="294"/>
      <c r="NMC614" s="294"/>
      <c r="NMD614" s="294"/>
      <c r="NME614" s="294"/>
      <c r="NMF614" s="294"/>
      <c r="NMG614" s="294"/>
      <c r="NMH614" s="294"/>
      <c r="NMI614" s="294"/>
      <c r="NMJ614" s="294"/>
      <c r="NMK614" s="294"/>
      <c r="NML614" s="294"/>
      <c r="NMM614" s="294"/>
      <c r="NMN614" s="294"/>
      <c r="NMO614" s="294"/>
      <c r="NMP614" s="294"/>
      <c r="NMQ614" s="294"/>
      <c r="NMR614" s="294"/>
      <c r="NMS614" s="294"/>
      <c r="NMT614" s="294"/>
      <c r="NMU614" s="294"/>
      <c r="NMV614" s="294"/>
      <c r="NMW614" s="294"/>
      <c r="NMX614" s="294"/>
      <c r="NMY614" s="294"/>
      <c r="NMZ614" s="294"/>
      <c r="NNA614" s="294"/>
      <c r="NNB614" s="294"/>
      <c r="NNC614" s="294"/>
      <c r="NND614" s="294"/>
      <c r="NNE614" s="294"/>
      <c r="NNF614" s="294"/>
      <c r="NNG614" s="294"/>
      <c r="NNH614" s="294"/>
      <c r="NNI614" s="294"/>
      <c r="NNJ614" s="294"/>
      <c r="NNK614" s="294"/>
      <c r="NNL614" s="294"/>
      <c r="NNM614" s="294"/>
      <c r="NNN614" s="294"/>
      <c r="NNO614" s="294"/>
      <c r="NNP614" s="294"/>
      <c r="NNQ614" s="294"/>
      <c r="NNR614" s="294"/>
      <c r="NNS614" s="294"/>
      <c r="NNT614" s="294"/>
      <c r="NNU614" s="294"/>
      <c r="NNV614" s="294"/>
      <c r="NNW614" s="294"/>
      <c r="NNX614" s="294"/>
      <c r="NNY614" s="294"/>
      <c r="NNZ614" s="294"/>
      <c r="NOA614" s="294"/>
      <c r="NOB614" s="294"/>
      <c r="NOC614" s="294"/>
      <c r="NOD614" s="294"/>
      <c r="NOE614" s="294"/>
      <c r="NOF614" s="294"/>
      <c r="NOG614" s="294"/>
      <c r="NOH614" s="294"/>
      <c r="NOI614" s="294"/>
      <c r="NOJ614" s="294"/>
      <c r="NOK614" s="294"/>
      <c r="NOL614" s="294"/>
      <c r="NOM614" s="294"/>
      <c r="NON614" s="294"/>
      <c r="NOO614" s="294"/>
      <c r="NOP614" s="294"/>
      <c r="NOQ614" s="294"/>
      <c r="NOR614" s="294"/>
      <c r="NOS614" s="294"/>
      <c r="NOT614" s="294"/>
      <c r="NOU614" s="294"/>
      <c r="NOV614" s="294"/>
      <c r="NOW614" s="294"/>
      <c r="NOX614" s="294"/>
      <c r="NOY614" s="294"/>
      <c r="NOZ614" s="294"/>
      <c r="NPA614" s="294"/>
      <c r="NPB614" s="294"/>
      <c r="NPC614" s="294"/>
      <c r="NPD614" s="294"/>
      <c r="NPE614" s="294"/>
      <c r="NPF614" s="294"/>
      <c r="NPG614" s="294"/>
      <c r="NPH614" s="294"/>
      <c r="NPI614" s="294"/>
      <c r="NPJ614" s="294"/>
      <c r="NPK614" s="294"/>
      <c r="NPL614" s="294"/>
      <c r="NPM614" s="294"/>
      <c r="NPN614" s="294"/>
      <c r="NPO614" s="294"/>
      <c r="NPP614" s="294"/>
      <c r="NPQ614" s="294"/>
      <c r="NPR614" s="294"/>
      <c r="NPS614" s="294"/>
      <c r="NPT614" s="294"/>
      <c r="NPU614" s="294"/>
      <c r="NPV614" s="294"/>
      <c r="NPW614" s="294"/>
      <c r="NPX614" s="294"/>
      <c r="NPY614" s="294"/>
      <c r="NPZ614" s="294"/>
      <c r="NQA614" s="294"/>
      <c r="NQB614" s="294"/>
      <c r="NQC614" s="294"/>
      <c r="NQD614" s="294"/>
      <c r="NQE614" s="294"/>
      <c r="NQF614" s="294"/>
      <c r="NQG614" s="294"/>
      <c r="NQH614" s="294"/>
      <c r="NQI614" s="294"/>
      <c r="NQJ614" s="294"/>
      <c r="NQK614" s="294"/>
      <c r="NQL614" s="294"/>
      <c r="NQM614" s="294"/>
      <c r="NQN614" s="294"/>
      <c r="NQO614" s="294"/>
      <c r="NQP614" s="294"/>
      <c r="NQQ614" s="294"/>
      <c r="NQR614" s="294"/>
      <c r="NQS614" s="294"/>
      <c r="NQT614" s="294"/>
      <c r="NQU614" s="294"/>
      <c r="NQV614" s="294"/>
      <c r="NQW614" s="294"/>
      <c r="NQX614" s="294"/>
      <c r="NQY614" s="294"/>
      <c r="NQZ614" s="294"/>
      <c r="NRA614" s="294"/>
      <c r="NRB614" s="294"/>
      <c r="NRC614" s="294"/>
      <c r="NRD614" s="294"/>
      <c r="NRE614" s="294"/>
      <c r="NRF614" s="294"/>
      <c r="NRG614" s="294"/>
      <c r="NRH614" s="294"/>
      <c r="NRI614" s="294"/>
      <c r="NRJ614" s="294"/>
      <c r="NRK614" s="294"/>
      <c r="NRL614" s="294"/>
      <c r="NRM614" s="294"/>
      <c r="NRN614" s="294"/>
      <c r="NRO614" s="294"/>
      <c r="NRP614" s="294"/>
      <c r="NRQ614" s="294"/>
      <c r="NRR614" s="294"/>
      <c r="NRS614" s="294"/>
      <c r="NRT614" s="294"/>
      <c r="NRU614" s="294"/>
      <c r="NRV614" s="294"/>
      <c r="NRW614" s="294"/>
      <c r="NRX614" s="294"/>
      <c r="NRY614" s="294"/>
      <c r="NRZ614" s="294"/>
      <c r="NSA614" s="294"/>
      <c r="NSB614" s="294"/>
      <c r="NSC614" s="294"/>
      <c r="NSD614" s="294"/>
      <c r="NSE614" s="294"/>
      <c r="NSF614" s="294"/>
      <c r="NSG614" s="294"/>
      <c r="NSH614" s="294"/>
      <c r="NSI614" s="294"/>
      <c r="NSJ614" s="294"/>
      <c r="NSK614" s="294"/>
      <c r="NSL614" s="294"/>
      <c r="NSM614" s="294"/>
      <c r="NSN614" s="294"/>
      <c r="NSO614" s="294"/>
      <c r="NSP614" s="294"/>
      <c r="NSQ614" s="294"/>
      <c r="NSR614" s="294"/>
      <c r="NSS614" s="294"/>
      <c r="NST614" s="294"/>
      <c r="NSU614" s="294"/>
      <c r="NSV614" s="294"/>
      <c r="NSW614" s="294"/>
      <c r="NSX614" s="294"/>
      <c r="NSY614" s="294"/>
      <c r="NSZ614" s="294"/>
      <c r="NTA614" s="294"/>
      <c r="NTB614" s="294"/>
      <c r="NTC614" s="294"/>
      <c r="NTD614" s="294"/>
      <c r="NTE614" s="294"/>
      <c r="NTF614" s="294"/>
      <c r="NTG614" s="294"/>
      <c r="NTH614" s="294"/>
      <c r="NTI614" s="294"/>
      <c r="NTJ614" s="294"/>
      <c r="NTK614" s="294"/>
      <c r="NTL614" s="294"/>
      <c r="NTM614" s="294"/>
      <c r="NTN614" s="294"/>
      <c r="NTO614" s="294"/>
      <c r="NTP614" s="294"/>
      <c r="NTQ614" s="294"/>
      <c r="NTR614" s="294"/>
      <c r="NTS614" s="294"/>
      <c r="NTT614" s="294"/>
      <c r="NTU614" s="294"/>
      <c r="NTV614" s="294"/>
      <c r="NTW614" s="294"/>
      <c r="NTX614" s="294"/>
      <c r="NTY614" s="294"/>
      <c r="NTZ614" s="294"/>
      <c r="NUA614" s="294"/>
      <c r="NUB614" s="294"/>
      <c r="NUC614" s="294"/>
      <c r="NUD614" s="294"/>
      <c r="NUE614" s="294"/>
      <c r="NUF614" s="294"/>
      <c r="NUG614" s="294"/>
      <c r="NUH614" s="294"/>
      <c r="NUI614" s="294"/>
      <c r="NUJ614" s="294"/>
      <c r="NUK614" s="294"/>
      <c r="NUL614" s="294"/>
      <c r="NUM614" s="294"/>
      <c r="NUN614" s="294"/>
      <c r="NUO614" s="294"/>
      <c r="NUP614" s="294"/>
      <c r="NUQ614" s="294"/>
      <c r="NUR614" s="294"/>
      <c r="NUS614" s="294"/>
      <c r="NUT614" s="294"/>
      <c r="NUU614" s="294"/>
      <c r="NUV614" s="294"/>
      <c r="NUW614" s="294"/>
      <c r="NUX614" s="294"/>
      <c r="NUY614" s="294"/>
      <c r="NUZ614" s="294"/>
      <c r="NVA614" s="294"/>
      <c r="NVB614" s="294"/>
      <c r="NVC614" s="294"/>
      <c r="NVD614" s="294"/>
      <c r="NVE614" s="294"/>
      <c r="NVF614" s="294"/>
      <c r="NVG614" s="294"/>
      <c r="NVH614" s="294"/>
      <c r="NVI614" s="294"/>
      <c r="NVJ614" s="294"/>
      <c r="NVK614" s="294"/>
      <c r="NVL614" s="294"/>
      <c r="NVM614" s="294"/>
      <c r="NVN614" s="294"/>
      <c r="NVO614" s="294"/>
      <c r="NVP614" s="294"/>
      <c r="NVQ614" s="294"/>
      <c r="NVR614" s="294"/>
      <c r="NVS614" s="294"/>
      <c r="NVT614" s="294"/>
      <c r="NVU614" s="294"/>
      <c r="NVV614" s="294"/>
      <c r="NVW614" s="294"/>
      <c r="NVX614" s="294"/>
      <c r="NVY614" s="294"/>
      <c r="NVZ614" s="294"/>
      <c r="NWA614" s="294"/>
      <c r="NWB614" s="294"/>
      <c r="NWC614" s="294"/>
      <c r="NWD614" s="294"/>
      <c r="NWE614" s="294"/>
      <c r="NWF614" s="294"/>
      <c r="NWG614" s="294"/>
      <c r="NWH614" s="294"/>
      <c r="NWI614" s="294"/>
      <c r="NWJ614" s="294"/>
      <c r="NWK614" s="294"/>
      <c r="NWL614" s="294"/>
      <c r="NWM614" s="294"/>
      <c r="NWN614" s="294"/>
      <c r="NWO614" s="294"/>
      <c r="NWP614" s="294"/>
      <c r="NWQ614" s="294"/>
      <c r="NWR614" s="294"/>
      <c r="NWS614" s="294"/>
      <c r="NWT614" s="294"/>
      <c r="NWU614" s="294"/>
      <c r="NWV614" s="294"/>
      <c r="NWW614" s="294"/>
      <c r="NWX614" s="294"/>
      <c r="NWY614" s="294"/>
      <c r="NWZ614" s="294"/>
      <c r="NXA614" s="294"/>
      <c r="NXB614" s="294"/>
      <c r="NXC614" s="294"/>
      <c r="NXD614" s="294"/>
      <c r="NXE614" s="294"/>
      <c r="NXF614" s="294"/>
      <c r="NXG614" s="294"/>
      <c r="NXH614" s="294"/>
      <c r="NXI614" s="294"/>
      <c r="NXJ614" s="294"/>
      <c r="NXK614" s="294"/>
      <c r="NXL614" s="294"/>
      <c r="NXM614" s="294"/>
      <c r="NXN614" s="294"/>
      <c r="NXO614" s="294"/>
      <c r="NXP614" s="294"/>
      <c r="NXQ614" s="294"/>
      <c r="NXR614" s="294"/>
      <c r="NXS614" s="294"/>
      <c r="NXT614" s="294"/>
      <c r="NXU614" s="294"/>
      <c r="NXV614" s="294"/>
      <c r="NXW614" s="294"/>
      <c r="NXX614" s="294"/>
      <c r="NXY614" s="294"/>
      <c r="NXZ614" s="294"/>
      <c r="NYA614" s="294"/>
      <c r="NYB614" s="294"/>
      <c r="NYC614" s="294"/>
      <c r="NYD614" s="294"/>
      <c r="NYE614" s="294"/>
      <c r="NYF614" s="294"/>
      <c r="NYG614" s="294"/>
      <c r="NYH614" s="294"/>
      <c r="NYI614" s="294"/>
      <c r="NYJ614" s="294"/>
      <c r="NYK614" s="294"/>
      <c r="NYL614" s="294"/>
      <c r="NYM614" s="294"/>
      <c r="NYN614" s="294"/>
      <c r="NYO614" s="294"/>
      <c r="NYP614" s="294"/>
      <c r="NYQ614" s="294"/>
      <c r="NYR614" s="294"/>
      <c r="NYS614" s="294"/>
      <c r="NYT614" s="294"/>
      <c r="NYU614" s="294"/>
      <c r="NYV614" s="294"/>
      <c r="NYW614" s="294"/>
      <c r="NYX614" s="294"/>
      <c r="NYY614" s="294"/>
      <c r="NYZ614" s="294"/>
      <c r="NZA614" s="294"/>
      <c r="NZB614" s="294"/>
      <c r="NZC614" s="294"/>
      <c r="NZD614" s="294"/>
      <c r="NZE614" s="294"/>
      <c r="NZF614" s="294"/>
      <c r="NZG614" s="294"/>
      <c r="NZH614" s="294"/>
      <c r="NZI614" s="294"/>
      <c r="NZJ614" s="294"/>
      <c r="NZK614" s="294"/>
      <c r="NZL614" s="294"/>
      <c r="NZM614" s="294"/>
      <c r="NZN614" s="294"/>
      <c r="NZO614" s="294"/>
      <c r="NZP614" s="294"/>
      <c r="NZQ614" s="294"/>
      <c r="NZR614" s="294"/>
      <c r="NZS614" s="294"/>
      <c r="NZT614" s="294"/>
      <c r="NZU614" s="294"/>
      <c r="NZV614" s="294"/>
      <c r="NZW614" s="294"/>
      <c r="NZX614" s="294"/>
      <c r="NZY614" s="294"/>
      <c r="NZZ614" s="294"/>
      <c r="OAA614" s="294"/>
      <c r="OAB614" s="294"/>
      <c r="OAC614" s="294"/>
      <c r="OAD614" s="294"/>
      <c r="OAE614" s="294"/>
      <c r="OAF614" s="294"/>
      <c r="OAG614" s="294"/>
      <c r="OAH614" s="294"/>
      <c r="OAI614" s="294"/>
      <c r="OAJ614" s="294"/>
      <c r="OAK614" s="294"/>
      <c r="OAL614" s="294"/>
      <c r="OAM614" s="294"/>
      <c r="OAN614" s="294"/>
      <c r="OAO614" s="294"/>
      <c r="OAP614" s="294"/>
      <c r="OAQ614" s="294"/>
      <c r="OAR614" s="294"/>
      <c r="OAS614" s="294"/>
      <c r="OAT614" s="294"/>
      <c r="OAU614" s="294"/>
      <c r="OAV614" s="294"/>
      <c r="OAW614" s="294"/>
      <c r="OAX614" s="294"/>
      <c r="OAY614" s="294"/>
      <c r="OAZ614" s="294"/>
      <c r="OBA614" s="294"/>
      <c r="OBB614" s="294"/>
      <c r="OBC614" s="294"/>
      <c r="OBD614" s="294"/>
      <c r="OBE614" s="294"/>
      <c r="OBF614" s="294"/>
      <c r="OBG614" s="294"/>
      <c r="OBH614" s="294"/>
      <c r="OBI614" s="294"/>
      <c r="OBJ614" s="294"/>
      <c r="OBK614" s="294"/>
      <c r="OBL614" s="294"/>
      <c r="OBM614" s="294"/>
      <c r="OBN614" s="294"/>
      <c r="OBO614" s="294"/>
      <c r="OBP614" s="294"/>
      <c r="OBQ614" s="294"/>
      <c r="OBR614" s="294"/>
      <c r="OBS614" s="294"/>
      <c r="OBT614" s="294"/>
      <c r="OBU614" s="294"/>
      <c r="OBV614" s="294"/>
      <c r="OBW614" s="294"/>
      <c r="OBX614" s="294"/>
      <c r="OBY614" s="294"/>
      <c r="OBZ614" s="294"/>
      <c r="OCA614" s="294"/>
      <c r="OCB614" s="294"/>
      <c r="OCC614" s="294"/>
      <c r="OCD614" s="294"/>
      <c r="OCE614" s="294"/>
      <c r="OCF614" s="294"/>
      <c r="OCG614" s="294"/>
      <c r="OCH614" s="294"/>
      <c r="OCI614" s="294"/>
      <c r="OCJ614" s="294"/>
      <c r="OCK614" s="294"/>
      <c r="OCL614" s="294"/>
      <c r="OCM614" s="294"/>
      <c r="OCN614" s="294"/>
      <c r="OCO614" s="294"/>
      <c r="OCP614" s="294"/>
      <c r="OCQ614" s="294"/>
      <c r="OCR614" s="294"/>
      <c r="OCS614" s="294"/>
      <c r="OCT614" s="294"/>
      <c r="OCU614" s="294"/>
      <c r="OCV614" s="294"/>
      <c r="OCW614" s="294"/>
      <c r="OCX614" s="294"/>
      <c r="OCY614" s="294"/>
      <c r="OCZ614" s="294"/>
      <c r="ODA614" s="294"/>
      <c r="ODB614" s="294"/>
      <c r="ODC614" s="294"/>
      <c r="ODD614" s="294"/>
      <c r="ODE614" s="294"/>
      <c r="ODF614" s="294"/>
      <c r="ODG614" s="294"/>
      <c r="ODH614" s="294"/>
      <c r="ODI614" s="294"/>
      <c r="ODJ614" s="294"/>
      <c r="ODK614" s="294"/>
      <c r="ODL614" s="294"/>
      <c r="ODM614" s="294"/>
      <c r="ODN614" s="294"/>
      <c r="ODO614" s="294"/>
      <c r="ODP614" s="294"/>
      <c r="ODQ614" s="294"/>
      <c r="ODR614" s="294"/>
      <c r="ODS614" s="294"/>
      <c r="ODT614" s="294"/>
      <c r="ODU614" s="294"/>
      <c r="ODV614" s="294"/>
      <c r="ODW614" s="294"/>
      <c r="ODX614" s="294"/>
      <c r="ODY614" s="294"/>
      <c r="ODZ614" s="294"/>
      <c r="OEA614" s="294"/>
      <c r="OEB614" s="294"/>
      <c r="OEC614" s="294"/>
      <c r="OED614" s="294"/>
      <c r="OEE614" s="294"/>
      <c r="OEF614" s="294"/>
      <c r="OEG614" s="294"/>
      <c r="OEH614" s="294"/>
      <c r="OEI614" s="294"/>
      <c r="OEJ614" s="294"/>
      <c r="OEK614" s="294"/>
      <c r="OEL614" s="294"/>
      <c r="OEM614" s="294"/>
      <c r="OEN614" s="294"/>
      <c r="OEO614" s="294"/>
      <c r="OEP614" s="294"/>
      <c r="OEQ614" s="294"/>
      <c r="OER614" s="294"/>
      <c r="OES614" s="294"/>
      <c r="OET614" s="294"/>
      <c r="OEU614" s="294"/>
      <c r="OEV614" s="294"/>
      <c r="OEW614" s="294"/>
      <c r="OEX614" s="294"/>
      <c r="OEY614" s="294"/>
      <c r="OEZ614" s="294"/>
      <c r="OFA614" s="294"/>
      <c r="OFB614" s="294"/>
      <c r="OFC614" s="294"/>
      <c r="OFD614" s="294"/>
      <c r="OFE614" s="294"/>
      <c r="OFF614" s="294"/>
      <c r="OFG614" s="294"/>
      <c r="OFH614" s="294"/>
      <c r="OFI614" s="294"/>
      <c r="OFJ614" s="294"/>
      <c r="OFK614" s="294"/>
      <c r="OFL614" s="294"/>
      <c r="OFM614" s="294"/>
      <c r="OFN614" s="294"/>
      <c r="OFO614" s="294"/>
      <c r="OFP614" s="294"/>
      <c r="OFQ614" s="294"/>
      <c r="OFR614" s="294"/>
      <c r="OFS614" s="294"/>
      <c r="OFT614" s="294"/>
      <c r="OFU614" s="294"/>
      <c r="OFV614" s="294"/>
      <c r="OFW614" s="294"/>
      <c r="OFX614" s="294"/>
      <c r="OFY614" s="294"/>
      <c r="OFZ614" s="294"/>
      <c r="OGA614" s="294"/>
      <c r="OGB614" s="294"/>
      <c r="OGC614" s="294"/>
      <c r="OGD614" s="294"/>
      <c r="OGE614" s="294"/>
      <c r="OGF614" s="294"/>
      <c r="OGG614" s="294"/>
      <c r="OGH614" s="294"/>
      <c r="OGI614" s="294"/>
      <c r="OGJ614" s="294"/>
      <c r="OGK614" s="294"/>
      <c r="OGL614" s="294"/>
      <c r="OGM614" s="294"/>
      <c r="OGN614" s="294"/>
      <c r="OGO614" s="294"/>
      <c r="OGP614" s="294"/>
      <c r="OGQ614" s="294"/>
      <c r="OGR614" s="294"/>
      <c r="OGS614" s="294"/>
      <c r="OGT614" s="294"/>
      <c r="OGU614" s="294"/>
      <c r="OGV614" s="294"/>
      <c r="OGW614" s="294"/>
      <c r="OGX614" s="294"/>
      <c r="OGY614" s="294"/>
      <c r="OGZ614" s="294"/>
      <c r="OHA614" s="294"/>
      <c r="OHB614" s="294"/>
      <c r="OHC614" s="294"/>
      <c r="OHD614" s="294"/>
      <c r="OHE614" s="294"/>
      <c r="OHF614" s="294"/>
      <c r="OHG614" s="294"/>
      <c r="OHH614" s="294"/>
      <c r="OHI614" s="294"/>
      <c r="OHJ614" s="294"/>
      <c r="OHK614" s="294"/>
      <c r="OHL614" s="294"/>
      <c r="OHM614" s="294"/>
      <c r="OHN614" s="294"/>
      <c r="OHO614" s="294"/>
      <c r="OHP614" s="294"/>
      <c r="OHQ614" s="294"/>
      <c r="OHR614" s="294"/>
      <c r="OHS614" s="294"/>
      <c r="OHT614" s="294"/>
      <c r="OHU614" s="294"/>
      <c r="OHV614" s="294"/>
      <c r="OHW614" s="294"/>
      <c r="OHX614" s="294"/>
      <c r="OHY614" s="294"/>
      <c r="OHZ614" s="294"/>
      <c r="OIA614" s="294"/>
      <c r="OIB614" s="294"/>
      <c r="OIC614" s="294"/>
      <c r="OID614" s="294"/>
      <c r="OIE614" s="294"/>
      <c r="OIF614" s="294"/>
      <c r="OIG614" s="294"/>
      <c r="OIH614" s="294"/>
      <c r="OII614" s="294"/>
      <c r="OIJ614" s="294"/>
      <c r="OIK614" s="294"/>
      <c r="OIL614" s="294"/>
      <c r="OIM614" s="294"/>
      <c r="OIN614" s="294"/>
      <c r="OIO614" s="294"/>
      <c r="OIP614" s="294"/>
      <c r="OIQ614" s="294"/>
      <c r="OIR614" s="294"/>
      <c r="OIS614" s="294"/>
      <c r="OIT614" s="294"/>
      <c r="OIU614" s="294"/>
      <c r="OIV614" s="294"/>
      <c r="OIW614" s="294"/>
      <c r="OIX614" s="294"/>
      <c r="OIY614" s="294"/>
      <c r="OIZ614" s="294"/>
      <c r="OJA614" s="294"/>
      <c r="OJB614" s="294"/>
      <c r="OJC614" s="294"/>
      <c r="OJD614" s="294"/>
      <c r="OJE614" s="294"/>
      <c r="OJF614" s="294"/>
      <c r="OJG614" s="294"/>
      <c r="OJH614" s="294"/>
      <c r="OJI614" s="294"/>
      <c r="OJJ614" s="294"/>
      <c r="OJK614" s="294"/>
      <c r="OJL614" s="294"/>
      <c r="OJM614" s="294"/>
      <c r="OJN614" s="294"/>
      <c r="OJO614" s="294"/>
      <c r="OJP614" s="294"/>
      <c r="OJQ614" s="294"/>
      <c r="OJR614" s="294"/>
      <c r="OJS614" s="294"/>
      <c r="OJT614" s="294"/>
      <c r="OJU614" s="294"/>
      <c r="OJV614" s="294"/>
      <c r="OJW614" s="294"/>
      <c r="OJX614" s="294"/>
      <c r="OJY614" s="294"/>
      <c r="OJZ614" s="294"/>
      <c r="OKA614" s="294"/>
      <c r="OKB614" s="294"/>
      <c r="OKC614" s="294"/>
      <c r="OKD614" s="294"/>
      <c r="OKE614" s="294"/>
      <c r="OKF614" s="294"/>
      <c r="OKG614" s="294"/>
      <c r="OKH614" s="294"/>
      <c r="OKI614" s="294"/>
      <c r="OKJ614" s="294"/>
      <c r="OKK614" s="294"/>
      <c r="OKL614" s="294"/>
      <c r="OKM614" s="294"/>
      <c r="OKN614" s="294"/>
      <c r="OKO614" s="294"/>
      <c r="OKP614" s="294"/>
      <c r="OKQ614" s="294"/>
      <c r="OKR614" s="294"/>
      <c r="OKS614" s="294"/>
      <c r="OKT614" s="294"/>
      <c r="OKU614" s="294"/>
      <c r="OKV614" s="294"/>
      <c r="OKW614" s="294"/>
      <c r="OKX614" s="294"/>
      <c r="OKY614" s="294"/>
      <c r="OKZ614" s="294"/>
      <c r="OLA614" s="294"/>
      <c r="OLB614" s="294"/>
      <c r="OLC614" s="294"/>
      <c r="OLD614" s="294"/>
      <c r="OLE614" s="294"/>
      <c r="OLF614" s="294"/>
      <c r="OLG614" s="294"/>
      <c r="OLH614" s="294"/>
      <c r="OLI614" s="294"/>
      <c r="OLJ614" s="294"/>
      <c r="OLK614" s="294"/>
      <c r="OLL614" s="294"/>
      <c r="OLM614" s="294"/>
      <c r="OLN614" s="294"/>
      <c r="OLO614" s="294"/>
      <c r="OLP614" s="294"/>
      <c r="OLQ614" s="294"/>
      <c r="OLR614" s="294"/>
      <c r="OLS614" s="294"/>
      <c r="OLT614" s="294"/>
      <c r="OLU614" s="294"/>
      <c r="OLV614" s="294"/>
      <c r="OLW614" s="294"/>
      <c r="OLX614" s="294"/>
      <c r="OLY614" s="294"/>
      <c r="OLZ614" s="294"/>
      <c r="OMA614" s="294"/>
      <c r="OMB614" s="294"/>
      <c r="OMC614" s="294"/>
      <c r="OMD614" s="294"/>
      <c r="OME614" s="294"/>
      <c r="OMF614" s="294"/>
      <c r="OMG614" s="294"/>
      <c r="OMH614" s="294"/>
      <c r="OMI614" s="294"/>
      <c r="OMJ614" s="294"/>
      <c r="OMK614" s="294"/>
      <c r="OML614" s="294"/>
      <c r="OMM614" s="294"/>
      <c r="OMN614" s="294"/>
      <c r="OMO614" s="294"/>
      <c r="OMP614" s="294"/>
      <c r="OMQ614" s="294"/>
      <c r="OMR614" s="294"/>
      <c r="OMS614" s="294"/>
      <c r="OMT614" s="294"/>
      <c r="OMU614" s="294"/>
      <c r="OMV614" s="294"/>
      <c r="OMW614" s="294"/>
      <c r="OMX614" s="294"/>
      <c r="OMY614" s="294"/>
      <c r="OMZ614" s="294"/>
      <c r="ONA614" s="294"/>
      <c r="ONB614" s="294"/>
      <c r="ONC614" s="294"/>
      <c r="OND614" s="294"/>
      <c r="ONE614" s="294"/>
      <c r="ONF614" s="294"/>
      <c r="ONG614" s="294"/>
      <c r="ONH614" s="294"/>
      <c r="ONI614" s="294"/>
      <c r="ONJ614" s="294"/>
      <c r="ONK614" s="294"/>
      <c r="ONL614" s="294"/>
      <c r="ONM614" s="294"/>
      <c r="ONN614" s="294"/>
      <c r="ONO614" s="294"/>
      <c r="ONP614" s="294"/>
      <c r="ONQ614" s="294"/>
      <c r="ONR614" s="294"/>
      <c r="ONS614" s="294"/>
      <c r="ONT614" s="294"/>
      <c r="ONU614" s="294"/>
      <c r="ONV614" s="294"/>
      <c r="ONW614" s="294"/>
      <c r="ONX614" s="294"/>
      <c r="ONY614" s="294"/>
      <c r="ONZ614" s="294"/>
      <c r="OOA614" s="294"/>
      <c r="OOB614" s="294"/>
      <c r="OOC614" s="294"/>
      <c r="OOD614" s="294"/>
      <c r="OOE614" s="294"/>
      <c r="OOF614" s="294"/>
      <c r="OOG614" s="294"/>
      <c r="OOH614" s="294"/>
      <c r="OOI614" s="294"/>
      <c r="OOJ614" s="294"/>
      <c r="OOK614" s="294"/>
      <c r="OOL614" s="294"/>
      <c r="OOM614" s="294"/>
      <c r="OON614" s="294"/>
      <c r="OOO614" s="294"/>
      <c r="OOP614" s="294"/>
      <c r="OOQ614" s="294"/>
      <c r="OOR614" s="294"/>
      <c r="OOS614" s="294"/>
      <c r="OOT614" s="294"/>
      <c r="OOU614" s="294"/>
      <c r="OOV614" s="294"/>
      <c r="OOW614" s="294"/>
      <c r="OOX614" s="294"/>
      <c r="OOY614" s="294"/>
      <c r="OOZ614" s="294"/>
      <c r="OPA614" s="294"/>
      <c r="OPB614" s="294"/>
      <c r="OPC614" s="294"/>
      <c r="OPD614" s="294"/>
      <c r="OPE614" s="294"/>
      <c r="OPF614" s="294"/>
      <c r="OPG614" s="294"/>
      <c r="OPH614" s="294"/>
      <c r="OPI614" s="294"/>
      <c r="OPJ614" s="294"/>
      <c r="OPK614" s="294"/>
      <c r="OPL614" s="294"/>
      <c r="OPM614" s="294"/>
      <c r="OPN614" s="294"/>
      <c r="OPO614" s="294"/>
      <c r="OPP614" s="294"/>
      <c r="OPQ614" s="294"/>
      <c r="OPR614" s="294"/>
      <c r="OPS614" s="294"/>
      <c r="OPT614" s="294"/>
      <c r="OPU614" s="294"/>
      <c r="OPV614" s="294"/>
      <c r="OPW614" s="294"/>
      <c r="OPX614" s="294"/>
      <c r="OPY614" s="294"/>
      <c r="OPZ614" s="294"/>
      <c r="OQA614" s="294"/>
      <c r="OQB614" s="294"/>
      <c r="OQC614" s="294"/>
      <c r="OQD614" s="294"/>
      <c r="OQE614" s="294"/>
      <c r="OQF614" s="294"/>
      <c r="OQG614" s="294"/>
      <c r="OQH614" s="294"/>
      <c r="OQI614" s="294"/>
      <c r="OQJ614" s="294"/>
      <c r="OQK614" s="294"/>
      <c r="OQL614" s="294"/>
      <c r="OQM614" s="294"/>
      <c r="OQN614" s="294"/>
      <c r="OQO614" s="294"/>
      <c r="OQP614" s="294"/>
      <c r="OQQ614" s="294"/>
      <c r="OQR614" s="294"/>
      <c r="OQS614" s="294"/>
      <c r="OQT614" s="294"/>
      <c r="OQU614" s="294"/>
      <c r="OQV614" s="294"/>
      <c r="OQW614" s="294"/>
      <c r="OQX614" s="294"/>
      <c r="OQY614" s="294"/>
      <c r="OQZ614" s="294"/>
      <c r="ORA614" s="294"/>
      <c r="ORB614" s="294"/>
      <c r="ORC614" s="294"/>
      <c r="ORD614" s="294"/>
      <c r="ORE614" s="294"/>
      <c r="ORF614" s="294"/>
      <c r="ORG614" s="294"/>
      <c r="ORH614" s="294"/>
      <c r="ORI614" s="294"/>
      <c r="ORJ614" s="294"/>
      <c r="ORK614" s="294"/>
      <c r="ORL614" s="294"/>
      <c r="ORM614" s="294"/>
      <c r="ORN614" s="294"/>
      <c r="ORO614" s="294"/>
      <c r="ORP614" s="294"/>
      <c r="ORQ614" s="294"/>
      <c r="ORR614" s="294"/>
      <c r="ORS614" s="294"/>
      <c r="ORT614" s="294"/>
      <c r="ORU614" s="294"/>
      <c r="ORV614" s="294"/>
      <c r="ORW614" s="294"/>
      <c r="ORX614" s="294"/>
      <c r="ORY614" s="294"/>
      <c r="ORZ614" s="294"/>
      <c r="OSA614" s="294"/>
      <c r="OSB614" s="294"/>
      <c r="OSC614" s="294"/>
      <c r="OSD614" s="294"/>
      <c r="OSE614" s="294"/>
      <c r="OSF614" s="294"/>
      <c r="OSG614" s="294"/>
      <c r="OSH614" s="294"/>
      <c r="OSI614" s="294"/>
      <c r="OSJ614" s="294"/>
      <c r="OSK614" s="294"/>
      <c r="OSL614" s="294"/>
      <c r="OSM614" s="294"/>
      <c r="OSN614" s="294"/>
      <c r="OSO614" s="294"/>
      <c r="OSP614" s="294"/>
      <c r="OSQ614" s="294"/>
      <c r="OSR614" s="294"/>
      <c r="OSS614" s="294"/>
      <c r="OST614" s="294"/>
      <c r="OSU614" s="294"/>
      <c r="OSV614" s="294"/>
      <c r="OSW614" s="294"/>
      <c r="OSX614" s="294"/>
      <c r="OSY614" s="294"/>
      <c r="OSZ614" s="294"/>
      <c r="OTA614" s="294"/>
      <c r="OTB614" s="294"/>
      <c r="OTC614" s="294"/>
      <c r="OTD614" s="294"/>
      <c r="OTE614" s="294"/>
      <c r="OTF614" s="294"/>
      <c r="OTG614" s="294"/>
      <c r="OTH614" s="294"/>
      <c r="OTI614" s="294"/>
      <c r="OTJ614" s="294"/>
      <c r="OTK614" s="294"/>
      <c r="OTL614" s="294"/>
      <c r="OTM614" s="294"/>
      <c r="OTN614" s="294"/>
      <c r="OTO614" s="294"/>
      <c r="OTP614" s="294"/>
      <c r="OTQ614" s="294"/>
      <c r="OTR614" s="294"/>
      <c r="OTS614" s="294"/>
      <c r="OTT614" s="294"/>
      <c r="OTU614" s="294"/>
      <c r="OTV614" s="294"/>
      <c r="OTW614" s="294"/>
      <c r="OTX614" s="294"/>
      <c r="OTY614" s="294"/>
      <c r="OTZ614" s="294"/>
      <c r="OUA614" s="294"/>
      <c r="OUB614" s="294"/>
      <c r="OUC614" s="294"/>
      <c r="OUD614" s="294"/>
      <c r="OUE614" s="294"/>
      <c r="OUF614" s="294"/>
      <c r="OUG614" s="294"/>
      <c r="OUH614" s="294"/>
      <c r="OUI614" s="294"/>
      <c r="OUJ614" s="294"/>
      <c r="OUK614" s="294"/>
      <c r="OUL614" s="294"/>
      <c r="OUM614" s="294"/>
      <c r="OUN614" s="294"/>
      <c r="OUO614" s="294"/>
      <c r="OUP614" s="294"/>
      <c r="OUQ614" s="294"/>
      <c r="OUR614" s="294"/>
      <c r="OUS614" s="294"/>
      <c r="OUT614" s="294"/>
      <c r="OUU614" s="294"/>
      <c r="OUV614" s="294"/>
      <c r="OUW614" s="294"/>
      <c r="OUX614" s="294"/>
      <c r="OUY614" s="294"/>
      <c r="OUZ614" s="294"/>
      <c r="OVA614" s="294"/>
      <c r="OVB614" s="294"/>
      <c r="OVC614" s="294"/>
      <c r="OVD614" s="294"/>
      <c r="OVE614" s="294"/>
      <c r="OVF614" s="294"/>
      <c r="OVG614" s="294"/>
      <c r="OVH614" s="294"/>
      <c r="OVI614" s="294"/>
      <c r="OVJ614" s="294"/>
      <c r="OVK614" s="294"/>
      <c r="OVL614" s="294"/>
      <c r="OVM614" s="294"/>
      <c r="OVN614" s="294"/>
      <c r="OVO614" s="294"/>
      <c r="OVP614" s="294"/>
      <c r="OVQ614" s="294"/>
      <c r="OVR614" s="294"/>
      <c r="OVS614" s="294"/>
      <c r="OVT614" s="294"/>
      <c r="OVU614" s="294"/>
      <c r="OVV614" s="294"/>
      <c r="OVW614" s="294"/>
      <c r="OVX614" s="294"/>
      <c r="OVY614" s="294"/>
      <c r="OVZ614" s="294"/>
      <c r="OWA614" s="294"/>
      <c r="OWB614" s="294"/>
      <c r="OWC614" s="294"/>
      <c r="OWD614" s="294"/>
      <c r="OWE614" s="294"/>
      <c r="OWF614" s="294"/>
      <c r="OWG614" s="294"/>
      <c r="OWH614" s="294"/>
      <c r="OWI614" s="294"/>
      <c r="OWJ614" s="294"/>
      <c r="OWK614" s="294"/>
      <c r="OWL614" s="294"/>
      <c r="OWM614" s="294"/>
      <c r="OWN614" s="294"/>
      <c r="OWO614" s="294"/>
      <c r="OWP614" s="294"/>
      <c r="OWQ614" s="294"/>
      <c r="OWR614" s="294"/>
      <c r="OWS614" s="294"/>
      <c r="OWT614" s="294"/>
      <c r="OWU614" s="294"/>
      <c r="OWV614" s="294"/>
      <c r="OWW614" s="294"/>
      <c r="OWX614" s="294"/>
      <c r="OWY614" s="294"/>
      <c r="OWZ614" s="294"/>
      <c r="OXA614" s="294"/>
      <c r="OXB614" s="294"/>
      <c r="OXC614" s="294"/>
      <c r="OXD614" s="294"/>
      <c r="OXE614" s="294"/>
      <c r="OXF614" s="294"/>
      <c r="OXG614" s="294"/>
      <c r="OXH614" s="294"/>
      <c r="OXI614" s="294"/>
      <c r="OXJ614" s="294"/>
      <c r="OXK614" s="294"/>
      <c r="OXL614" s="294"/>
      <c r="OXM614" s="294"/>
      <c r="OXN614" s="294"/>
      <c r="OXO614" s="294"/>
      <c r="OXP614" s="294"/>
      <c r="OXQ614" s="294"/>
      <c r="OXR614" s="294"/>
      <c r="OXS614" s="294"/>
      <c r="OXT614" s="294"/>
      <c r="OXU614" s="294"/>
      <c r="OXV614" s="294"/>
      <c r="OXW614" s="294"/>
      <c r="OXX614" s="294"/>
      <c r="OXY614" s="294"/>
      <c r="OXZ614" s="294"/>
      <c r="OYA614" s="294"/>
      <c r="OYB614" s="294"/>
      <c r="OYC614" s="294"/>
      <c r="OYD614" s="294"/>
      <c r="OYE614" s="294"/>
      <c r="OYF614" s="294"/>
      <c r="OYG614" s="294"/>
      <c r="OYH614" s="294"/>
      <c r="OYI614" s="294"/>
      <c r="OYJ614" s="294"/>
      <c r="OYK614" s="294"/>
      <c r="OYL614" s="294"/>
      <c r="OYM614" s="294"/>
      <c r="OYN614" s="294"/>
      <c r="OYO614" s="294"/>
      <c r="OYP614" s="294"/>
      <c r="OYQ614" s="294"/>
      <c r="OYR614" s="294"/>
      <c r="OYS614" s="294"/>
      <c r="OYT614" s="294"/>
      <c r="OYU614" s="294"/>
      <c r="OYV614" s="294"/>
      <c r="OYW614" s="294"/>
      <c r="OYX614" s="294"/>
      <c r="OYY614" s="294"/>
      <c r="OYZ614" s="294"/>
      <c r="OZA614" s="294"/>
      <c r="OZB614" s="294"/>
      <c r="OZC614" s="294"/>
      <c r="OZD614" s="294"/>
      <c r="OZE614" s="294"/>
      <c r="OZF614" s="294"/>
      <c r="OZG614" s="294"/>
      <c r="OZH614" s="294"/>
      <c r="OZI614" s="294"/>
      <c r="OZJ614" s="294"/>
      <c r="OZK614" s="294"/>
      <c r="OZL614" s="294"/>
      <c r="OZM614" s="294"/>
      <c r="OZN614" s="294"/>
      <c r="OZO614" s="294"/>
      <c r="OZP614" s="294"/>
      <c r="OZQ614" s="294"/>
      <c r="OZR614" s="294"/>
      <c r="OZS614" s="294"/>
      <c r="OZT614" s="294"/>
      <c r="OZU614" s="294"/>
      <c r="OZV614" s="294"/>
      <c r="OZW614" s="294"/>
      <c r="OZX614" s="294"/>
      <c r="OZY614" s="294"/>
      <c r="OZZ614" s="294"/>
      <c r="PAA614" s="294"/>
      <c r="PAB614" s="294"/>
      <c r="PAC614" s="294"/>
      <c r="PAD614" s="294"/>
      <c r="PAE614" s="294"/>
      <c r="PAF614" s="294"/>
      <c r="PAG614" s="294"/>
      <c r="PAH614" s="294"/>
      <c r="PAI614" s="294"/>
      <c r="PAJ614" s="294"/>
      <c r="PAK614" s="294"/>
      <c r="PAL614" s="294"/>
      <c r="PAM614" s="294"/>
      <c r="PAN614" s="294"/>
      <c r="PAO614" s="294"/>
      <c r="PAP614" s="294"/>
      <c r="PAQ614" s="294"/>
      <c r="PAR614" s="294"/>
      <c r="PAS614" s="294"/>
      <c r="PAT614" s="294"/>
      <c r="PAU614" s="294"/>
      <c r="PAV614" s="294"/>
      <c r="PAW614" s="294"/>
      <c r="PAX614" s="294"/>
      <c r="PAY614" s="294"/>
      <c r="PAZ614" s="294"/>
      <c r="PBA614" s="294"/>
      <c r="PBB614" s="294"/>
      <c r="PBC614" s="294"/>
      <c r="PBD614" s="294"/>
      <c r="PBE614" s="294"/>
      <c r="PBF614" s="294"/>
      <c r="PBG614" s="294"/>
      <c r="PBH614" s="294"/>
      <c r="PBI614" s="294"/>
      <c r="PBJ614" s="294"/>
      <c r="PBK614" s="294"/>
      <c r="PBL614" s="294"/>
      <c r="PBM614" s="294"/>
      <c r="PBN614" s="294"/>
      <c r="PBO614" s="294"/>
      <c r="PBP614" s="294"/>
      <c r="PBQ614" s="294"/>
      <c r="PBR614" s="294"/>
      <c r="PBS614" s="294"/>
      <c r="PBT614" s="294"/>
      <c r="PBU614" s="294"/>
      <c r="PBV614" s="294"/>
      <c r="PBW614" s="294"/>
      <c r="PBX614" s="294"/>
      <c r="PBY614" s="294"/>
      <c r="PBZ614" s="294"/>
      <c r="PCA614" s="294"/>
      <c r="PCB614" s="294"/>
      <c r="PCC614" s="294"/>
      <c r="PCD614" s="294"/>
      <c r="PCE614" s="294"/>
      <c r="PCF614" s="294"/>
      <c r="PCG614" s="294"/>
      <c r="PCH614" s="294"/>
      <c r="PCI614" s="294"/>
      <c r="PCJ614" s="294"/>
      <c r="PCK614" s="294"/>
      <c r="PCL614" s="294"/>
      <c r="PCM614" s="294"/>
      <c r="PCN614" s="294"/>
      <c r="PCO614" s="294"/>
      <c r="PCP614" s="294"/>
      <c r="PCQ614" s="294"/>
      <c r="PCR614" s="294"/>
      <c r="PCS614" s="294"/>
      <c r="PCT614" s="294"/>
      <c r="PCU614" s="294"/>
      <c r="PCV614" s="294"/>
      <c r="PCW614" s="294"/>
      <c r="PCX614" s="294"/>
      <c r="PCY614" s="294"/>
      <c r="PCZ614" s="294"/>
      <c r="PDA614" s="294"/>
      <c r="PDB614" s="294"/>
      <c r="PDC614" s="294"/>
      <c r="PDD614" s="294"/>
      <c r="PDE614" s="294"/>
      <c r="PDF614" s="294"/>
      <c r="PDG614" s="294"/>
      <c r="PDH614" s="294"/>
      <c r="PDI614" s="294"/>
      <c r="PDJ614" s="294"/>
      <c r="PDK614" s="294"/>
      <c r="PDL614" s="294"/>
      <c r="PDM614" s="294"/>
      <c r="PDN614" s="294"/>
      <c r="PDO614" s="294"/>
      <c r="PDP614" s="294"/>
      <c r="PDQ614" s="294"/>
      <c r="PDR614" s="294"/>
      <c r="PDS614" s="294"/>
      <c r="PDT614" s="294"/>
      <c r="PDU614" s="294"/>
      <c r="PDV614" s="294"/>
      <c r="PDW614" s="294"/>
      <c r="PDX614" s="294"/>
      <c r="PDY614" s="294"/>
      <c r="PDZ614" s="294"/>
      <c r="PEA614" s="294"/>
      <c r="PEB614" s="294"/>
      <c r="PEC614" s="294"/>
      <c r="PED614" s="294"/>
      <c r="PEE614" s="294"/>
      <c r="PEF614" s="294"/>
      <c r="PEG614" s="294"/>
      <c r="PEH614" s="294"/>
      <c r="PEI614" s="294"/>
      <c r="PEJ614" s="294"/>
      <c r="PEK614" s="294"/>
      <c r="PEL614" s="294"/>
      <c r="PEM614" s="294"/>
      <c r="PEN614" s="294"/>
      <c r="PEO614" s="294"/>
      <c r="PEP614" s="294"/>
      <c r="PEQ614" s="294"/>
      <c r="PER614" s="294"/>
      <c r="PES614" s="294"/>
      <c r="PET614" s="294"/>
      <c r="PEU614" s="294"/>
      <c r="PEV614" s="294"/>
      <c r="PEW614" s="294"/>
      <c r="PEX614" s="294"/>
      <c r="PEY614" s="294"/>
      <c r="PEZ614" s="294"/>
      <c r="PFA614" s="294"/>
      <c r="PFB614" s="294"/>
      <c r="PFC614" s="294"/>
      <c r="PFD614" s="294"/>
      <c r="PFE614" s="294"/>
      <c r="PFF614" s="294"/>
      <c r="PFG614" s="294"/>
      <c r="PFH614" s="294"/>
      <c r="PFI614" s="294"/>
      <c r="PFJ614" s="294"/>
      <c r="PFK614" s="294"/>
      <c r="PFL614" s="294"/>
      <c r="PFM614" s="294"/>
      <c r="PFN614" s="294"/>
      <c r="PFO614" s="294"/>
      <c r="PFP614" s="294"/>
      <c r="PFQ614" s="294"/>
      <c r="PFR614" s="294"/>
      <c r="PFS614" s="294"/>
      <c r="PFT614" s="294"/>
      <c r="PFU614" s="294"/>
      <c r="PFV614" s="294"/>
      <c r="PFW614" s="294"/>
      <c r="PFX614" s="294"/>
      <c r="PFY614" s="294"/>
      <c r="PFZ614" s="294"/>
      <c r="PGA614" s="294"/>
      <c r="PGB614" s="294"/>
      <c r="PGC614" s="294"/>
      <c r="PGD614" s="294"/>
      <c r="PGE614" s="294"/>
      <c r="PGF614" s="294"/>
      <c r="PGG614" s="294"/>
      <c r="PGH614" s="294"/>
      <c r="PGI614" s="294"/>
      <c r="PGJ614" s="294"/>
      <c r="PGK614" s="294"/>
      <c r="PGL614" s="294"/>
      <c r="PGM614" s="294"/>
      <c r="PGN614" s="294"/>
      <c r="PGO614" s="294"/>
      <c r="PGP614" s="294"/>
      <c r="PGQ614" s="294"/>
      <c r="PGR614" s="294"/>
      <c r="PGS614" s="294"/>
      <c r="PGT614" s="294"/>
      <c r="PGU614" s="294"/>
      <c r="PGV614" s="294"/>
      <c r="PGW614" s="294"/>
      <c r="PGX614" s="294"/>
      <c r="PGY614" s="294"/>
      <c r="PGZ614" s="294"/>
      <c r="PHA614" s="294"/>
      <c r="PHB614" s="294"/>
      <c r="PHC614" s="294"/>
      <c r="PHD614" s="294"/>
      <c r="PHE614" s="294"/>
      <c r="PHF614" s="294"/>
      <c r="PHG614" s="294"/>
      <c r="PHH614" s="294"/>
      <c r="PHI614" s="294"/>
      <c r="PHJ614" s="294"/>
      <c r="PHK614" s="294"/>
      <c r="PHL614" s="294"/>
      <c r="PHM614" s="294"/>
      <c r="PHN614" s="294"/>
      <c r="PHO614" s="294"/>
      <c r="PHP614" s="294"/>
      <c r="PHQ614" s="294"/>
      <c r="PHR614" s="294"/>
      <c r="PHS614" s="294"/>
      <c r="PHT614" s="294"/>
      <c r="PHU614" s="294"/>
      <c r="PHV614" s="294"/>
      <c r="PHW614" s="294"/>
      <c r="PHX614" s="294"/>
      <c r="PHY614" s="294"/>
      <c r="PHZ614" s="294"/>
      <c r="PIA614" s="294"/>
      <c r="PIB614" s="294"/>
      <c r="PIC614" s="294"/>
      <c r="PID614" s="294"/>
      <c r="PIE614" s="294"/>
      <c r="PIF614" s="294"/>
      <c r="PIG614" s="294"/>
      <c r="PIH614" s="294"/>
      <c r="PII614" s="294"/>
      <c r="PIJ614" s="294"/>
      <c r="PIK614" s="294"/>
      <c r="PIL614" s="294"/>
      <c r="PIM614" s="294"/>
      <c r="PIN614" s="294"/>
      <c r="PIO614" s="294"/>
      <c r="PIP614" s="294"/>
      <c r="PIQ614" s="294"/>
      <c r="PIR614" s="294"/>
      <c r="PIS614" s="294"/>
      <c r="PIT614" s="294"/>
      <c r="PIU614" s="294"/>
      <c r="PIV614" s="294"/>
      <c r="PIW614" s="294"/>
      <c r="PIX614" s="294"/>
      <c r="PIY614" s="294"/>
      <c r="PIZ614" s="294"/>
      <c r="PJA614" s="294"/>
      <c r="PJB614" s="294"/>
      <c r="PJC614" s="294"/>
      <c r="PJD614" s="294"/>
      <c r="PJE614" s="294"/>
      <c r="PJF614" s="294"/>
      <c r="PJG614" s="294"/>
      <c r="PJH614" s="294"/>
      <c r="PJI614" s="294"/>
      <c r="PJJ614" s="294"/>
      <c r="PJK614" s="294"/>
      <c r="PJL614" s="294"/>
      <c r="PJM614" s="294"/>
      <c r="PJN614" s="294"/>
      <c r="PJO614" s="294"/>
      <c r="PJP614" s="294"/>
      <c r="PJQ614" s="294"/>
      <c r="PJR614" s="294"/>
      <c r="PJS614" s="294"/>
      <c r="PJT614" s="294"/>
      <c r="PJU614" s="294"/>
      <c r="PJV614" s="294"/>
      <c r="PJW614" s="294"/>
      <c r="PJX614" s="294"/>
      <c r="PJY614" s="294"/>
      <c r="PJZ614" s="294"/>
      <c r="PKA614" s="294"/>
      <c r="PKB614" s="294"/>
      <c r="PKC614" s="294"/>
      <c r="PKD614" s="294"/>
      <c r="PKE614" s="294"/>
      <c r="PKF614" s="294"/>
      <c r="PKG614" s="294"/>
      <c r="PKH614" s="294"/>
      <c r="PKI614" s="294"/>
      <c r="PKJ614" s="294"/>
      <c r="PKK614" s="294"/>
      <c r="PKL614" s="294"/>
      <c r="PKM614" s="294"/>
      <c r="PKN614" s="294"/>
      <c r="PKO614" s="294"/>
      <c r="PKP614" s="294"/>
      <c r="PKQ614" s="294"/>
      <c r="PKR614" s="294"/>
      <c r="PKS614" s="294"/>
      <c r="PKT614" s="294"/>
      <c r="PKU614" s="294"/>
      <c r="PKV614" s="294"/>
      <c r="PKW614" s="294"/>
      <c r="PKX614" s="294"/>
      <c r="PKY614" s="294"/>
      <c r="PKZ614" s="294"/>
      <c r="PLA614" s="294"/>
      <c r="PLB614" s="294"/>
      <c r="PLC614" s="294"/>
      <c r="PLD614" s="294"/>
      <c r="PLE614" s="294"/>
      <c r="PLF614" s="294"/>
      <c r="PLG614" s="294"/>
      <c r="PLH614" s="294"/>
      <c r="PLI614" s="294"/>
      <c r="PLJ614" s="294"/>
      <c r="PLK614" s="294"/>
      <c r="PLL614" s="294"/>
      <c r="PLM614" s="294"/>
      <c r="PLN614" s="294"/>
      <c r="PLO614" s="294"/>
      <c r="PLP614" s="294"/>
      <c r="PLQ614" s="294"/>
      <c r="PLR614" s="294"/>
      <c r="PLS614" s="294"/>
      <c r="PLT614" s="294"/>
      <c r="PLU614" s="294"/>
      <c r="PLV614" s="294"/>
      <c r="PLW614" s="294"/>
      <c r="PLX614" s="294"/>
      <c r="PLY614" s="294"/>
      <c r="PLZ614" s="294"/>
      <c r="PMA614" s="294"/>
      <c r="PMB614" s="294"/>
      <c r="PMC614" s="294"/>
      <c r="PMD614" s="294"/>
      <c r="PME614" s="294"/>
      <c r="PMF614" s="294"/>
      <c r="PMG614" s="294"/>
      <c r="PMH614" s="294"/>
      <c r="PMI614" s="294"/>
      <c r="PMJ614" s="294"/>
      <c r="PMK614" s="294"/>
      <c r="PML614" s="294"/>
      <c r="PMM614" s="294"/>
      <c r="PMN614" s="294"/>
      <c r="PMO614" s="294"/>
      <c r="PMP614" s="294"/>
      <c r="PMQ614" s="294"/>
      <c r="PMR614" s="294"/>
      <c r="PMS614" s="294"/>
      <c r="PMT614" s="294"/>
      <c r="PMU614" s="294"/>
      <c r="PMV614" s="294"/>
      <c r="PMW614" s="294"/>
      <c r="PMX614" s="294"/>
      <c r="PMY614" s="294"/>
      <c r="PMZ614" s="294"/>
      <c r="PNA614" s="294"/>
      <c r="PNB614" s="294"/>
      <c r="PNC614" s="294"/>
      <c r="PND614" s="294"/>
      <c r="PNE614" s="294"/>
      <c r="PNF614" s="294"/>
      <c r="PNG614" s="294"/>
      <c r="PNH614" s="294"/>
      <c r="PNI614" s="294"/>
      <c r="PNJ614" s="294"/>
      <c r="PNK614" s="294"/>
      <c r="PNL614" s="294"/>
      <c r="PNM614" s="294"/>
      <c r="PNN614" s="294"/>
      <c r="PNO614" s="294"/>
      <c r="PNP614" s="294"/>
      <c r="PNQ614" s="294"/>
      <c r="PNR614" s="294"/>
      <c r="PNS614" s="294"/>
      <c r="PNT614" s="294"/>
      <c r="PNU614" s="294"/>
      <c r="PNV614" s="294"/>
      <c r="PNW614" s="294"/>
      <c r="PNX614" s="294"/>
      <c r="PNY614" s="294"/>
      <c r="PNZ614" s="294"/>
      <c r="POA614" s="294"/>
      <c r="POB614" s="294"/>
      <c r="POC614" s="294"/>
      <c r="POD614" s="294"/>
      <c r="POE614" s="294"/>
      <c r="POF614" s="294"/>
      <c r="POG614" s="294"/>
      <c r="POH614" s="294"/>
      <c r="POI614" s="294"/>
      <c r="POJ614" s="294"/>
      <c r="POK614" s="294"/>
      <c r="POL614" s="294"/>
      <c r="POM614" s="294"/>
      <c r="PON614" s="294"/>
      <c r="POO614" s="294"/>
      <c r="POP614" s="294"/>
      <c r="POQ614" s="294"/>
      <c r="POR614" s="294"/>
      <c r="POS614" s="294"/>
      <c r="POT614" s="294"/>
      <c r="POU614" s="294"/>
      <c r="POV614" s="294"/>
      <c r="POW614" s="294"/>
      <c r="POX614" s="294"/>
      <c r="POY614" s="294"/>
      <c r="POZ614" s="294"/>
      <c r="PPA614" s="294"/>
      <c r="PPB614" s="294"/>
      <c r="PPC614" s="294"/>
      <c r="PPD614" s="294"/>
      <c r="PPE614" s="294"/>
      <c r="PPF614" s="294"/>
      <c r="PPG614" s="294"/>
      <c r="PPH614" s="294"/>
      <c r="PPI614" s="294"/>
      <c r="PPJ614" s="294"/>
      <c r="PPK614" s="294"/>
      <c r="PPL614" s="294"/>
      <c r="PPM614" s="294"/>
      <c r="PPN614" s="294"/>
      <c r="PPO614" s="294"/>
      <c r="PPP614" s="294"/>
      <c r="PPQ614" s="294"/>
      <c r="PPR614" s="294"/>
      <c r="PPS614" s="294"/>
      <c r="PPT614" s="294"/>
      <c r="PPU614" s="294"/>
      <c r="PPV614" s="294"/>
      <c r="PPW614" s="294"/>
      <c r="PPX614" s="294"/>
      <c r="PPY614" s="294"/>
      <c r="PPZ614" s="294"/>
      <c r="PQA614" s="294"/>
      <c r="PQB614" s="294"/>
      <c r="PQC614" s="294"/>
      <c r="PQD614" s="294"/>
      <c r="PQE614" s="294"/>
      <c r="PQF614" s="294"/>
      <c r="PQG614" s="294"/>
      <c r="PQH614" s="294"/>
      <c r="PQI614" s="294"/>
      <c r="PQJ614" s="294"/>
      <c r="PQK614" s="294"/>
      <c r="PQL614" s="294"/>
      <c r="PQM614" s="294"/>
      <c r="PQN614" s="294"/>
      <c r="PQO614" s="294"/>
      <c r="PQP614" s="294"/>
      <c r="PQQ614" s="294"/>
      <c r="PQR614" s="294"/>
      <c r="PQS614" s="294"/>
      <c r="PQT614" s="294"/>
      <c r="PQU614" s="294"/>
      <c r="PQV614" s="294"/>
      <c r="PQW614" s="294"/>
      <c r="PQX614" s="294"/>
      <c r="PQY614" s="294"/>
      <c r="PQZ614" s="294"/>
      <c r="PRA614" s="294"/>
      <c r="PRB614" s="294"/>
      <c r="PRC614" s="294"/>
      <c r="PRD614" s="294"/>
      <c r="PRE614" s="294"/>
      <c r="PRF614" s="294"/>
      <c r="PRG614" s="294"/>
      <c r="PRH614" s="294"/>
      <c r="PRI614" s="294"/>
      <c r="PRJ614" s="294"/>
      <c r="PRK614" s="294"/>
      <c r="PRL614" s="294"/>
      <c r="PRM614" s="294"/>
      <c r="PRN614" s="294"/>
      <c r="PRO614" s="294"/>
      <c r="PRP614" s="294"/>
      <c r="PRQ614" s="294"/>
      <c r="PRR614" s="294"/>
      <c r="PRS614" s="294"/>
      <c r="PRT614" s="294"/>
      <c r="PRU614" s="294"/>
      <c r="PRV614" s="294"/>
      <c r="PRW614" s="294"/>
      <c r="PRX614" s="294"/>
      <c r="PRY614" s="294"/>
      <c r="PRZ614" s="294"/>
      <c r="PSA614" s="294"/>
      <c r="PSB614" s="294"/>
      <c r="PSC614" s="294"/>
      <c r="PSD614" s="294"/>
      <c r="PSE614" s="294"/>
      <c r="PSF614" s="294"/>
      <c r="PSG614" s="294"/>
      <c r="PSH614" s="294"/>
      <c r="PSI614" s="294"/>
      <c r="PSJ614" s="294"/>
      <c r="PSK614" s="294"/>
      <c r="PSL614" s="294"/>
      <c r="PSM614" s="294"/>
      <c r="PSN614" s="294"/>
      <c r="PSO614" s="294"/>
      <c r="PSP614" s="294"/>
      <c r="PSQ614" s="294"/>
      <c r="PSR614" s="294"/>
      <c r="PSS614" s="294"/>
      <c r="PST614" s="294"/>
      <c r="PSU614" s="294"/>
      <c r="PSV614" s="294"/>
      <c r="PSW614" s="294"/>
      <c r="PSX614" s="294"/>
      <c r="PSY614" s="294"/>
      <c r="PSZ614" s="294"/>
      <c r="PTA614" s="294"/>
      <c r="PTB614" s="294"/>
      <c r="PTC614" s="294"/>
      <c r="PTD614" s="294"/>
      <c r="PTE614" s="294"/>
      <c r="PTF614" s="294"/>
      <c r="PTG614" s="294"/>
      <c r="PTH614" s="294"/>
      <c r="PTI614" s="294"/>
      <c r="PTJ614" s="294"/>
      <c r="PTK614" s="294"/>
      <c r="PTL614" s="294"/>
      <c r="PTM614" s="294"/>
      <c r="PTN614" s="294"/>
      <c r="PTO614" s="294"/>
      <c r="PTP614" s="294"/>
      <c r="PTQ614" s="294"/>
      <c r="PTR614" s="294"/>
      <c r="PTS614" s="294"/>
      <c r="PTT614" s="294"/>
      <c r="PTU614" s="294"/>
      <c r="PTV614" s="294"/>
      <c r="PTW614" s="294"/>
      <c r="PTX614" s="294"/>
      <c r="PTY614" s="294"/>
      <c r="PTZ614" s="294"/>
      <c r="PUA614" s="294"/>
      <c r="PUB614" s="294"/>
      <c r="PUC614" s="294"/>
      <c r="PUD614" s="294"/>
      <c r="PUE614" s="294"/>
      <c r="PUF614" s="294"/>
      <c r="PUG614" s="294"/>
      <c r="PUH614" s="294"/>
      <c r="PUI614" s="294"/>
      <c r="PUJ614" s="294"/>
      <c r="PUK614" s="294"/>
      <c r="PUL614" s="294"/>
      <c r="PUM614" s="294"/>
      <c r="PUN614" s="294"/>
      <c r="PUO614" s="294"/>
      <c r="PUP614" s="294"/>
      <c r="PUQ614" s="294"/>
      <c r="PUR614" s="294"/>
      <c r="PUS614" s="294"/>
      <c r="PUT614" s="294"/>
      <c r="PUU614" s="294"/>
      <c r="PUV614" s="294"/>
      <c r="PUW614" s="294"/>
      <c r="PUX614" s="294"/>
      <c r="PUY614" s="294"/>
      <c r="PUZ614" s="294"/>
      <c r="PVA614" s="294"/>
      <c r="PVB614" s="294"/>
      <c r="PVC614" s="294"/>
      <c r="PVD614" s="294"/>
      <c r="PVE614" s="294"/>
      <c r="PVF614" s="294"/>
      <c r="PVG614" s="294"/>
      <c r="PVH614" s="294"/>
      <c r="PVI614" s="294"/>
      <c r="PVJ614" s="294"/>
      <c r="PVK614" s="294"/>
      <c r="PVL614" s="294"/>
      <c r="PVM614" s="294"/>
      <c r="PVN614" s="294"/>
      <c r="PVO614" s="294"/>
      <c r="PVP614" s="294"/>
      <c r="PVQ614" s="294"/>
      <c r="PVR614" s="294"/>
      <c r="PVS614" s="294"/>
      <c r="PVT614" s="294"/>
      <c r="PVU614" s="294"/>
      <c r="PVV614" s="294"/>
      <c r="PVW614" s="294"/>
      <c r="PVX614" s="294"/>
      <c r="PVY614" s="294"/>
      <c r="PVZ614" s="294"/>
      <c r="PWA614" s="294"/>
      <c r="PWB614" s="294"/>
      <c r="PWC614" s="294"/>
      <c r="PWD614" s="294"/>
      <c r="PWE614" s="294"/>
      <c r="PWF614" s="294"/>
      <c r="PWG614" s="294"/>
      <c r="PWH614" s="294"/>
      <c r="PWI614" s="294"/>
      <c r="PWJ614" s="294"/>
      <c r="PWK614" s="294"/>
      <c r="PWL614" s="294"/>
      <c r="PWM614" s="294"/>
      <c r="PWN614" s="294"/>
      <c r="PWO614" s="294"/>
      <c r="PWP614" s="294"/>
      <c r="PWQ614" s="294"/>
      <c r="PWR614" s="294"/>
      <c r="PWS614" s="294"/>
      <c r="PWT614" s="294"/>
      <c r="PWU614" s="294"/>
      <c r="PWV614" s="294"/>
      <c r="PWW614" s="294"/>
      <c r="PWX614" s="294"/>
      <c r="PWY614" s="294"/>
      <c r="PWZ614" s="294"/>
      <c r="PXA614" s="294"/>
      <c r="PXB614" s="294"/>
      <c r="PXC614" s="294"/>
      <c r="PXD614" s="294"/>
      <c r="PXE614" s="294"/>
      <c r="PXF614" s="294"/>
      <c r="PXG614" s="294"/>
      <c r="PXH614" s="294"/>
      <c r="PXI614" s="294"/>
      <c r="PXJ614" s="294"/>
      <c r="PXK614" s="294"/>
      <c r="PXL614" s="294"/>
      <c r="PXM614" s="294"/>
      <c r="PXN614" s="294"/>
      <c r="PXO614" s="294"/>
      <c r="PXP614" s="294"/>
      <c r="PXQ614" s="294"/>
      <c r="PXR614" s="294"/>
      <c r="PXS614" s="294"/>
      <c r="PXT614" s="294"/>
      <c r="PXU614" s="294"/>
      <c r="PXV614" s="294"/>
      <c r="PXW614" s="294"/>
      <c r="PXX614" s="294"/>
      <c r="PXY614" s="294"/>
      <c r="PXZ614" s="294"/>
      <c r="PYA614" s="294"/>
      <c r="PYB614" s="294"/>
      <c r="PYC614" s="294"/>
      <c r="PYD614" s="294"/>
      <c r="PYE614" s="294"/>
      <c r="PYF614" s="294"/>
      <c r="PYG614" s="294"/>
      <c r="PYH614" s="294"/>
      <c r="PYI614" s="294"/>
      <c r="PYJ614" s="294"/>
      <c r="PYK614" s="294"/>
      <c r="PYL614" s="294"/>
      <c r="PYM614" s="294"/>
      <c r="PYN614" s="294"/>
      <c r="PYO614" s="294"/>
      <c r="PYP614" s="294"/>
      <c r="PYQ614" s="294"/>
      <c r="PYR614" s="294"/>
      <c r="PYS614" s="294"/>
      <c r="PYT614" s="294"/>
      <c r="PYU614" s="294"/>
      <c r="PYV614" s="294"/>
      <c r="PYW614" s="294"/>
      <c r="PYX614" s="294"/>
      <c r="PYY614" s="294"/>
      <c r="PYZ614" s="294"/>
      <c r="PZA614" s="294"/>
      <c r="PZB614" s="294"/>
      <c r="PZC614" s="294"/>
      <c r="PZD614" s="294"/>
      <c r="PZE614" s="294"/>
      <c r="PZF614" s="294"/>
      <c r="PZG614" s="294"/>
      <c r="PZH614" s="294"/>
      <c r="PZI614" s="294"/>
      <c r="PZJ614" s="294"/>
      <c r="PZK614" s="294"/>
      <c r="PZL614" s="294"/>
      <c r="PZM614" s="294"/>
      <c r="PZN614" s="294"/>
      <c r="PZO614" s="294"/>
      <c r="PZP614" s="294"/>
      <c r="PZQ614" s="294"/>
      <c r="PZR614" s="294"/>
      <c r="PZS614" s="294"/>
      <c r="PZT614" s="294"/>
      <c r="PZU614" s="294"/>
      <c r="PZV614" s="294"/>
      <c r="PZW614" s="294"/>
      <c r="PZX614" s="294"/>
      <c r="PZY614" s="294"/>
      <c r="PZZ614" s="294"/>
      <c r="QAA614" s="294"/>
      <c r="QAB614" s="294"/>
      <c r="QAC614" s="294"/>
      <c r="QAD614" s="294"/>
      <c r="QAE614" s="294"/>
      <c r="QAF614" s="294"/>
      <c r="QAG614" s="294"/>
      <c r="QAH614" s="294"/>
      <c r="QAI614" s="294"/>
      <c r="QAJ614" s="294"/>
      <c r="QAK614" s="294"/>
      <c r="QAL614" s="294"/>
      <c r="QAM614" s="294"/>
      <c r="QAN614" s="294"/>
      <c r="QAO614" s="294"/>
      <c r="QAP614" s="294"/>
      <c r="QAQ614" s="294"/>
      <c r="QAR614" s="294"/>
      <c r="QAS614" s="294"/>
      <c r="QAT614" s="294"/>
      <c r="QAU614" s="294"/>
      <c r="QAV614" s="294"/>
      <c r="QAW614" s="294"/>
      <c r="QAX614" s="294"/>
      <c r="QAY614" s="294"/>
      <c r="QAZ614" s="294"/>
      <c r="QBA614" s="294"/>
      <c r="QBB614" s="294"/>
      <c r="QBC614" s="294"/>
      <c r="QBD614" s="294"/>
      <c r="QBE614" s="294"/>
      <c r="QBF614" s="294"/>
      <c r="QBG614" s="294"/>
      <c r="QBH614" s="294"/>
      <c r="QBI614" s="294"/>
      <c r="QBJ614" s="294"/>
      <c r="QBK614" s="294"/>
      <c r="QBL614" s="294"/>
      <c r="QBM614" s="294"/>
      <c r="QBN614" s="294"/>
      <c r="QBO614" s="294"/>
      <c r="QBP614" s="294"/>
      <c r="QBQ614" s="294"/>
      <c r="QBR614" s="294"/>
      <c r="QBS614" s="294"/>
      <c r="QBT614" s="294"/>
      <c r="QBU614" s="294"/>
      <c r="QBV614" s="294"/>
      <c r="QBW614" s="294"/>
      <c r="QBX614" s="294"/>
      <c r="QBY614" s="294"/>
      <c r="QBZ614" s="294"/>
      <c r="QCA614" s="294"/>
      <c r="QCB614" s="294"/>
      <c r="QCC614" s="294"/>
      <c r="QCD614" s="294"/>
      <c r="QCE614" s="294"/>
      <c r="QCF614" s="294"/>
      <c r="QCG614" s="294"/>
      <c r="QCH614" s="294"/>
      <c r="QCI614" s="294"/>
      <c r="QCJ614" s="294"/>
      <c r="QCK614" s="294"/>
      <c r="QCL614" s="294"/>
      <c r="QCM614" s="294"/>
      <c r="QCN614" s="294"/>
      <c r="QCO614" s="294"/>
      <c r="QCP614" s="294"/>
      <c r="QCQ614" s="294"/>
      <c r="QCR614" s="294"/>
      <c r="QCS614" s="294"/>
      <c r="QCT614" s="294"/>
      <c r="QCU614" s="294"/>
      <c r="QCV614" s="294"/>
      <c r="QCW614" s="294"/>
      <c r="QCX614" s="294"/>
      <c r="QCY614" s="294"/>
      <c r="QCZ614" s="294"/>
      <c r="QDA614" s="294"/>
      <c r="QDB614" s="294"/>
      <c r="QDC614" s="294"/>
      <c r="QDD614" s="294"/>
      <c r="QDE614" s="294"/>
      <c r="QDF614" s="294"/>
      <c r="QDG614" s="294"/>
      <c r="QDH614" s="294"/>
      <c r="QDI614" s="294"/>
      <c r="QDJ614" s="294"/>
      <c r="QDK614" s="294"/>
      <c r="QDL614" s="294"/>
      <c r="QDM614" s="294"/>
      <c r="QDN614" s="294"/>
      <c r="QDO614" s="294"/>
      <c r="QDP614" s="294"/>
      <c r="QDQ614" s="294"/>
      <c r="QDR614" s="294"/>
      <c r="QDS614" s="294"/>
      <c r="QDT614" s="294"/>
      <c r="QDU614" s="294"/>
      <c r="QDV614" s="294"/>
      <c r="QDW614" s="294"/>
      <c r="QDX614" s="294"/>
      <c r="QDY614" s="294"/>
      <c r="QDZ614" s="294"/>
      <c r="QEA614" s="294"/>
      <c r="QEB614" s="294"/>
      <c r="QEC614" s="294"/>
      <c r="QED614" s="294"/>
      <c r="QEE614" s="294"/>
      <c r="QEF614" s="294"/>
      <c r="QEG614" s="294"/>
      <c r="QEH614" s="294"/>
      <c r="QEI614" s="294"/>
      <c r="QEJ614" s="294"/>
      <c r="QEK614" s="294"/>
      <c r="QEL614" s="294"/>
      <c r="QEM614" s="294"/>
      <c r="QEN614" s="294"/>
      <c r="QEO614" s="294"/>
      <c r="QEP614" s="294"/>
      <c r="QEQ614" s="294"/>
      <c r="QER614" s="294"/>
      <c r="QES614" s="294"/>
      <c r="QET614" s="294"/>
      <c r="QEU614" s="294"/>
      <c r="QEV614" s="294"/>
      <c r="QEW614" s="294"/>
      <c r="QEX614" s="294"/>
      <c r="QEY614" s="294"/>
      <c r="QEZ614" s="294"/>
      <c r="QFA614" s="294"/>
      <c r="QFB614" s="294"/>
      <c r="QFC614" s="294"/>
      <c r="QFD614" s="294"/>
      <c r="QFE614" s="294"/>
      <c r="QFF614" s="294"/>
      <c r="QFG614" s="294"/>
      <c r="QFH614" s="294"/>
      <c r="QFI614" s="294"/>
      <c r="QFJ614" s="294"/>
      <c r="QFK614" s="294"/>
      <c r="QFL614" s="294"/>
      <c r="QFM614" s="294"/>
      <c r="QFN614" s="294"/>
      <c r="QFO614" s="294"/>
      <c r="QFP614" s="294"/>
      <c r="QFQ614" s="294"/>
      <c r="QFR614" s="294"/>
      <c r="QFS614" s="294"/>
      <c r="QFT614" s="294"/>
      <c r="QFU614" s="294"/>
      <c r="QFV614" s="294"/>
      <c r="QFW614" s="294"/>
      <c r="QFX614" s="294"/>
      <c r="QFY614" s="294"/>
      <c r="QFZ614" s="294"/>
      <c r="QGA614" s="294"/>
      <c r="QGB614" s="294"/>
      <c r="QGC614" s="294"/>
      <c r="QGD614" s="294"/>
      <c r="QGE614" s="294"/>
      <c r="QGF614" s="294"/>
      <c r="QGG614" s="294"/>
      <c r="QGH614" s="294"/>
      <c r="QGI614" s="294"/>
      <c r="QGJ614" s="294"/>
      <c r="QGK614" s="294"/>
      <c r="QGL614" s="294"/>
      <c r="QGM614" s="294"/>
      <c r="QGN614" s="294"/>
      <c r="QGO614" s="294"/>
      <c r="QGP614" s="294"/>
      <c r="QGQ614" s="294"/>
      <c r="QGR614" s="294"/>
      <c r="QGS614" s="294"/>
      <c r="QGT614" s="294"/>
      <c r="QGU614" s="294"/>
      <c r="QGV614" s="294"/>
      <c r="QGW614" s="294"/>
      <c r="QGX614" s="294"/>
      <c r="QGY614" s="294"/>
      <c r="QGZ614" s="294"/>
      <c r="QHA614" s="294"/>
      <c r="QHB614" s="294"/>
      <c r="QHC614" s="294"/>
      <c r="QHD614" s="294"/>
      <c r="QHE614" s="294"/>
      <c r="QHF614" s="294"/>
      <c r="QHG614" s="294"/>
      <c r="QHH614" s="294"/>
      <c r="QHI614" s="294"/>
      <c r="QHJ614" s="294"/>
      <c r="QHK614" s="294"/>
      <c r="QHL614" s="294"/>
      <c r="QHM614" s="294"/>
      <c r="QHN614" s="294"/>
      <c r="QHO614" s="294"/>
      <c r="QHP614" s="294"/>
      <c r="QHQ614" s="294"/>
      <c r="QHR614" s="294"/>
      <c r="QHS614" s="294"/>
      <c r="QHT614" s="294"/>
      <c r="QHU614" s="294"/>
      <c r="QHV614" s="294"/>
      <c r="QHW614" s="294"/>
      <c r="QHX614" s="294"/>
      <c r="QHY614" s="294"/>
      <c r="QHZ614" s="294"/>
      <c r="QIA614" s="294"/>
      <c r="QIB614" s="294"/>
      <c r="QIC614" s="294"/>
      <c r="QID614" s="294"/>
      <c r="QIE614" s="294"/>
      <c r="QIF614" s="294"/>
      <c r="QIG614" s="294"/>
      <c r="QIH614" s="294"/>
      <c r="QII614" s="294"/>
      <c r="QIJ614" s="294"/>
      <c r="QIK614" s="294"/>
      <c r="QIL614" s="294"/>
      <c r="QIM614" s="294"/>
      <c r="QIN614" s="294"/>
      <c r="QIO614" s="294"/>
      <c r="QIP614" s="294"/>
      <c r="QIQ614" s="294"/>
      <c r="QIR614" s="294"/>
      <c r="QIS614" s="294"/>
      <c r="QIT614" s="294"/>
      <c r="QIU614" s="294"/>
      <c r="QIV614" s="294"/>
      <c r="QIW614" s="294"/>
      <c r="QIX614" s="294"/>
      <c r="QIY614" s="294"/>
      <c r="QIZ614" s="294"/>
      <c r="QJA614" s="294"/>
      <c r="QJB614" s="294"/>
      <c r="QJC614" s="294"/>
      <c r="QJD614" s="294"/>
      <c r="QJE614" s="294"/>
      <c r="QJF614" s="294"/>
      <c r="QJG614" s="294"/>
      <c r="QJH614" s="294"/>
      <c r="QJI614" s="294"/>
      <c r="QJJ614" s="294"/>
      <c r="QJK614" s="294"/>
      <c r="QJL614" s="294"/>
      <c r="QJM614" s="294"/>
      <c r="QJN614" s="294"/>
      <c r="QJO614" s="294"/>
      <c r="QJP614" s="294"/>
      <c r="QJQ614" s="294"/>
      <c r="QJR614" s="294"/>
      <c r="QJS614" s="294"/>
      <c r="QJT614" s="294"/>
      <c r="QJU614" s="294"/>
      <c r="QJV614" s="294"/>
      <c r="QJW614" s="294"/>
      <c r="QJX614" s="294"/>
      <c r="QJY614" s="294"/>
      <c r="QJZ614" s="294"/>
      <c r="QKA614" s="294"/>
      <c r="QKB614" s="294"/>
      <c r="QKC614" s="294"/>
      <c r="QKD614" s="294"/>
      <c r="QKE614" s="294"/>
      <c r="QKF614" s="294"/>
      <c r="QKG614" s="294"/>
      <c r="QKH614" s="294"/>
      <c r="QKI614" s="294"/>
      <c r="QKJ614" s="294"/>
      <c r="QKK614" s="294"/>
      <c r="QKL614" s="294"/>
      <c r="QKM614" s="294"/>
      <c r="QKN614" s="294"/>
      <c r="QKO614" s="294"/>
      <c r="QKP614" s="294"/>
      <c r="QKQ614" s="294"/>
      <c r="QKR614" s="294"/>
      <c r="QKS614" s="294"/>
      <c r="QKT614" s="294"/>
      <c r="QKU614" s="294"/>
      <c r="QKV614" s="294"/>
      <c r="QKW614" s="294"/>
      <c r="QKX614" s="294"/>
      <c r="QKY614" s="294"/>
      <c r="QKZ614" s="294"/>
      <c r="QLA614" s="294"/>
      <c r="QLB614" s="294"/>
      <c r="QLC614" s="294"/>
      <c r="QLD614" s="294"/>
      <c r="QLE614" s="294"/>
      <c r="QLF614" s="294"/>
      <c r="QLG614" s="294"/>
      <c r="QLH614" s="294"/>
      <c r="QLI614" s="294"/>
      <c r="QLJ614" s="294"/>
      <c r="QLK614" s="294"/>
      <c r="QLL614" s="294"/>
      <c r="QLM614" s="294"/>
      <c r="QLN614" s="294"/>
      <c r="QLO614" s="294"/>
      <c r="QLP614" s="294"/>
      <c r="QLQ614" s="294"/>
      <c r="QLR614" s="294"/>
      <c r="QLS614" s="294"/>
      <c r="QLT614" s="294"/>
      <c r="QLU614" s="294"/>
      <c r="QLV614" s="294"/>
      <c r="QLW614" s="294"/>
      <c r="QLX614" s="294"/>
      <c r="QLY614" s="294"/>
      <c r="QLZ614" s="294"/>
      <c r="QMA614" s="294"/>
      <c r="QMB614" s="294"/>
      <c r="QMC614" s="294"/>
      <c r="QMD614" s="294"/>
      <c r="QME614" s="294"/>
      <c r="QMF614" s="294"/>
      <c r="QMG614" s="294"/>
      <c r="QMH614" s="294"/>
      <c r="QMI614" s="294"/>
      <c r="QMJ614" s="294"/>
      <c r="QMK614" s="294"/>
      <c r="QML614" s="294"/>
      <c r="QMM614" s="294"/>
      <c r="QMN614" s="294"/>
      <c r="QMO614" s="294"/>
      <c r="QMP614" s="294"/>
      <c r="QMQ614" s="294"/>
      <c r="QMR614" s="294"/>
      <c r="QMS614" s="294"/>
      <c r="QMT614" s="294"/>
      <c r="QMU614" s="294"/>
      <c r="QMV614" s="294"/>
      <c r="QMW614" s="294"/>
      <c r="QMX614" s="294"/>
      <c r="QMY614" s="294"/>
      <c r="QMZ614" s="294"/>
      <c r="QNA614" s="294"/>
      <c r="QNB614" s="294"/>
      <c r="QNC614" s="294"/>
      <c r="QND614" s="294"/>
      <c r="QNE614" s="294"/>
      <c r="QNF614" s="294"/>
      <c r="QNG614" s="294"/>
      <c r="QNH614" s="294"/>
      <c r="QNI614" s="294"/>
      <c r="QNJ614" s="294"/>
      <c r="QNK614" s="294"/>
      <c r="QNL614" s="294"/>
      <c r="QNM614" s="294"/>
      <c r="QNN614" s="294"/>
      <c r="QNO614" s="294"/>
      <c r="QNP614" s="294"/>
      <c r="QNQ614" s="294"/>
      <c r="QNR614" s="294"/>
      <c r="QNS614" s="294"/>
      <c r="QNT614" s="294"/>
      <c r="QNU614" s="294"/>
      <c r="QNV614" s="294"/>
      <c r="QNW614" s="294"/>
      <c r="QNX614" s="294"/>
      <c r="QNY614" s="294"/>
      <c r="QNZ614" s="294"/>
      <c r="QOA614" s="294"/>
      <c r="QOB614" s="294"/>
      <c r="QOC614" s="294"/>
      <c r="QOD614" s="294"/>
      <c r="QOE614" s="294"/>
      <c r="QOF614" s="294"/>
      <c r="QOG614" s="294"/>
      <c r="QOH614" s="294"/>
      <c r="QOI614" s="294"/>
      <c r="QOJ614" s="294"/>
      <c r="QOK614" s="294"/>
      <c r="QOL614" s="294"/>
      <c r="QOM614" s="294"/>
      <c r="QON614" s="294"/>
      <c r="QOO614" s="294"/>
      <c r="QOP614" s="294"/>
      <c r="QOQ614" s="294"/>
      <c r="QOR614" s="294"/>
      <c r="QOS614" s="294"/>
      <c r="QOT614" s="294"/>
      <c r="QOU614" s="294"/>
      <c r="QOV614" s="294"/>
      <c r="QOW614" s="294"/>
      <c r="QOX614" s="294"/>
      <c r="QOY614" s="294"/>
      <c r="QOZ614" s="294"/>
      <c r="QPA614" s="294"/>
      <c r="QPB614" s="294"/>
      <c r="QPC614" s="294"/>
      <c r="QPD614" s="294"/>
      <c r="QPE614" s="294"/>
      <c r="QPF614" s="294"/>
      <c r="QPG614" s="294"/>
      <c r="QPH614" s="294"/>
      <c r="QPI614" s="294"/>
      <c r="QPJ614" s="294"/>
      <c r="QPK614" s="294"/>
      <c r="QPL614" s="294"/>
      <c r="QPM614" s="294"/>
      <c r="QPN614" s="294"/>
      <c r="QPO614" s="294"/>
      <c r="QPP614" s="294"/>
      <c r="QPQ614" s="294"/>
      <c r="QPR614" s="294"/>
      <c r="QPS614" s="294"/>
      <c r="QPT614" s="294"/>
      <c r="QPU614" s="294"/>
      <c r="QPV614" s="294"/>
      <c r="QPW614" s="294"/>
      <c r="QPX614" s="294"/>
      <c r="QPY614" s="294"/>
      <c r="QPZ614" s="294"/>
      <c r="QQA614" s="294"/>
      <c r="QQB614" s="294"/>
      <c r="QQC614" s="294"/>
      <c r="QQD614" s="294"/>
      <c r="QQE614" s="294"/>
      <c r="QQF614" s="294"/>
      <c r="QQG614" s="294"/>
      <c r="QQH614" s="294"/>
      <c r="QQI614" s="294"/>
      <c r="QQJ614" s="294"/>
      <c r="QQK614" s="294"/>
      <c r="QQL614" s="294"/>
      <c r="QQM614" s="294"/>
      <c r="QQN614" s="294"/>
      <c r="QQO614" s="294"/>
      <c r="QQP614" s="294"/>
      <c r="QQQ614" s="294"/>
      <c r="QQR614" s="294"/>
      <c r="QQS614" s="294"/>
      <c r="QQT614" s="294"/>
      <c r="QQU614" s="294"/>
      <c r="QQV614" s="294"/>
      <c r="QQW614" s="294"/>
      <c r="QQX614" s="294"/>
      <c r="QQY614" s="294"/>
      <c r="QQZ614" s="294"/>
      <c r="QRA614" s="294"/>
      <c r="QRB614" s="294"/>
      <c r="QRC614" s="294"/>
      <c r="QRD614" s="294"/>
      <c r="QRE614" s="294"/>
      <c r="QRF614" s="294"/>
      <c r="QRG614" s="294"/>
      <c r="QRH614" s="294"/>
      <c r="QRI614" s="294"/>
      <c r="QRJ614" s="294"/>
      <c r="QRK614" s="294"/>
      <c r="QRL614" s="294"/>
      <c r="QRM614" s="294"/>
      <c r="QRN614" s="294"/>
      <c r="QRO614" s="294"/>
      <c r="QRP614" s="294"/>
      <c r="QRQ614" s="294"/>
      <c r="QRR614" s="294"/>
      <c r="QRS614" s="294"/>
      <c r="QRT614" s="294"/>
      <c r="QRU614" s="294"/>
      <c r="QRV614" s="294"/>
      <c r="QRW614" s="294"/>
      <c r="QRX614" s="294"/>
      <c r="QRY614" s="294"/>
      <c r="QRZ614" s="294"/>
      <c r="QSA614" s="294"/>
      <c r="QSB614" s="294"/>
      <c r="QSC614" s="294"/>
      <c r="QSD614" s="294"/>
      <c r="QSE614" s="294"/>
      <c r="QSF614" s="294"/>
      <c r="QSG614" s="294"/>
      <c r="QSH614" s="294"/>
      <c r="QSI614" s="294"/>
      <c r="QSJ614" s="294"/>
      <c r="QSK614" s="294"/>
      <c r="QSL614" s="294"/>
      <c r="QSM614" s="294"/>
      <c r="QSN614" s="294"/>
      <c r="QSO614" s="294"/>
      <c r="QSP614" s="294"/>
      <c r="QSQ614" s="294"/>
      <c r="QSR614" s="294"/>
      <c r="QSS614" s="294"/>
      <c r="QST614" s="294"/>
      <c r="QSU614" s="294"/>
      <c r="QSV614" s="294"/>
      <c r="QSW614" s="294"/>
      <c r="QSX614" s="294"/>
      <c r="QSY614" s="294"/>
      <c r="QSZ614" s="294"/>
      <c r="QTA614" s="294"/>
      <c r="QTB614" s="294"/>
      <c r="QTC614" s="294"/>
      <c r="QTD614" s="294"/>
      <c r="QTE614" s="294"/>
      <c r="QTF614" s="294"/>
      <c r="QTG614" s="294"/>
      <c r="QTH614" s="294"/>
      <c r="QTI614" s="294"/>
      <c r="QTJ614" s="294"/>
      <c r="QTK614" s="294"/>
      <c r="QTL614" s="294"/>
      <c r="QTM614" s="294"/>
      <c r="QTN614" s="294"/>
      <c r="QTO614" s="294"/>
      <c r="QTP614" s="294"/>
      <c r="QTQ614" s="294"/>
      <c r="QTR614" s="294"/>
      <c r="QTS614" s="294"/>
      <c r="QTT614" s="294"/>
      <c r="QTU614" s="294"/>
      <c r="QTV614" s="294"/>
      <c r="QTW614" s="294"/>
      <c r="QTX614" s="294"/>
      <c r="QTY614" s="294"/>
      <c r="QTZ614" s="294"/>
      <c r="QUA614" s="294"/>
      <c r="QUB614" s="294"/>
      <c r="QUC614" s="294"/>
      <c r="QUD614" s="294"/>
      <c r="QUE614" s="294"/>
      <c r="QUF614" s="294"/>
      <c r="QUG614" s="294"/>
      <c r="QUH614" s="294"/>
      <c r="QUI614" s="294"/>
      <c r="QUJ614" s="294"/>
      <c r="QUK614" s="294"/>
      <c r="QUL614" s="294"/>
      <c r="QUM614" s="294"/>
      <c r="QUN614" s="294"/>
      <c r="QUO614" s="294"/>
      <c r="QUP614" s="294"/>
      <c r="QUQ614" s="294"/>
      <c r="QUR614" s="294"/>
      <c r="QUS614" s="294"/>
      <c r="QUT614" s="294"/>
      <c r="QUU614" s="294"/>
      <c r="QUV614" s="294"/>
      <c r="QUW614" s="294"/>
      <c r="QUX614" s="294"/>
      <c r="QUY614" s="294"/>
      <c r="QUZ614" s="294"/>
      <c r="QVA614" s="294"/>
      <c r="QVB614" s="294"/>
      <c r="QVC614" s="294"/>
      <c r="QVD614" s="294"/>
      <c r="QVE614" s="294"/>
      <c r="QVF614" s="294"/>
      <c r="QVG614" s="294"/>
      <c r="QVH614" s="294"/>
      <c r="QVI614" s="294"/>
      <c r="QVJ614" s="294"/>
      <c r="QVK614" s="294"/>
      <c r="QVL614" s="294"/>
      <c r="QVM614" s="294"/>
      <c r="QVN614" s="294"/>
      <c r="QVO614" s="294"/>
      <c r="QVP614" s="294"/>
      <c r="QVQ614" s="294"/>
      <c r="QVR614" s="294"/>
      <c r="QVS614" s="294"/>
      <c r="QVT614" s="294"/>
      <c r="QVU614" s="294"/>
      <c r="QVV614" s="294"/>
      <c r="QVW614" s="294"/>
      <c r="QVX614" s="294"/>
      <c r="QVY614" s="294"/>
      <c r="QVZ614" s="294"/>
      <c r="QWA614" s="294"/>
      <c r="QWB614" s="294"/>
      <c r="QWC614" s="294"/>
      <c r="QWD614" s="294"/>
      <c r="QWE614" s="294"/>
      <c r="QWF614" s="294"/>
      <c r="QWG614" s="294"/>
      <c r="QWH614" s="294"/>
      <c r="QWI614" s="294"/>
      <c r="QWJ614" s="294"/>
      <c r="QWK614" s="294"/>
      <c r="QWL614" s="294"/>
      <c r="QWM614" s="294"/>
      <c r="QWN614" s="294"/>
      <c r="QWO614" s="294"/>
      <c r="QWP614" s="294"/>
      <c r="QWQ614" s="294"/>
      <c r="QWR614" s="294"/>
      <c r="QWS614" s="294"/>
      <c r="QWT614" s="294"/>
      <c r="QWU614" s="294"/>
      <c r="QWV614" s="294"/>
      <c r="QWW614" s="294"/>
      <c r="QWX614" s="294"/>
      <c r="QWY614" s="294"/>
      <c r="QWZ614" s="294"/>
      <c r="QXA614" s="294"/>
      <c r="QXB614" s="294"/>
      <c r="QXC614" s="294"/>
      <c r="QXD614" s="294"/>
      <c r="QXE614" s="294"/>
      <c r="QXF614" s="294"/>
      <c r="QXG614" s="294"/>
      <c r="QXH614" s="294"/>
      <c r="QXI614" s="294"/>
      <c r="QXJ614" s="294"/>
      <c r="QXK614" s="294"/>
      <c r="QXL614" s="294"/>
      <c r="QXM614" s="294"/>
      <c r="QXN614" s="294"/>
      <c r="QXO614" s="294"/>
      <c r="QXP614" s="294"/>
      <c r="QXQ614" s="294"/>
      <c r="QXR614" s="294"/>
      <c r="QXS614" s="294"/>
      <c r="QXT614" s="294"/>
      <c r="QXU614" s="294"/>
      <c r="QXV614" s="294"/>
      <c r="QXW614" s="294"/>
      <c r="QXX614" s="294"/>
      <c r="QXY614" s="294"/>
      <c r="QXZ614" s="294"/>
      <c r="QYA614" s="294"/>
      <c r="QYB614" s="294"/>
      <c r="QYC614" s="294"/>
      <c r="QYD614" s="294"/>
      <c r="QYE614" s="294"/>
      <c r="QYF614" s="294"/>
      <c r="QYG614" s="294"/>
      <c r="QYH614" s="294"/>
      <c r="QYI614" s="294"/>
      <c r="QYJ614" s="294"/>
      <c r="QYK614" s="294"/>
      <c r="QYL614" s="294"/>
      <c r="QYM614" s="294"/>
      <c r="QYN614" s="294"/>
      <c r="QYO614" s="294"/>
      <c r="QYP614" s="294"/>
      <c r="QYQ614" s="294"/>
      <c r="QYR614" s="294"/>
      <c r="QYS614" s="294"/>
      <c r="QYT614" s="294"/>
      <c r="QYU614" s="294"/>
      <c r="QYV614" s="294"/>
      <c r="QYW614" s="294"/>
      <c r="QYX614" s="294"/>
      <c r="QYY614" s="294"/>
      <c r="QYZ614" s="294"/>
      <c r="QZA614" s="294"/>
      <c r="QZB614" s="294"/>
      <c r="QZC614" s="294"/>
      <c r="QZD614" s="294"/>
      <c r="QZE614" s="294"/>
      <c r="QZF614" s="294"/>
      <c r="QZG614" s="294"/>
      <c r="QZH614" s="294"/>
      <c r="QZI614" s="294"/>
      <c r="QZJ614" s="294"/>
      <c r="QZK614" s="294"/>
      <c r="QZL614" s="294"/>
      <c r="QZM614" s="294"/>
      <c r="QZN614" s="294"/>
      <c r="QZO614" s="294"/>
      <c r="QZP614" s="294"/>
      <c r="QZQ614" s="294"/>
      <c r="QZR614" s="294"/>
      <c r="QZS614" s="294"/>
      <c r="QZT614" s="294"/>
      <c r="QZU614" s="294"/>
      <c r="QZV614" s="294"/>
      <c r="QZW614" s="294"/>
      <c r="QZX614" s="294"/>
      <c r="QZY614" s="294"/>
      <c r="QZZ614" s="294"/>
      <c r="RAA614" s="294"/>
      <c r="RAB614" s="294"/>
      <c r="RAC614" s="294"/>
      <c r="RAD614" s="294"/>
      <c r="RAE614" s="294"/>
      <c r="RAF614" s="294"/>
      <c r="RAG614" s="294"/>
      <c r="RAH614" s="294"/>
      <c r="RAI614" s="294"/>
      <c r="RAJ614" s="294"/>
      <c r="RAK614" s="294"/>
      <c r="RAL614" s="294"/>
      <c r="RAM614" s="294"/>
      <c r="RAN614" s="294"/>
      <c r="RAO614" s="294"/>
      <c r="RAP614" s="294"/>
      <c r="RAQ614" s="294"/>
      <c r="RAR614" s="294"/>
      <c r="RAS614" s="294"/>
      <c r="RAT614" s="294"/>
      <c r="RAU614" s="294"/>
      <c r="RAV614" s="294"/>
      <c r="RAW614" s="294"/>
      <c r="RAX614" s="294"/>
      <c r="RAY614" s="294"/>
      <c r="RAZ614" s="294"/>
      <c r="RBA614" s="294"/>
      <c r="RBB614" s="294"/>
      <c r="RBC614" s="294"/>
      <c r="RBD614" s="294"/>
      <c r="RBE614" s="294"/>
      <c r="RBF614" s="294"/>
      <c r="RBG614" s="294"/>
      <c r="RBH614" s="294"/>
      <c r="RBI614" s="294"/>
      <c r="RBJ614" s="294"/>
      <c r="RBK614" s="294"/>
      <c r="RBL614" s="294"/>
      <c r="RBM614" s="294"/>
      <c r="RBN614" s="294"/>
      <c r="RBO614" s="294"/>
      <c r="RBP614" s="294"/>
      <c r="RBQ614" s="294"/>
      <c r="RBR614" s="294"/>
      <c r="RBS614" s="294"/>
      <c r="RBT614" s="294"/>
      <c r="RBU614" s="294"/>
      <c r="RBV614" s="294"/>
      <c r="RBW614" s="294"/>
      <c r="RBX614" s="294"/>
      <c r="RBY614" s="294"/>
      <c r="RBZ614" s="294"/>
      <c r="RCA614" s="294"/>
      <c r="RCB614" s="294"/>
      <c r="RCC614" s="294"/>
      <c r="RCD614" s="294"/>
      <c r="RCE614" s="294"/>
      <c r="RCF614" s="294"/>
      <c r="RCG614" s="294"/>
      <c r="RCH614" s="294"/>
      <c r="RCI614" s="294"/>
      <c r="RCJ614" s="294"/>
      <c r="RCK614" s="294"/>
      <c r="RCL614" s="294"/>
      <c r="RCM614" s="294"/>
      <c r="RCN614" s="294"/>
      <c r="RCO614" s="294"/>
      <c r="RCP614" s="294"/>
      <c r="RCQ614" s="294"/>
      <c r="RCR614" s="294"/>
      <c r="RCS614" s="294"/>
      <c r="RCT614" s="294"/>
      <c r="RCU614" s="294"/>
      <c r="RCV614" s="294"/>
      <c r="RCW614" s="294"/>
      <c r="RCX614" s="294"/>
      <c r="RCY614" s="294"/>
      <c r="RCZ614" s="294"/>
      <c r="RDA614" s="294"/>
      <c r="RDB614" s="294"/>
      <c r="RDC614" s="294"/>
      <c r="RDD614" s="294"/>
      <c r="RDE614" s="294"/>
      <c r="RDF614" s="294"/>
      <c r="RDG614" s="294"/>
      <c r="RDH614" s="294"/>
      <c r="RDI614" s="294"/>
      <c r="RDJ614" s="294"/>
      <c r="RDK614" s="294"/>
      <c r="RDL614" s="294"/>
      <c r="RDM614" s="294"/>
      <c r="RDN614" s="294"/>
      <c r="RDO614" s="294"/>
      <c r="RDP614" s="294"/>
      <c r="RDQ614" s="294"/>
      <c r="RDR614" s="294"/>
      <c r="RDS614" s="294"/>
      <c r="RDT614" s="294"/>
      <c r="RDU614" s="294"/>
      <c r="RDV614" s="294"/>
      <c r="RDW614" s="294"/>
      <c r="RDX614" s="294"/>
      <c r="RDY614" s="294"/>
      <c r="RDZ614" s="294"/>
      <c r="REA614" s="294"/>
      <c r="REB614" s="294"/>
      <c r="REC614" s="294"/>
      <c r="RED614" s="294"/>
      <c r="REE614" s="294"/>
      <c r="REF614" s="294"/>
      <c r="REG614" s="294"/>
      <c r="REH614" s="294"/>
      <c r="REI614" s="294"/>
      <c r="REJ614" s="294"/>
      <c r="REK614" s="294"/>
      <c r="REL614" s="294"/>
      <c r="REM614" s="294"/>
      <c r="REN614" s="294"/>
      <c r="REO614" s="294"/>
      <c r="REP614" s="294"/>
      <c r="REQ614" s="294"/>
      <c r="RER614" s="294"/>
      <c r="RES614" s="294"/>
      <c r="RET614" s="294"/>
      <c r="REU614" s="294"/>
      <c r="REV614" s="294"/>
      <c r="REW614" s="294"/>
      <c r="REX614" s="294"/>
      <c r="REY614" s="294"/>
      <c r="REZ614" s="294"/>
      <c r="RFA614" s="294"/>
      <c r="RFB614" s="294"/>
      <c r="RFC614" s="294"/>
      <c r="RFD614" s="294"/>
      <c r="RFE614" s="294"/>
      <c r="RFF614" s="294"/>
      <c r="RFG614" s="294"/>
      <c r="RFH614" s="294"/>
      <c r="RFI614" s="294"/>
      <c r="RFJ614" s="294"/>
      <c r="RFK614" s="294"/>
      <c r="RFL614" s="294"/>
      <c r="RFM614" s="294"/>
      <c r="RFN614" s="294"/>
      <c r="RFO614" s="294"/>
      <c r="RFP614" s="294"/>
      <c r="RFQ614" s="294"/>
      <c r="RFR614" s="294"/>
      <c r="RFS614" s="294"/>
      <c r="RFT614" s="294"/>
      <c r="RFU614" s="294"/>
      <c r="RFV614" s="294"/>
      <c r="RFW614" s="294"/>
      <c r="RFX614" s="294"/>
      <c r="RFY614" s="294"/>
      <c r="RFZ614" s="294"/>
      <c r="RGA614" s="294"/>
      <c r="RGB614" s="294"/>
      <c r="RGC614" s="294"/>
      <c r="RGD614" s="294"/>
      <c r="RGE614" s="294"/>
      <c r="RGF614" s="294"/>
      <c r="RGG614" s="294"/>
      <c r="RGH614" s="294"/>
      <c r="RGI614" s="294"/>
      <c r="RGJ614" s="294"/>
      <c r="RGK614" s="294"/>
      <c r="RGL614" s="294"/>
      <c r="RGM614" s="294"/>
      <c r="RGN614" s="294"/>
      <c r="RGO614" s="294"/>
      <c r="RGP614" s="294"/>
      <c r="RGQ614" s="294"/>
      <c r="RGR614" s="294"/>
      <c r="RGS614" s="294"/>
      <c r="RGT614" s="294"/>
      <c r="RGU614" s="294"/>
      <c r="RGV614" s="294"/>
      <c r="RGW614" s="294"/>
      <c r="RGX614" s="294"/>
      <c r="RGY614" s="294"/>
      <c r="RGZ614" s="294"/>
      <c r="RHA614" s="294"/>
      <c r="RHB614" s="294"/>
      <c r="RHC614" s="294"/>
      <c r="RHD614" s="294"/>
      <c r="RHE614" s="294"/>
      <c r="RHF614" s="294"/>
      <c r="RHG614" s="294"/>
      <c r="RHH614" s="294"/>
      <c r="RHI614" s="294"/>
      <c r="RHJ614" s="294"/>
      <c r="RHK614" s="294"/>
      <c r="RHL614" s="294"/>
      <c r="RHM614" s="294"/>
      <c r="RHN614" s="294"/>
      <c r="RHO614" s="294"/>
      <c r="RHP614" s="294"/>
      <c r="RHQ614" s="294"/>
      <c r="RHR614" s="294"/>
      <c r="RHS614" s="294"/>
      <c r="RHT614" s="294"/>
      <c r="RHU614" s="294"/>
      <c r="RHV614" s="294"/>
      <c r="RHW614" s="294"/>
      <c r="RHX614" s="294"/>
      <c r="RHY614" s="294"/>
      <c r="RHZ614" s="294"/>
      <c r="RIA614" s="294"/>
      <c r="RIB614" s="294"/>
      <c r="RIC614" s="294"/>
      <c r="RID614" s="294"/>
      <c r="RIE614" s="294"/>
      <c r="RIF614" s="294"/>
      <c r="RIG614" s="294"/>
      <c r="RIH614" s="294"/>
      <c r="RII614" s="294"/>
      <c r="RIJ614" s="294"/>
      <c r="RIK614" s="294"/>
      <c r="RIL614" s="294"/>
      <c r="RIM614" s="294"/>
      <c r="RIN614" s="294"/>
      <c r="RIO614" s="294"/>
      <c r="RIP614" s="294"/>
      <c r="RIQ614" s="294"/>
      <c r="RIR614" s="294"/>
      <c r="RIS614" s="294"/>
      <c r="RIT614" s="294"/>
      <c r="RIU614" s="294"/>
      <c r="RIV614" s="294"/>
      <c r="RIW614" s="294"/>
      <c r="RIX614" s="294"/>
      <c r="RIY614" s="294"/>
      <c r="RIZ614" s="294"/>
      <c r="RJA614" s="294"/>
      <c r="RJB614" s="294"/>
      <c r="RJC614" s="294"/>
      <c r="RJD614" s="294"/>
      <c r="RJE614" s="294"/>
      <c r="RJF614" s="294"/>
      <c r="RJG614" s="294"/>
      <c r="RJH614" s="294"/>
      <c r="RJI614" s="294"/>
      <c r="RJJ614" s="294"/>
      <c r="RJK614" s="294"/>
      <c r="RJL614" s="294"/>
      <c r="RJM614" s="294"/>
      <c r="RJN614" s="294"/>
      <c r="RJO614" s="294"/>
      <c r="RJP614" s="294"/>
      <c r="RJQ614" s="294"/>
      <c r="RJR614" s="294"/>
      <c r="RJS614" s="294"/>
      <c r="RJT614" s="294"/>
      <c r="RJU614" s="294"/>
      <c r="RJV614" s="294"/>
      <c r="RJW614" s="294"/>
      <c r="RJX614" s="294"/>
      <c r="RJY614" s="294"/>
      <c r="RJZ614" s="294"/>
      <c r="RKA614" s="294"/>
      <c r="RKB614" s="294"/>
      <c r="RKC614" s="294"/>
      <c r="RKD614" s="294"/>
      <c r="RKE614" s="294"/>
      <c r="RKF614" s="294"/>
      <c r="RKG614" s="294"/>
      <c r="RKH614" s="294"/>
      <c r="RKI614" s="294"/>
      <c r="RKJ614" s="294"/>
      <c r="RKK614" s="294"/>
      <c r="RKL614" s="294"/>
      <c r="RKM614" s="294"/>
      <c r="RKN614" s="294"/>
      <c r="RKO614" s="294"/>
      <c r="RKP614" s="294"/>
      <c r="RKQ614" s="294"/>
      <c r="RKR614" s="294"/>
      <c r="RKS614" s="294"/>
      <c r="RKT614" s="294"/>
      <c r="RKU614" s="294"/>
      <c r="RKV614" s="294"/>
      <c r="RKW614" s="294"/>
      <c r="RKX614" s="294"/>
      <c r="RKY614" s="294"/>
      <c r="RKZ614" s="294"/>
      <c r="RLA614" s="294"/>
      <c r="RLB614" s="294"/>
      <c r="RLC614" s="294"/>
      <c r="RLD614" s="294"/>
      <c r="RLE614" s="294"/>
      <c r="RLF614" s="294"/>
      <c r="RLG614" s="294"/>
      <c r="RLH614" s="294"/>
      <c r="RLI614" s="294"/>
      <c r="RLJ614" s="294"/>
      <c r="RLK614" s="294"/>
      <c r="RLL614" s="294"/>
      <c r="RLM614" s="294"/>
      <c r="RLN614" s="294"/>
      <c r="RLO614" s="294"/>
      <c r="RLP614" s="294"/>
      <c r="RLQ614" s="294"/>
      <c r="RLR614" s="294"/>
      <c r="RLS614" s="294"/>
      <c r="RLT614" s="294"/>
      <c r="RLU614" s="294"/>
      <c r="RLV614" s="294"/>
      <c r="RLW614" s="294"/>
      <c r="RLX614" s="294"/>
      <c r="RLY614" s="294"/>
      <c r="RLZ614" s="294"/>
      <c r="RMA614" s="294"/>
      <c r="RMB614" s="294"/>
      <c r="RMC614" s="294"/>
      <c r="RMD614" s="294"/>
      <c r="RME614" s="294"/>
      <c r="RMF614" s="294"/>
      <c r="RMG614" s="294"/>
      <c r="RMH614" s="294"/>
      <c r="RMI614" s="294"/>
      <c r="RMJ614" s="294"/>
      <c r="RMK614" s="294"/>
      <c r="RML614" s="294"/>
      <c r="RMM614" s="294"/>
      <c r="RMN614" s="294"/>
      <c r="RMO614" s="294"/>
      <c r="RMP614" s="294"/>
      <c r="RMQ614" s="294"/>
      <c r="RMR614" s="294"/>
      <c r="RMS614" s="294"/>
      <c r="RMT614" s="294"/>
      <c r="RMU614" s="294"/>
      <c r="RMV614" s="294"/>
      <c r="RMW614" s="294"/>
      <c r="RMX614" s="294"/>
      <c r="RMY614" s="294"/>
      <c r="RMZ614" s="294"/>
      <c r="RNA614" s="294"/>
      <c r="RNB614" s="294"/>
      <c r="RNC614" s="294"/>
      <c r="RND614" s="294"/>
      <c r="RNE614" s="294"/>
      <c r="RNF614" s="294"/>
      <c r="RNG614" s="294"/>
      <c r="RNH614" s="294"/>
      <c r="RNI614" s="294"/>
      <c r="RNJ614" s="294"/>
      <c r="RNK614" s="294"/>
      <c r="RNL614" s="294"/>
      <c r="RNM614" s="294"/>
      <c r="RNN614" s="294"/>
      <c r="RNO614" s="294"/>
      <c r="RNP614" s="294"/>
      <c r="RNQ614" s="294"/>
      <c r="RNR614" s="294"/>
      <c r="RNS614" s="294"/>
      <c r="RNT614" s="294"/>
      <c r="RNU614" s="294"/>
      <c r="RNV614" s="294"/>
      <c r="RNW614" s="294"/>
      <c r="RNX614" s="294"/>
      <c r="RNY614" s="294"/>
      <c r="RNZ614" s="294"/>
      <c r="ROA614" s="294"/>
      <c r="ROB614" s="294"/>
      <c r="ROC614" s="294"/>
      <c r="ROD614" s="294"/>
      <c r="ROE614" s="294"/>
      <c r="ROF614" s="294"/>
      <c r="ROG614" s="294"/>
      <c r="ROH614" s="294"/>
      <c r="ROI614" s="294"/>
      <c r="ROJ614" s="294"/>
      <c r="ROK614" s="294"/>
      <c r="ROL614" s="294"/>
      <c r="ROM614" s="294"/>
      <c r="RON614" s="294"/>
      <c r="ROO614" s="294"/>
      <c r="ROP614" s="294"/>
      <c r="ROQ614" s="294"/>
      <c r="ROR614" s="294"/>
      <c r="ROS614" s="294"/>
      <c r="ROT614" s="294"/>
      <c r="ROU614" s="294"/>
      <c r="ROV614" s="294"/>
      <c r="ROW614" s="294"/>
      <c r="ROX614" s="294"/>
      <c r="ROY614" s="294"/>
      <c r="ROZ614" s="294"/>
      <c r="RPA614" s="294"/>
      <c r="RPB614" s="294"/>
      <c r="RPC614" s="294"/>
      <c r="RPD614" s="294"/>
      <c r="RPE614" s="294"/>
      <c r="RPF614" s="294"/>
      <c r="RPG614" s="294"/>
      <c r="RPH614" s="294"/>
      <c r="RPI614" s="294"/>
      <c r="RPJ614" s="294"/>
      <c r="RPK614" s="294"/>
      <c r="RPL614" s="294"/>
      <c r="RPM614" s="294"/>
      <c r="RPN614" s="294"/>
      <c r="RPO614" s="294"/>
      <c r="RPP614" s="294"/>
      <c r="RPQ614" s="294"/>
      <c r="RPR614" s="294"/>
      <c r="RPS614" s="294"/>
      <c r="RPT614" s="294"/>
      <c r="RPU614" s="294"/>
      <c r="RPV614" s="294"/>
      <c r="RPW614" s="294"/>
      <c r="RPX614" s="294"/>
      <c r="RPY614" s="294"/>
      <c r="RPZ614" s="294"/>
      <c r="RQA614" s="294"/>
      <c r="RQB614" s="294"/>
      <c r="RQC614" s="294"/>
      <c r="RQD614" s="294"/>
      <c r="RQE614" s="294"/>
      <c r="RQF614" s="294"/>
      <c r="RQG614" s="294"/>
      <c r="RQH614" s="294"/>
      <c r="RQI614" s="294"/>
      <c r="RQJ614" s="294"/>
      <c r="RQK614" s="294"/>
      <c r="RQL614" s="294"/>
      <c r="RQM614" s="294"/>
      <c r="RQN614" s="294"/>
      <c r="RQO614" s="294"/>
      <c r="RQP614" s="294"/>
      <c r="RQQ614" s="294"/>
      <c r="RQR614" s="294"/>
      <c r="RQS614" s="294"/>
      <c r="RQT614" s="294"/>
      <c r="RQU614" s="294"/>
      <c r="RQV614" s="294"/>
      <c r="RQW614" s="294"/>
      <c r="RQX614" s="294"/>
      <c r="RQY614" s="294"/>
      <c r="RQZ614" s="294"/>
      <c r="RRA614" s="294"/>
      <c r="RRB614" s="294"/>
      <c r="RRC614" s="294"/>
      <c r="RRD614" s="294"/>
      <c r="RRE614" s="294"/>
      <c r="RRF614" s="294"/>
      <c r="RRG614" s="294"/>
      <c r="RRH614" s="294"/>
      <c r="RRI614" s="294"/>
      <c r="RRJ614" s="294"/>
      <c r="RRK614" s="294"/>
      <c r="RRL614" s="294"/>
      <c r="RRM614" s="294"/>
      <c r="RRN614" s="294"/>
      <c r="RRO614" s="294"/>
      <c r="RRP614" s="294"/>
      <c r="RRQ614" s="294"/>
      <c r="RRR614" s="294"/>
      <c r="RRS614" s="294"/>
      <c r="RRT614" s="294"/>
      <c r="RRU614" s="294"/>
      <c r="RRV614" s="294"/>
      <c r="RRW614" s="294"/>
      <c r="RRX614" s="294"/>
      <c r="RRY614" s="294"/>
      <c r="RRZ614" s="294"/>
      <c r="RSA614" s="294"/>
      <c r="RSB614" s="294"/>
      <c r="RSC614" s="294"/>
      <c r="RSD614" s="294"/>
      <c r="RSE614" s="294"/>
      <c r="RSF614" s="294"/>
      <c r="RSG614" s="294"/>
      <c r="RSH614" s="294"/>
      <c r="RSI614" s="294"/>
      <c r="RSJ614" s="294"/>
      <c r="RSK614" s="294"/>
      <c r="RSL614" s="294"/>
      <c r="RSM614" s="294"/>
      <c r="RSN614" s="294"/>
      <c r="RSO614" s="294"/>
      <c r="RSP614" s="294"/>
      <c r="RSQ614" s="294"/>
      <c r="RSR614" s="294"/>
      <c r="RSS614" s="294"/>
      <c r="RST614" s="294"/>
      <c r="RSU614" s="294"/>
      <c r="RSV614" s="294"/>
      <c r="RSW614" s="294"/>
      <c r="RSX614" s="294"/>
      <c r="RSY614" s="294"/>
      <c r="RSZ614" s="294"/>
      <c r="RTA614" s="294"/>
      <c r="RTB614" s="294"/>
      <c r="RTC614" s="294"/>
      <c r="RTD614" s="294"/>
      <c r="RTE614" s="294"/>
      <c r="RTF614" s="294"/>
      <c r="RTG614" s="294"/>
      <c r="RTH614" s="294"/>
      <c r="RTI614" s="294"/>
      <c r="RTJ614" s="294"/>
      <c r="RTK614" s="294"/>
      <c r="RTL614" s="294"/>
      <c r="RTM614" s="294"/>
      <c r="RTN614" s="294"/>
      <c r="RTO614" s="294"/>
      <c r="RTP614" s="294"/>
      <c r="RTQ614" s="294"/>
      <c r="RTR614" s="294"/>
      <c r="RTS614" s="294"/>
      <c r="RTT614" s="294"/>
      <c r="RTU614" s="294"/>
      <c r="RTV614" s="294"/>
      <c r="RTW614" s="294"/>
      <c r="RTX614" s="294"/>
      <c r="RTY614" s="294"/>
      <c r="RTZ614" s="294"/>
      <c r="RUA614" s="294"/>
      <c r="RUB614" s="294"/>
      <c r="RUC614" s="294"/>
      <c r="RUD614" s="294"/>
      <c r="RUE614" s="294"/>
      <c r="RUF614" s="294"/>
      <c r="RUG614" s="294"/>
      <c r="RUH614" s="294"/>
      <c r="RUI614" s="294"/>
      <c r="RUJ614" s="294"/>
      <c r="RUK614" s="294"/>
      <c r="RUL614" s="294"/>
      <c r="RUM614" s="294"/>
      <c r="RUN614" s="294"/>
      <c r="RUO614" s="294"/>
      <c r="RUP614" s="294"/>
      <c r="RUQ614" s="294"/>
      <c r="RUR614" s="294"/>
      <c r="RUS614" s="294"/>
      <c r="RUT614" s="294"/>
      <c r="RUU614" s="294"/>
      <c r="RUV614" s="294"/>
      <c r="RUW614" s="294"/>
      <c r="RUX614" s="294"/>
      <c r="RUY614" s="294"/>
      <c r="RUZ614" s="294"/>
      <c r="RVA614" s="294"/>
      <c r="RVB614" s="294"/>
      <c r="RVC614" s="294"/>
      <c r="RVD614" s="294"/>
      <c r="RVE614" s="294"/>
      <c r="RVF614" s="294"/>
      <c r="RVG614" s="294"/>
      <c r="RVH614" s="294"/>
      <c r="RVI614" s="294"/>
      <c r="RVJ614" s="294"/>
      <c r="RVK614" s="294"/>
      <c r="RVL614" s="294"/>
      <c r="RVM614" s="294"/>
      <c r="RVN614" s="294"/>
      <c r="RVO614" s="294"/>
      <c r="RVP614" s="294"/>
      <c r="RVQ614" s="294"/>
      <c r="RVR614" s="294"/>
      <c r="RVS614" s="294"/>
      <c r="RVT614" s="294"/>
      <c r="RVU614" s="294"/>
      <c r="RVV614" s="294"/>
      <c r="RVW614" s="294"/>
      <c r="RVX614" s="294"/>
      <c r="RVY614" s="294"/>
      <c r="RVZ614" s="294"/>
      <c r="RWA614" s="294"/>
      <c r="RWB614" s="294"/>
      <c r="RWC614" s="294"/>
      <c r="RWD614" s="294"/>
      <c r="RWE614" s="294"/>
      <c r="RWF614" s="294"/>
      <c r="RWG614" s="294"/>
      <c r="RWH614" s="294"/>
      <c r="RWI614" s="294"/>
      <c r="RWJ614" s="294"/>
      <c r="RWK614" s="294"/>
      <c r="RWL614" s="294"/>
      <c r="RWM614" s="294"/>
      <c r="RWN614" s="294"/>
      <c r="RWO614" s="294"/>
      <c r="RWP614" s="294"/>
      <c r="RWQ614" s="294"/>
      <c r="RWR614" s="294"/>
      <c r="RWS614" s="294"/>
      <c r="RWT614" s="294"/>
      <c r="RWU614" s="294"/>
      <c r="RWV614" s="294"/>
      <c r="RWW614" s="294"/>
      <c r="RWX614" s="294"/>
      <c r="RWY614" s="294"/>
      <c r="RWZ614" s="294"/>
      <c r="RXA614" s="294"/>
      <c r="RXB614" s="294"/>
      <c r="RXC614" s="294"/>
      <c r="RXD614" s="294"/>
      <c r="RXE614" s="294"/>
      <c r="RXF614" s="294"/>
      <c r="RXG614" s="294"/>
      <c r="RXH614" s="294"/>
      <c r="RXI614" s="294"/>
      <c r="RXJ614" s="294"/>
      <c r="RXK614" s="294"/>
      <c r="RXL614" s="294"/>
      <c r="RXM614" s="294"/>
      <c r="RXN614" s="294"/>
      <c r="RXO614" s="294"/>
      <c r="RXP614" s="294"/>
      <c r="RXQ614" s="294"/>
      <c r="RXR614" s="294"/>
      <c r="RXS614" s="294"/>
      <c r="RXT614" s="294"/>
      <c r="RXU614" s="294"/>
      <c r="RXV614" s="294"/>
      <c r="RXW614" s="294"/>
      <c r="RXX614" s="294"/>
      <c r="RXY614" s="294"/>
      <c r="RXZ614" s="294"/>
      <c r="RYA614" s="294"/>
      <c r="RYB614" s="294"/>
      <c r="RYC614" s="294"/>
      <c r="RYD614" s="294"/>
      <c r="RYE614" s="294"/>
      <c r="RYF614" s="294"/>
      <c r="RYG614" s="294"/>
      <c r="RYH614" s="294"/>
      <c r="RYI614" s="294"/>
      <c r="RYJ614" s="294"/>
      <c r="RYK614" s="294"/>
      <c r="RYL614" s="294"/>
      <c r="RYM614" s="294"/>
      <c r="RYN614" s="294"/>
      <c r="RYO614" s="294"/>
      <c r="RYP614" s="294"/>
      <c r="RYQ614" s="294"/>
      <c r="RYR614" s="294"/>
      <c r="RYS614" s="294"/>
      <c r="RYT614" s="294"/>
      <c r="RYU614" s="294"/>
      <c r="RYV614" s="294"/>
      <c r="RYW614" s="294"/>
      <c r="RYX614" s="294"/>
      <c r="RYY614" s="294"/>
      <c r="RYZ614" s="294"/>
      <c r="RZA614" s="294"/>
      <c r="RZB614" s="294"/>
      <c r="RZC614" s="294"/>
      <c r="RZD614" s="294"/>
      <c r="RZE614" s="294"/>
      <c r="RZF614" s="294"/>
      <c r="RZG614" s="294"/>
      <c r="RZH614" s="294"/>
      <c r="RZI614" s="294"/>
      <c r="RZJ614" s="294"/>
      <c r="RZK614" s="294"/>
      <c r="RZL614" s="294"/>
      <c r="RZM614" s="294"/>
      <c r="RZN614" s="294"/>
      <c r="RZO614" s="294"/>
      <c r="RZP614" s="294"/>
      <c r="RZQ614" s="294"/>
      <c r="RZR614" s="294"/>
      <c r="RZS614" s="294"/>
      <c r="RZT614" s="294"/>
      <c r="RZU614" s="294"/>
      <c r="RZV614" s="294"/>
      <c r="RZW614" s="294"/>
      <c r="RZX614" s="294"/>
      <c r="RZY614" s="294"/>
      <c r="RZZ614" s="294"/>
      <c r="SAA614" s="294"/>
      <c r="SAB614" s="294"/>
      <c r="SAC614" s="294"/>
      <c r="SAD614" s="294"/>
      <c r="SAE614" s="294"/>
      <c r="SAF614" s="294"/>
      <c r="SAG614" s="294"/>
      <c r="SAH614" s="294"/>
      <c r="SAI614" s="294"/>
      <c r="SAJ614" s="294"/>
      <c r="SAK614" s="294"/>
      <c r="SAL614" s="294"/>
      <c r="SAM614" s="294"/>
      <c r="SAN614" s="294"/>
      <c r="SAO614" s="294"/>
      <c r="SAP614" s="294"/>
      <c r="SAQ614" s="294"/>
      <c r="SAR614" s="294"/>
      <c r="SAS614" s="294"/>
      <c r="SAT614" s="294"/>
      <c r="SAU614" s="294"/>
      <c r="SAV614" s="294"/>
      <c r="SAW614" s="294"/>
      <c r="SAX614" s="294"/>
      <c r="SAY614" s="294"/>
      <c r="SAZ614" s="294"/>
      <c r="SBA614" s="294"/>
      <c r="SBB614" s="294"/>
      <c r="SBC614" s="294"/>
      <c r="SBD614" s="294"/>
      <c r="SBE614" s="294"/>
      <c r="SBF614" s="294"/>
      <c r="SBG614" s="294"/>
      <c r="SBH614" s="294"/>
      <c r="SBI614" s="294"/>
      <c r="SBJ614" s="294"/>
      <c r="SBK614" s="294"/>
      <c r="SBL614" s="294"/>
      <c r="SBM614" s="294"/>
      <c r="SBN614" s="294"/>
      <c r="SBO614" s="294"/>
      <c r="SBP614" s="294"/>
      <c r="SBQ614" s="294"/>
      <c r="SBR614" s="294"/>
      <c r="SBS614" s="294"/>
      <c r="SBT614" s="294"/>
      <c r="SBU614" s="294"/>
      <c r="SBV614" s="294"/>
      <c r="SBW614" s="294"/>
      <c r="SBX614" s="294"/>
      <c r="SBY614" s="294"/>
      <c r="SBZ614" s="294"/>
      <c r="SCA614" s="294"/>
      <c r="SCB614" s="294"/>
      <c r="SCC614" s="294"/>
      <c r="SCD614" s="294"/>
      <c r="SCE614" s="294"/>
      <c r="SCF614" s="294"/>
      <c r="SCG614" s="294"/>
      <c r="SCH614" s="294"/>
      <c r="SCI614" s="294"/>
      <c r="SCJ614" s="294"/>
      <c r="SCK614" s="294"/>
      <c r="SCL614" s="294"/>
      <c r="SCM614" s="294"/>
      <c r="SCN614" s="294"/>
      <c r="SCO614" s="294"/>
      <c r="SCP614" s="294"/>
      <c r="SCQ614" s="294"/>
      <c r="SCR614" s="294"/>
      <c r="SCS614" s="294"/>
      <c r="SCT614" s="294"/>
      <c r="SCU614" s="294"/>
      <c r="SCV614" s="294"/>
      <c r="SCW614" s="294"/>
      <c r="SCX614" s="294"/>
      <c r="SCY614" s="294"/>
      <c r="SCZ614" s="294"/>
      <c r="SDA614" s="294"/>
      <c r="SDB614" s="294"/>
      <c r="SDC614" s="294"/>
      <c r="SDD614" s="294"/>
      <c r="SDE614" s="294"/>
      <c r="SDF614" s="294"/>
      <c r="SDG614" s="294"/>
      <c r="SDH614" s="294"/>
      <c r="SDI614" s="294"/>
      <c r="SDJ614" s="294"/>
      <c r="SDK614" s="294"/>
      <c r="SDL614" s="294"/>
      <c r="SDM614" s="294"/>
      <c r="SDN614" s="294"/>
      <c r="SDO614" s="294"/>
      <c r="SDP614" s="294"/>
      <c r="SDQ614" s="294"/>
      <c r="SDR614" s="294"/>
      <c r="SDS614" s="294"/>
      <c r="SDT614" s="294"/>
      <c r="SDU614" s="294"/>
      <c r="SDV614" s="294"/>
      <c r="SDW614" s="294"/>
      <c r="SDX614" s="294"/>
      <c r="SDY614" s="294"/>
      <c r="SDZ614" s="294"/>
      <c r="SEA614" s="294"/>
      <c r="SEB614" s="294"/>
      <c r="SEC614" s="294"/>
      <c r="SED614" s="294"/>
      <c r="SEE614" s="294"/>
      <c r="SEF614" s="294"/>
      <c r="SEG614" s="294"/>
      <c r="SEH614" s="294"/>
      <c r="SEI614" s="294"/>
      <c r="SEJ614" s="294"/>
      <c r="SEK614" s="294"/>
      <c r="SEL614" s="294"/>
      <c r="SEM614" s="294"/>
      <c r="SEN614" s="294"/>
      <c r="SEO614" s="294"/>
      <c r="SEP614" s="294"/>
      <c r="SEQ614" s="294"/>
      <c r="SER614" s="294"/>
      <c r="SES614" s="294"/>
      <c r="SET614" s="294"/>
      <c r="SEU614" s="294"/>
      <c r="SEV614" s="294"/>
      <c r="SEW614" s="294"/>
      <c r="SEX614" s="294"/>
      <c r="SEY614" s="294"/>
      <c r="SEZ614" s="294"/>
      <c r="SFA614" s="294"/>
      <c r="SFB614" s="294"/>
      <c r="SFC614" s="294"/>
      <c r="SFD614" s="294"/>
      <c r="SFE614" s="294"/>
      <c r="SFF614" s="294"/>
      <c r="SFG614" s="294"/>
      <c r="SFH614" s="294"/>
      <c r="SFI614" s="294"/>
      <c r="SFJ614" s="294"/>
      <c r="SFK614" s="294"/>
      <c r="SFL614" s="294"/>
      <c r="SFM614" s="294"/>
      <c r="SFN614" s="294"/>
      <c r="SFO614" s="294"/>
      <c r="SFP614" s="294"/>
      <c r="SFQ614" s="294"/>
      <c r="SFR614" s="294"/>
      <c r="SFS614" s="294"/>
      <c r="SFT614" s="294"/>
      <c r="SFU614" s="294"/>
      <c r="SFV614" s="294"/>
      <c r="SFW614" s="294"/>
      <c r="SFX614" s="294"/>
      <c r="SFY614" s="294"/>
      <c r="SFZ614" s="294"/>
      <c r="SGA614" s="294"/>
      <c r="SGB614" s="294"/>
      <c r="SGC614" s="294"/>
      <c r="SGD614" s="294"/>
      <c r="SGE614" s="294"/>
      <c r="SGF614" s="294"/>
      <c r="SGG614" s="294"/>
      <c r="SGH614" s="294"/>
      <c r="SGI614" s="294"/>
      <c r="SGJ614" s="294"/>
      <c r="SGK614" s="294"/>
      <c r="SGL614" s="294"/>
      <c r="SGM614" s="294"/>
      <c r="SGN614" s="294"/>
      <c r="SGO614" s="294"/>
      <c r="SGP614" s="294"/>
      <c r="SGQ614" s="294"/>
      <c r="SGR614" s="294"/>
      <c r="SGS614" s="294"/>
      <c r="SGT614" s="294"/>
      <c r="SGU614" s="294"/>
      <c r="SGV614" s="294"/>
      <c r="SGW614" s="294"/>
      <c r="SGX614" s="294"/>
      <c r="SGY614" s="294"/>
      <c r="SGZ614" s="294"/>
      <c r="SHA614" s="294"/>
      <c r="SHB614" s="294"/>
      <c r="SHC614" s="294"/>
      <c r="SHD614" s="294"/>
      <c r="SHE614" s="294"/>
      <c r="SHF614" s="294"/>
      <c r="SHG614" s="294"/>
      <c r="SHH614" s="294"/>
      <c r="SHI614" s="294"/>
      <c r="SHJ614" s="294"/>
      <c r="SHK614" s="294"/>
      <c r="SHL614" s="294"/>
      <c r="SHM614" s="294"/>
      <c r="SHN614" s="294"/>
      <c r="SHO614" s="294"/>
      <c r="SHP614" s="294"/>
      <c r="SHQ614" s="294"/>
      <c r="SHR614" s="294"/>
      <c r="SHS614" s="294"/>
      <c r="SHT614" s="294"/>
      <c r="SHU614" s="294"/>
      <c r="SHV614" s="294"/>
      <c r="SHW614" s="294"/>
      <c r="SHX614" s="294"/>
      <c r="SHY614" s="294"/>
      <c r="SHZ614" s="294"/>
      <c r="SIA614" s="294"/>
      <c r="SIB614" s="294"/>
      <c r="SIC614" s="294"/>
      <c r="SID614" s="294"/>
      <c r="SIE614" s="294"/>
      <c r="SIF614" s="294"/>
      <c r="SIG614" s="294"/>
      <c r="SIH614" s="294"/>
      <c r="SII614" s="294"/>
      <c r="SIJ614" s="294"/>
      <c r="SIK614" s="294"/>
      <c r="SIL614" s="294"/>
      <c r="SIM614" s="294"/>
      <c r="SIN614" s="294"/>
      <c r="SIO614" s="294"/>
      <c r="SIP614" s="294"/>
      <c r="SIQ614" s="294"/>
      <c r="SIR614" s="294"/>
      <c r="SIS614" s="294"/>
      <c r="SIT614" s="294"/>
      <c r="SIU614" s="294"/>
      <c r="SIV614" s="294"/>
      <c r="SIW614" s="294"/>
      <c r="SIX614" s="294"/>
      <c r="SIY614" s="294"/>
      <c r="SIZ614" s="294"/>
      <c r="SJA614" s="294"/>
      <c r="SJB614" s="294"/>
      <c r="SJC614" s="294"/>
      <c r="SJD614" s="294"/>
      <c r="SJE614" s="294"/>
      <c r="SJF614" s="294"/>
      <c r="SJG614" s="294"/>
      <c r="SJH614" s="294"/>
      <c r="SJI614" s="294"/>
      <c r="SJJ614" s="294"/>
      <c r="SJK614" s="294"/>
      <c r="SJL614" s="294"/>
      <c r="SJM614" s="294"/>
      <c r="SJN614" s="294"/>
      <c r="SJO614" s="294"/>
      <c r="SJP614" s="294"/>
      <c r="SJQ614" s="294"/>
      <c r="SJR614" s="294"/>
      <c r="SJS614" s="294"/>
      <c r="SJT614" s="294"/>
      <c r="SJU614" s="294"/>
      <c r="SJV614" s="294"/>
      <c r="SJW614" s="294"/>
      <c r="SJX614" s="294"/>
      <c r="SJY614" s="294"/>
      <c r="SJZ614" s="294"/>
      <c r="SKA614" s="294"/>
      <c r="SKB614" s="294"/>
      <c r="SKC614" s="294"/>
      <c r="SKD614" s="294"/>
      <c r="SKE614" s="294"/>
      <c r="SKF614" s="294"/>
      <c r="SKG614" s="294"/>
      <c r="SKH614" s="294"/>
      <c r="SKI614" s="294"/>
      <c r="SKJ614" s="294"/>
      <c r="SKK614" s="294"/>
      <c r="SKL614" s="294"/>
      <c r="SKM614" s="294"/>
      <c r="SKN614" s="294"/>
      <c r="SKO614" s="294"/>
      <c r="SKP614" s="294"/>
      <c r="SKQ614" s="294"/>
      <c r="SKR614" s="294"/>
      <c r="SKS614" s="294"/>
      <c r="SKT614" s="294"/>
      <c r="SKU614" s="294"/>
      <c r="SKV614" s="294"/>
      <c r="SKW614" s="294"/>
      <c r="SKX614" s="294"/>
      <c r="SKY614" s="294"/>
      <c r="SKZ614" s="294"/>
      <c r="SLA614" s="294"/>
      <c r="SLB614" s="294"/>
      <c r="SLC614" s="294"/>
      <c r="SLD614" s="294"/>
      <c r="SLE614" s="294"/>
      <c r="SLF614" s="294"/>
      <c r="SLG614" s="294"/>
      <c r="SLH614" s="294"/>
      <c r="SLI614" s="294"/>
      <c r="SLJ614" s="294"/>
      <c r="SLK614" s="294"/>
      <c r="SLL614" s="294"/>
      <c r="SLM614" s="294"/>
      <c r="SLN614" s="294"/>
      <c r="SLO614" s="294"/>
      <c r="SLP614" s="294"/>
      <c r="SLQ614" s="294"/>
      <c r="SLR614" s="294"/>
      <c r="SLS614" s="294"/>
      <c r="SLT614" s="294"/>
      <c r="SLU614" s="294"/>
      <c r="SLV614" s="294"/>
      <c r="SLW614" s="294"/>
      <c r="SLX614" s="294"/>
      <c r="SLY614" s="294"/>
      <c r="SLZ614" s="294"/>
      <c r="SMA614" s="294"/>
      <c r="SMB614" s="294"/>
      <c r="SMC614" s="294"/>
      <c r="SMD614" s="294"/>
      <c r="SME614" s="294"/>
      <c r="SMF614" s="294"/>
      <c r="SMG614" s="294"/>
      <c r="SMH614" s="294"/>
      <c r="SMI614" s="294"/>
      <c r="SMJ614" s="294"/>
      <c r="SMK614" s="294"/>
      <c r="SML614" s="294"/>
      <c r="SMM614" s="294"/>
      <c r="SMN614" s="294"/>
      <c r="SMO614" s="294"/>
      <c r="SMP614" s="294"/>
      <c r="SMQ614" s="294"/>
      <c r="SMR614" s="294"/>
      <c r="SMS614" s="294"/>
      <c r="SMT614" s="294"/>
      <c r="SMU614" s="294"/>
      <c r="SMV614" s="294"/>
      <c r="SMW614" s="294"/>
      <c r="SMX614" s="294"/>
      <c r="SMY614" s="294"/>
      <c r="SMZ614" s="294"/>
      <c r="SNA614" s="294"/>
      <c r="SNB614" s="294"/>
      <c r="SNC614" s="294"/>
      <c r="SND614" s="294"/>
      <c r="SNE614" s="294"/>
      <c r="SNF614" s="294"/>
      <c r="SNG614" s="294"/>
      <c r="SNH614" s="294"/>
      <c r="SNI614" s="294"/>
      <c r="SNJ614" s="294"/>
      <c r="SNK614" s="294"/>
      <c r="SNL614" s="294"/>
      <c r="SNM614" s="294"/>
      <c r="SNN614" s="294"/>
      <c r="SNO614" s="294"/>
      <c r="SNP614" s="294"/>
      <c r="SNQ614" s="294"/>
      <c r="SNR614" s="294"/>
      <c r="SNS614" s="294"/>
      <c r="SNT614" s="294"/>
      <c r="SNU614" s="294"/>
      <c r="SNV614" s="294"/>
      <c r="SNW614" s="294"/>
      <c r="SNX614" s="294"/>
      <c r="SNY614" s="294"/>
      <c r="SNZ614" s="294"/>
      <c r="SOA614" s="294"/>
      <c r="SOB614" s="294"/>
      <c r="SOC614" s="294"/>
      <c r="SOD614" s="294"/>
      <c r="SOE614" s="294"/>
      <c r="SOF614" s="294"/>
      <c r="SOG614" s="294"/>
      <c r="SOH614" s="294"/>
      <c r="SOI614" s="294"/>
      <c r="SOJ614" s="294"/>
      <c r="SOK614" s="294"/>
      <c r="SOL614" s="294"/>
      <c r="SOM614" s="294"/>
      <c r="SON614" s="294"/>
      <c r="SOO614" s="294"/>
      <c r="SOP614" s="294"/>
      <c r="SOQ614" s="294"/>
      <c r="SOR614" s="294"/>
      <c r="SOS614" s="294"/>
      <c r="SOT614" s="294"/>
      <c r="SOU614" s="294"/>
      <c r="SOV614" s="294"/>
      <c r="SOW614" s="294"/>
      <c r="SOX614" s="294"/>
      <c r="SOY614" s="294"/>
      <c r="SOZ614" s="294"/>
      <c r="SPA614" s="294"/>
      <c r="SPB614" s="294"/>
      <c r="SPC614" s="294"/>
      <c r="SPD614" s="294"/>
      <c r="SPE614" s="294"/>
      <c r="SPF614" s="294"/>
      <c r="SPG614" s="294"/>
      <c r="SPH614" s="294"/>
      <c r="SPI614" s="294"/>
      <c r="SPJ614" s="294"/>
      <c r="SPK614" s="294"/>
      <c r="SPL614" s="294"/>
      <c r="SPM614" s="294"/>
      <c r="SPN614" s="294"/>
      <c r="SPO614" s="294"/>
      <c r="SPP614" s="294"/>
      <c r="SPQ614" s="294"/>
      <c r="SPR614" s="294"/>
      <c r="SPS614" s="294"/>
      <c r="SPT614" s="294"/>
      <c r="SPU614" s="294"/>
      <c r="SPV614" s="294"/>
      <c r="SPW614" s="294"/>
      <c r="SPX614" s="294"/>
      <c r="SPY614" s="294"/>
      <c r="SPZ614" s="294"/>
      <c r="SQA614" s="294"/>
      <c r="SQB614" s="294"/>
      <c r="SQC614" s="294"/>
      <c r="SQD614" s="294"/>
      <c r="SQE614" s="294"/>
      <c r="SQF614" s="294"/>
      <c r="SQG614" s="294"/>
      <c r="SQH614" s="294"/>
      <c r="SQI614" s="294"/>
      <c r="SQJ614" s="294"/>
      <c r="SQK614" s="294"/>
      <c r="SQL614" s="294"/>
      <c r="SQM614" s="294"/>
      <c r="SQN614" s="294"/>
      <c r="SQO614" s="294"/>
      <c r="SQP614" s="294"/>
      <c r="SQQ614" s="294"/>
      <c r="SQR614" s="294"/>
      <c r="SQS614" s="294"/>
      <c r="SQT614" s="294"/>
      <c r="SQU614" s="294"/>
      <c r="SQV614" s="294"/>
      <c r="SQW614" s="294"/>
      <c r="SQX614" s="294"/>
      <c r="SQY614" s="294"/>
      <c r="SQZ614" s="294"/>
      <c r="SRA614" s="294"/>
      <c r="SRB614" s="294"/>
      <c r="SRC614" s="294"/>
      <c r="SRD614" s="294"/>
      <c r="SRE614" s="294"/>
      <c r="SRF614" s="294"/>
      <c r="SRG614" s="294"/>
      <c r="SRH614" s="294"/>
      <c r="SRI614" s="294"/>
      <c r="SRJ614" s="294"/>
      <c r="SRK614" s="294"/>
      <c r="SRL614" s="294"/>
      <c r="SRM614" s="294"/>
      <c r="SRN614" s="294"/>
      <c r="SRO614" s="294"/>
      <c r="SRP614" s="294"/>
      <c r="SRQ614" s="294"/>
      <c r="SRR614" s="294"/>
      <c r="SRS614" s="294"/>
      <c r="SRT614" s="294"/>
      <c r="SRU614" s="294"/>
      <c r="SRV614" s="294"/>
      <c r="SRW614" s="294"/>
      <c r="SRX614" s="294"/>
      <c r="SRY614" s="294"/>
      <c r="SRZ614" s="294"/>
      <c r="SSA614" s="294"/>
      <c r="SSB614" s="294"/>
      <c r="SSC614" s="294"/>
      <c r="SSD614" s="294"/>
      <c r="SSE614" s="294"/>
      <c r="SSF614" s="294"/>
      <c r="SSG614" s="294"/>
      <c r="SSH614" s="294"/>
      <c r="SSI614" s="294"/>
      <c r="SSJ614" s="294"/>
      <c r="SSK614" s="294"/>
      <c r="SSL614" s="294"/>
      <c r="SSM614" s="294"/>
      <c r="SSN614" s="294"/>
      <c r="SSO614" s="294"/>
      <c r="SSP614" s="294"/>
      <c r="SSQ614" s="294"/>
      <c r="SSR614" s="294"/>
      <c r="SSS614" s="294"/>
      <c r="SST614" s="294"/>
      <c r="SSU614" s="294"/>
      <c r="SSV614" s="294"/>
      <c r="SSW614" s="294"/>
      <c r="SSX614" s="294"/>
      <c r="SSY614" s="294"/>
      <c r="SSZ614" s="294"/>
      <c r="STA614" s="294"/>
      <c r="STB614" s="294"/>
      <c r="STC614" s="294"/>
      <c r="STD614" s="294"/>
      <c r="STE614" s="294"/>
      <c r="STF614" s="294"/>
      <c r="STG614" s="294"/>
      <c r="STH614" s="294"/>
      <c r="STI614" s="294"/>
      <c r="STJ614" s="294"/>
      <c r="STK614" s="294"/>
      <c r="STL614" s="294"/>
      <c r="STM614" s="294"/>
      <c r="STN614" s="294"/>
      <c r="STO614" s="294"/>
      <c r="STP614" s="294"/>
      <c r="STQ614" s="294"/>
      <c r="STR614" s="294"/>
      <c r="STS614" s="294"/>
      <c r="STT614" s="294"/>
      <c r="STU614" s="294"/>
      <c r="STV614" s="294"/>
      <c r="STW614" s="294"/>
      <c r="STX614" s="294"/>
      <c r="STY614" s="294"/>
      <c r="STZ614" s="294"/>
      <c r="SUA614" s="294"/>
      <c r="SUB614" s="294"/>
      <c r="SUC614" s="294"/>
      <c r="SUD614" s="294"/>
      <c r="SUE614" s="294"/>
      <c r="SUF614" s="294"/>
      <c r="SUG614" s="294"/>
      <c r="SUH614" s="294"/>
      <c r="SUI614" s="294"/>
      <c r="SUJ614" s="294"/>
      <c r="SUK614" s="294"/>
      <c r="SUL614" s="294"/>
      <c r="SUM614" s="294"/>
      <c r="SUN614" s="294"/>
      <c r="SUO614" s="294"/>
      <c r="SUP614" s="294"/>
      <c r="SUQ614" s="294"/>
      <c r="SUR614" s="294"/>
      <c r="SUS614" s="294"/>
      <c r="SUT614" s="294"/>
      <c r="SUU614" s="294"/>
      <c r="SUV614" s="294"/>
      <c r="SUW614" s="294"/>
      <c r="SUX614" s="294"/>
      <c r="SUY614" s="294"/>
      <c r="SUZ614" s="294"/>
      <c r="SVA614" s="294"/>
      <c r="SVB614" s="294"/>
      <c r="SVC614" s="294"/>
      <c r="SVD614" s="294"/>
      <c r="SVE614" s="294"/>
      <c r="SVF614" s="294"/>
      <c r="SVG614" s="294"/>
      <c r="SVH614" s="294"/>
      <c r="SVI614" s="294"/>
      <c r="SVJ614" s="294"/>
      <c r="SVK614" s="294"/>
      <c r="SVL614" s="294"/>
      <c r="SVM614" s="294"/>
      <c r="SVN614" s="294"/>
      <c r="SVO614" s="294"/>
      <c r="SVP614" s="294"/>
      <c r="SVQ614" s="294"/>
      <c r="SVR614" s="294"/>
      <c r="SVS614" s="294"/>
      <c r="SVT614" s="294"/>
      <c r="SVU614" s="294"/>
      <c r="SVV614" s="294"/>
      <c r="SVW614" s="294"/>
      <c r="SVX614" s="294"/>
      <c r="SVY614" s="294"/>
      <c r="SVZ614" s="294"/>
      <c r="SWA614" s="294"/>
      <c r="SWB614" s="294"/>
      <c r="SWC614" s="294"/>
      <c r="SWD614" s="294"/>
      <c r="SWE614" s="294"/>
      <c r="SWF614" s="294"/>
      <c r="SWG614" s="294"/>
      <c r="SWH614" s="294"/>
      <c r="SWI614" s="294"/>
      <c r="SWJ614" s="294"/>
      <c r="SWK614" s="294"/>
      <c r="SWL614" s="294"/>
      <c r="SWM614" s="294"/>
      <c r="SWN614" s="294"/>
      <c r="SWO614" s="294"/>
      <c r="SWP614" s="294"/>
      <c r="SWQ614" s="294"/>
      <c r="SWR614" s="294"/>
      <c r="SWS614" s="294"/>
      <c r="SWT614" s="294"/>
      <c r="SWU614" s="294"/>
      <c r="SWV614" s="294"/>
      <c r="SWW614" s="294"/>
      <c r="SWX614" s="294"/>
      <c r="SWY614" s="294"/>
      <c r="SWZ614" s="294"/>
      <c r="SXA614" s="294"/>
      <c r="SXB614" s="294"/>
      <c r="SXC614" s="294"/>
      <c r="SXD614" s="294"/>
      <c r="SXE614" s="294"/>
      <c r="SXF614" s="294"/>
      <c r="SXG614" s="294"/>
      <c r="SXH614" s="294"/>
      <c r="SXI614" s="294"/>
      <c r="SXJ614" s="294"/>
      <c r="SXK614" s="294"/>
      <c r="SXL614" s="294"/>
      <c r="SXM614" s="294"/>
      <c r="SXN614" s="294"/>
      <c r="SXO614" s="294"/>
      <c r="SXP614" s="294"/>
      <c r="SXQ614" s="294"/>
      <c r="SXR614" s="294"/>
      <c r="SXS614" s="294"/>
      <c r="SXT614" s="294"/>
      <c r="SXU614" s="294"/>
      <c r="SXV614" s="294"/>
      <c r="SXW614" s="294"/>
      <c r="SXX614" s="294"/>
      <c r="SXY614" s="294"/>
      <c r="SXZ614" s="294"/>
      <c r="SYA614" s="294"/>
      <c r="SYB614" s="294"/>
      <c r="SYC614" s="294"/>
      <c r="SYD614" s="294"/>
      <c r="SYE614" s="294"/>
      <c r="SYF614" s="294"/>
      <c r="SYG614" s="294"/>
      <c r="SYH614" s="294"/>
      <c r="SYI614" s="294"/>
      <c r="SYJ614" s="294"/>
      <c r="SYK614" s="294"/>
      <c r="SYL614" s="294"/>
      <c r="SYM614" s="294"/>
      <c r="SYN614" s="294"/>
      <c r="SYO614" s="294"/>
      <c r="SYP614" s="294"/>
      <c r="SYQ614" s="294"/>
      <c r="SYR614" s="294"/>
      <c r="SYS614" s="294"/>
      <c r="SYT614" s="294"/>
      <c r="SYU614" s="294"/>
      <c r="SYV614" s="294"/>
      <c r="SYW614" s="294"/>
      <c r="SYX614" s="294"/>
      <c r="SYY614" s="294"/>
      <c r="SYZ614" s="294"/>
      <c r="SZA614" s="294"/>
      <c r="SZB614" s="294"/>
      <c r="SZC614" s="294"/>
      <c r="SZD614" s="294"/>
      <c r="SZE614" s="294"/>
      <c r="SZF614" s="294"/>
      <c r="SZG614" s="294"/>
      <c r="SZH614" s="294"/>
      <c r="SZI614" s="294"/>
      <c r="SZJ614" s="294"/>
      <c r="SZK614" s="294"/>
      <c r="SZL614" s="294"/>
      <c r="SZM614" s="294"/>
      <c r="SZN614" s="294"/>
      <c r="SZO614" s="294"/>
      <c r="SZP614" s="294"/>
      <c r="SZQ614" s="294"/>
      <c r="SZR614" s="294"/>
      <c r="SZS614" s="294"/>
      <c r="SZT614" s="294"/>
      <c r="SZU614" s="294"/>
      <c r="SZV614" s="294"/>
      <c r="SZW614" s="294"/>
      <c r="SZX614" s="294"/>
      <c r="SZY614" s="294"/>
      <c r="SZZ614" s="294"/>
      <c r="TAA614" s="294"/>
      <c r="TAB614" s="294"/>
      <c r="TAC614" s="294"/>
      <c r="TAD614" s="294"/>
      <c r="TAE614" s="294"/>
      <c r="TAF614" s="294"/>
      <c r="TAG614" s="294"/>
      <c r="TAH614" s="294"/>
      <c r="TAI614" s="294"/>
      <c r="TAJ614" s="294"/>
      <c r="TAK614" s="294"/>
      <c r="TAL614" s="294"/>
      <c r="TAM614" s="294"/>
      <c r="TAN614" s="294"/>
      <c r="TAO614" s="294"/>
      <c r="TAP614" s="294"/>
      <c r="TAQ614" s="294"/>
      <c r="TAR614" s="294"/>
      <c r="TAS614" s="294"/>
      <c r="TAT614" s="294"/>
      <c r="TAU614" s="294"/>
      <c r="TAV614" s="294"/>
      <c r="TAW614" s="294"/>
      <c r="TAX614" s="294"/>
      <c r="TAY614" s="294"/>
      <c r="TAZ614" s="294"/>
      <c r="TBA614" s="294"/>
      <c r="TBB614" s="294"/>
      <c r="TBC614" s="294"/>
      <c r="TBD614" s="294"/>
      <c r="TBE614" s="294"/>
      <c r="TBF614" s="294"/>
      <c r="TBG614" s="294"/>
      <c r="TBH614" s="294"/>
      <c r="TBI614" s="294"/>
      <c r="TBJ614" s="294"/>
      <c r="TBK614" s="294"/>
      <c r="TBL614" s="294"/>
      <c r="TBM614" s="294"/>
      <c r="TBN614" s="294"/>
      <c r="TBO614" s="294"/>
      <c r="TBP614" s="294"/>
      <c r="TBQ614" s="294"/>
      <c r="TBR614" s="294"/>
      <c r="TBS614" s="294"/>
      <c r="TBT614" s="294"/>
      <c r="TBU614" s="294"/>
      <c r="TBV614" s="294"/>
      <c r="TBW614" s="294"/>
      <c r="TBX614" s="294"/>
      <c r="TBY614" s="294"/>
      <c r="TBZ614" s="294"/>
      <c r="TCA614" s="294"/>
      <c r="TCB614" s="294"/>
      <c r="TCC614" s="294"/>
      <c r="TCD614" s="294"/>
      <c r="TCE614" s="294"/>
      <c r="TCF614" s="294"/>
      <c r="TCG614" s="294"/>
      <c r="TCH614" s="294"/>
      <c r="TCI614" s="294"/>
      <c r="TCJ614" s="294"/>
      <c r="TCK614" s="294"/>
      <c r="TCL614" s="294"/>
      <c r="TCM614" s="294"/>
      <c r="TCN614" s="294"/>
      <c r="TCO614" s="294"/>
      <c r="TCP614" s="294"/>
      <c r="TCQ614" s="294"/>
      <c r="TCR614" s="294"/>
      <c r="TCS614" s="294"/>
      <c r="TCT614" s="294"/>
      <c r="TCU614" s="294"/>
      <c r="TCV614" s="294"/>
      <c r="TCW614" s="294"/>
      <c r="TCX614" s="294"/>
      <c r="TCY614" s="294"/>
      <c r="TCZ614" s="294"/>
      <c r="TDA614" s="294"/>
      <c r="TDB614" s="294"/>
      <c r="TDC614" s="294"/>
      <c r="TDD614" s="294"/>
      <c r="TDE614" s="294"/>
      <c r="TDF614" s="294"/>
      <c r="TDG614" s="294"/>
      <c r="TDH614" s="294"/>
      <c r="TDI614" s="294"/>
      <c r="TDJ614" s="294"/>
      <c r="TDK614" s="294"/>
      <c r="TDL614" s="294"/>
      <c r="TDM614" s="294"/>
      <c r="TDN614" s="294"/>
      <c r="TDO614" s="294"/>
      <c r="TDP614" s="294"/>
      <c r="TDQ614" s="294"/>
      <c r="TDR614" s="294"/>
      <c r="TDS614" s="294"/>
      <c r="TDT614" s="294"/>
      <c r="TDU614" s="294"/>
      <c r="TDV614" s="294"/>
      <c r="TDW614" s="294"/>
      <c r="TDX614" s="294"/>
      <c r="TDY614" s="294"/>
      <c r="TDZ614" s="294"/>
      <c r="TEA614" s="294"/>
      <c r="TEB614" s="294"/>
      <c r="TEC614" s="294"/>
      <c r="TED614" s="294"/>
      <c r="TEE614" s="294"/>
      <c r="TEF614" s="294"/>
      <c r="TEG614" s="294"/>
      <c r="TEH614" s="294"/>
      <c r="TEI614" s="294"/>
      <c r="TEJ614" s="294"/>
      <c r="TEK614" s="294"/>
      <c r="TEL614" s="294"/>
      <c r="TEM614" s="294"/>
      <c r="TEN614" s="294"/>
      <c r="TEO614" s="294"/>
      <c r="TEP614" s="294"/>
      <c r="TEQ614" s="294"/>
      <c r="TER614" s="294"/>
      <c r="TES614" s="294"/>
      <c r="TET614" s="294"/>
      <c r="TEU614" s="294"/>
      <c r="TEV614" s="294"/>
      <c r="TEW614" s="294"/>
      <c r="TEX614" s="294"/>
      <c r="TEY614" s="294"/>
      <c r="TEZ614" s="294"/>
      <c r="TFA614" s="294"/>
      <c r="TFB614" s="294"/>
      <c r="TFC614" s="294"/>
      <c r="TFD614" s="294"/>
      <c r="TFE614" s="294"/>
      <c r="TFF614" s="294"/>
      <c r="TFG614" s="294"/>
      <c r="TFH614" s="294"/>
      <c r="TFI614" s="294"/>
      <c r="TFJ614" s="294"/>
      <c r="TFK614" s="294"/>
      <c r="TFL614" s="294"/>
      <c r="TFM614" s="294"/>
      <c r="TFN614" s="294"/>
      <c r="TFO614" s="294"/>
      <c r="TFP614" s="294"/>
      <c r="TFQ614" s="294"/>
      <c r="TFR614" s="294"/>
      <c r="TFS614" s="294"/>
      <c r="TFT614" s="294"/>
      <c r="TFU614" s="294"/>
      <c r="TFV614" s="294"/>
      <c r="TFW614" s="294"/>
      <c r="TFX614" s="294"/>
      <c r="TFY614" s="294"/>
      <c r="TFZ614" s="294"/>
      <c r="TGA614" s="294"/>
      <c r="TGB614" s="294"/>
      <c r="TGC614" s="294"/>
      <c r="TGD614" s="294"/>
      <c r="TGE614" s="294"/>
      <c r="TGF614" s="294"/>
      <c r="TGG614" s="294"/>
      <c r="TGH614" s="294"/>
      <c r="TGI614" s="294"/>
      <c r="TGJ614" s="294"/>
      <c r="TGK614" s="294"/>
      <c r="TGL614" s="294"/>
      <c r="TGM614" s="294"/>
      <c r="TGN614" s="294"/>
      <c r="TGO614" s="294"/>
      <c r="TGP614" s="294"/>
      <c r="TGQ614" s="294"/>
      <c r="TGR614" s="294"/>
      <c r="TGS614" s="294"/>
      <c r="TGT614" s="294"/>
      <c r="TGU614" s="294"/>
      <c r="TGV614" s="294"/>
      <c r="TGW614" s="294"/>
      <c r="TGX614" s="294"/>
      <c r="TGY614" s="294"/>
      <c r="TGZ614" s="294"/>
      <c r="THA614" s="294"/>
      <c r="THB614" s="294"/>
      <c r="THC614" s="294"/>
      <c r="THD614" s="294"/>
      <c r="THE614" s="294"/>
      <c r="THF614" s="294"/>
      <c r="THG614" s="294"/>
      <c r="THH614" s="294"/>
      <c r="THI614" s="294"/>
      <c r="THJ614" s="294"/>
      <c r="THK614" s="294"/>
      <c r="THL614" s="294"/>
      <c r="THM614" s="294"/>
      <c r="THN614" s="294"/>
      <c r="THO614" s="294"/>
      <c r="THP614" s="294"/>
      <c r="THQ614" s="294"/>
      <c r="THR614" s="294"/>
      <c r="THS614" s="294"/>
      <c r="THT614" s="294"/>
      <c r="THU614" s="294"/>
      <c r="THV614" s="294"/>
      <c r="THW614" s="294"/>
      <c r="THX614" s="294"/>
      <c r="THY614" s="294"/>
      <c r="THZ614" s="294"/>
      <c r="TIA614" s="294"/>
      <c r="TIB614" s="294"/>
      <c r="TIC614" s="294"/>
      <c r="TID614" s="294"/>
      <c r="TIE614" s="294"/>
      <c r="TIF614" s="294"/>
      <c r="TIG614" s="294"/>
      <c r="TIH614" s="294"/>
      <c r="TII614" s="294"/>
      <c r="TIJ614" s="294"/>
      <c r="TIK614" s="294"/>
      <c r="TIL614" s="294"/>
      <c r="TIM614" s="294"/>
      <c r="TIN614" s="294"/>
      <c r="TIO614" s="294"/>
      <c r="TIP614" s="294"/>
      <c r="TIQ614" s="294"/>
      <c r="TIR614" s="294"/>
      <c r="TIS614" s="294"/>
      <c r="TIT614" s="294"/>
      <c r="TIU614" s="294"/>
      <c r="TIV614" s="294"/>
      <c r="TIW614" s="294"/>
      <c r="TIX614" s="294"/>
      <c r="TIY614" s="294"/>
      <c r="TIZ614" s="294"/>
      <c r="TJA614" s="294"/>
      <c r="TJB614" s="294"/>
      <c r="TJC614" s="294"/>
      <c r="TJD614" s="294"/>
      <c r="TJE614" s="294"/>
      <c r="TJF614" s="294"/>
      <c r="TJG614" s="294"/>
      <c r="TJH614" s="294"/>
      <c r="TJI614" s="294"/>
      <c r="TJJ614" s="294"/>
      <c r="TJK614" s="294"/>
      <c r="TJL614" s="294"/>
      <c r="TJM614" s="294"/>
      <c r="TJN614" s="294"/>
      <c r="TJO614" s="294"/>
      <c r="TJP614" s="294"/>
      <c r="TJQ614" s="294"/>
      <c r="TJR614" s="294"/>
      <c r="TJS614" s="294"/>
      <c r="TJT614" s="294"/>
      <c r="TJU614" s="294"/>
      <c r="TJV614" s="294"/>
      <c r="TJW614" s="294"/>
      <c r="TJX614" s="294"/>
      <c r="TJY614" s="294"/>
      <c r="TJZ614" s="294"/>
      <c r="TKA614" s="294"/>
      <c r="TKB614" s="294"/>
      <c r="TKC614" s="294"/>
      <c r="TKD614" s="294"/>
      <c r="TKE614" s="294"/>
      <c r="TKF614" s="294"/>
      <c r="TKG614" s="294"/>
      <c r="TKH614" s="294"/>
      <c r="TKI614" s="294"/>
      <c r="TKJ614" s="294"/>
      <c r="TKK614" s="294"/>
      <c r="TKL614" s="294"/>
      <c r="TKM614" s="294"/>
      <c r="TKN614" s="294"/>
      <c r="TKO614" s="294"/>
      <c r="TKP614" s="294"/>
      <c r="TKQ614" s="294"/>
      <c r="TKR614" s="294"/>
      <c r="TKS614" s="294"/>
      <c r="TKT614" s="294"/>
      <c r="TKU614" s="294"/>
      <c r="TKV614" s="294"/>
      <c r="TKW614" s="294"/>
      <c r="TKX614" s="294"/>
      <c r="TKY614" s="294"/>
      <c r="TKZ614" s="294"/>
      <c r="TLA614" s="294"/>
      <c r="TLB614" s="294"/>
      <c r="TLC614" s="294"/>
      <c r="TLD614" s="294"/>
      <c r="TLE614" s="294"/>
      <c r="TLF614" s="294"/>
      <c r="TLG614" s="294"/>
      <c r="TLH614" s="294"/>
      <c r="TLI614" s="294"/>
      <c r="TLJ614" s="294"/>
      <c r="TLK614" s="294"/>
      <c r="TLL614" s="294"/>
      <c r="TLM614" s="294"/>
      <c r="TLN614" s="294"/>
      <c r="TLO614" s="294"/>
      <c r="TLP614" s="294"/>
      <c r="TLQ614" s="294"/>
      <c r="TLR614" s="294"/>
      <c r="TLS614" s="294"/>
      <c r="TLT614" s="294"/>
      <c r="TLU614" s="294"/>
      <c r="TLV614" s="294"/>
      <c r="TLW614" s="294"/>
      <c r="TLX614" s="294"/>
      <c r="TLY614" s="294"/>
      <c r="TLZ614" s="294"/>
      <c r="TMA614" s="294"/>
      <c r="TMB614" s="294"/>
      <c r="TMC614" s="294"/>
      <c r="TMD614" s="294"/>
      <c r="TME614" s="294"/>
      <c r="TMF614" s="294"/>
      <c r="TMG614" s="294"/>
      <c r="TMH614" s="294"/>
      <c r="TMI614" s="294"/>
      <c r="TMJ614" s="294"/>
      <c r="TMK614" s="294"/>
      <c r="TML614" s="294"/>
      <c r="TMM614" s="294"/>
      <c r="TMN614" s="294"/>
      <c r="TMO614" s="294"/>
      <c r="TMP614" s="294"/>
      <c r="TMQ614" s="294"/>
      <c r="TMR614" s="294"/>
      <c r="TMS614" s="294"/>
      <c r="TMT614" s="294"/>
      <c r="TMU614" s="294"/>
      <c r="TMV614" s="294"/>
      <c r="TMW614" s="294"/>
      <c r="TMX614" s="294"/>
      <c r="TMY614" s="294"/>
      <c r="TMZ614" s="294"/>
      <c r="TNA614" s="294"/>
      <c r="TNB614" s="294"/>
      <c r="TNC614" s="294"/>
      <c r="TND614" s="294"/>
      <c r="TNE614" s="294"/>
      <c r="TNF614" s="294"/>
      <c r="TNG614" s="294"/>
      <c r="TNH614" s="294"/>
      <c r="TNI614" s="294"/>
      <c r="TNJ614" s="294"/>
      <c r="TNK614" s="294"/>
      <c r="TNL614" s="294"/>
      <c r="TNM614" s="294"/>
      <c r="TNN614" s="294"/>
      <c r="TNO614" s="294"/>
      <c r="TNP614" s="294"/>
      <c r="TNQ614" s="294"/>
      <c r="TNR614" s="294"/>
      <c r="TNS614" s="294"/>
      <c r="TNT614" s="294"/>
      <c r="TNU614" s="294"/>
      <c r="TNV614" s="294"/>
      <c r="TNW614" s="294"/>
      <c r="TNX614" s="294"/>
      <c r="TNY614" s="294"/>
      <c r="TNZ614" s="294"/>
      <c r="TOA614" s="294"/>
      <c r="TOB614" s="294"/>
      <c r="TOC614" s="294"/>
      <c r="TOD614" s="294"/>
      <c r="TOE614" s="294"/>
      <c r="TOF614" s="294"/>
      <c r="TOG614" s="294"/>
      <c r="TOH614" s="294"/>
      <c r="TOI614" s="294"/>
      <c r="TOJ614" s="294"/>
      <c r="TOK614" s="294"/>
      <c r="TOL614" s="294"/>
      <c r="TOM614" s="294"/>
      <c r="TON614" s="294"/>
      <c r="TOO614" s="294"/>
      <c r="TOP614" s="294"/>
      <c r="TOQ614" s="294"/>
      <c r="TOR614" s="294"/>
      <c r="TOS614" s="294"/>
      <c r="TOT614" s="294"/>
      <c r="TOU614" s="294"/>
      <c r="TOV614" s="294"/>
      <c r="TOW614" s="294"/>
      <c r="TOX614" s="294"/>
      <c r="TOY614" s="294"/>
      <c r="TOZ614" s="294"/>
      <c r="TPA614" s="294"/>
      <c r="TPB614" s="294"/>
      <c r="TPC614" s="294"/>
      <c r="TPD614" s="294"/>
      <c r="TPE614" s="294"/>
      <c r="TPF614" s="294"/>
      <c r="TPG614" s="294"/>
      <c r="TPH614" s="294"/>
      <c r="TPI614" s="294"/>
      <c r="TPJ614" s="294"/>
      <c r="TPK614" s="294"/>
      <c r="TPL614" s="294"/>
      <c r="TPM614" s="294"/>
      <c r="TPN614" s="294"/>
      <c r="TPO614" s="294"/>
      <c r="TPP614" s="294"/>
      <c r="TPQ614" s="294"/>
      <c r="TPR614" s="294"/>
      <c r="TPS614" s="294"/>
      <c r="TPT614" s="294"/>
      <c r="TPU614" s="294"/>
      <c r="TPV614" s="294"/>
      <c r="TPW614" s="294"/>
      <c r="TPX614" s="294"/>
      <c r="TPY614" s="294"/>
      <c r="TPZ614" s="294"/>
      <c r="TQA614" s="294"/>
      <c r="TQB614" s="294"/>
      <c r="TQC614" s="294"/>
      <c r="TQD614" s="294"/>
      <c r="TQE614" s="294"/>
      <c r="TQF614" s="294"/>
      <c r="TQG614" s="294"/>
      <c r="TQH614" s="294"/>
      <c r="TQI614" s="294"/>
      <c r="TQJ614" s="294"/>
      <c r="TQK614" s="294"/>
      <c r="TQL614" s="294"/>
      <c r="TQM614" s="294"/>
      <c r="TQN614" s="294"/>
      <c r="TQO614" s="294"/>
      <c r="TQP614" s="294"/>
      <c r="TQQ614" s="294"/>
      <c r="TQR614" s="294"/>
      <c r="TQS614" s="294"/>
      <c r="TQT614" s="294"/>
      <c r="TQU614" s="294"/>
      <c r="TQV614" s="294"/>
      <c r="TQW614" s="294"/>
      <c r="TQX614" s="294"/>
      <c r="TQY614" s="294"/>
      <c r="TQZ614" s="294"/>
      <c r="TRA614" s="294"/>
      <c r="TRB614" s="294"/>
      <c r="TRC614" s="294"/>
      <c r="TRD614" s="294"/>
      <c r="TRE614" s="294"/>
      <c r="TRF614" s="294"/>
      <c r="TRG614" s="294"/>
      <c r="TRH614" s="294"/>
      <c r="TRI614" s="294"/>
      <c r="TRJ614" s="294"/>
      <c r="TRK614" s="294"/>
      <c r="TRL614" s="294"/>
      <c r="TRM614" s="294"/>
      <c r="TRN614" s="294"/>
      <c r="TRO614" s="294"/>
      <c r="TRP614" s="294"/>
      <c r="TRQ614" s="294"/>
      <c r="TRR614" s="294"/>
      <c r="TRS614" s="294"/>
      <c r="TRT614" s="294"/>
      <c r="TRU614" s="294"/>
      <c r="TRV614" s="294"/>
      <c r="TRW614" s="294"/>
      <c r="TRX614" s="294"/>
      <c r="TRY614" s="294"/>
      <c r="TRZ614" s="294"/>
      <c r="TSA614" s="294"/>
      <c r="TSB614" s="294"/>
      <c r="TSC614" s="294"/>
      <c r="TSD614" s="294"/>
      <c r="TSE614" s="294"/>
      <c r="TSF614" s="294"/>
      <c r="TSG614" s="294"/>
      <c r="TSH614" s="294"/>
      <c r="TSI614" s="294"/>
      <c r="TSJ614" s="294"/>
      <c r="TSK614" s="294"/>
      <c r="TSL614" s="294"/>
      <c r="TSM614" s="294"/>
      <c r="TSN614" s="294"/>
      <c r="TSO614" s="294"/>
      <c r="TSP614" s="294"/>
      <c r="TSQ614" s="294"/>
      <c r="TSR614" s="294"/>
      <c r="TSS614" s="294"/>
      <c r="TST614" s="294"/>
      <c r="TSU614" s="294"/>
      <c r="TSV614" s="294"/>
      <c r="TSW614" s="294"/>
      <c r="TSX614" s="294"/>
      <c r="TSY614" s="294"/>
      <c r="TSZ614" s="294"/>
      <c r="TTA614" s="294"/>
      <c r="TTB614" s="294"/>
      <c r="TTC614" s="294"/>
      <c r="TTD614" s="294"/>
      <c r="TTE614" s="294"/>
      <c r="TTF614" s="294"/>
      <c r="TTG614" s="294"/>
      <c r="TTH614" s="294"/>
      <c r="TTI614" s="294"/>
      <c r="TTJ614" s="294"/>
      <c r="TTK614" s="294"/>
      <c r="TTL614" s="294"/>
      <c r="TTM614" s="294"/>
      <c r="TTN614" s="294"/>
      <c r="TTO614" s="294"/>
      <c r="TTP614" s="294"/>
      <c r="TTQ614" s="294"/>
      <c r="TTR614" s="294"/>
      <c r="TTS614" s="294"/>
      <c r="TTT614" s="294"/>
      <c r="TTU614" s="294"/>
      <c r="TTV614" s="294"/>
      <c r="TTW614" s="294"/>
      <c r="TTX614" s="294"/>
      <c r="TTY614" s="294"/>
      <c r="TTZ614" s="294"/>
      <c r="TUA614" s="294"/>
      <c r="TUB614" s="294"/>
      <c r="TUC614" s="294"/>
      <c r="TUD614" s="294"/>
      <c r="TUE614" s="294"/>
      <c r="TUF614" s="294"/>
      <c r="TUG614" s="294"/>
      <c r="TUH614" s="294"/>
      <c r="TUI614" s="294"/>
      <c r="TUJ614" s="294"/>
      <c r="TUK614" s="294"/>
      <c r="TUL614" s="294"/>
      <c r="TUM614" s="294"/>
      <c r="TUN614" s="294"/>
      <c r="TUO614" s="294"/>
      <c r="TUP614" s="294"/>
      <c r="TUQ614" s="294"/>
      <c r="TUR614" s="294"/>
      <c r="TUS614" s="294"/>
      <c r="TUT614" s="294"/>
      <c r="TUU614" s="294"/>
      <c r="TUV614" s="294"/>
      <c r="TUW614" s="294"/>
      <c r="TUX614" s="294"/>
      <c r="TUY614" s="294"/>
      <c r="TUZ614" s="294"/>
      <c r="TVA614" s="294"/>
      <c r="TVB614" s="294"/>
      <c r="TVC614" s="294"/>
      <c r="TVD614" s="294"/>
      <c r="TVE614" s="294"/>
      <c r="TVF614" s="294"/>
      <c r="TVG614" s="294"/>
      <c r="TVH614" s="294"/>
      <c r="TVI614" s="294"/>
      <c r="TVJ614" s="294"/>
      <c r="TVK614" s="294"/>
      <c r="TVL614" s="294"/>
      <c r="TVM614" s="294"/>
      <c r="TVN614" s="294"/>
      <c r="TVO614" s="294"/>
      <c r="TVP614" s="294"/>
      <c r="TVQ614" s="294"/>
      <c r="TVR614" s="294"/>
      <c r="TVS614" s="294"/>
      <c r="TVT614" s="294"/>
      <c r="TVU614" s="294"/>
      <c r="TVV614" s="294"/>
      <c r="TVW614" s="294"/>
      <c r="TVX614" s="294"/>
      <c r="TVY614" s="294"/>
      <c r="TVZ614" s="294"/>
      <c r="TWA614" s="294"/>
      <c r="TWB614" s="294"/>
      <c r="TWC614" s="294"/>
      <c r="TWD614" s="294"/>
      <c r="TWE614" s="294"/>
      <c r="TWF614" s="294"/>
      <c r="TWG614" s="294"/>
      <c r="TWH614" s="294"/>
      <c r="TWI614" s="294"/>
      <c r="TWJ614" s="294"/>
      <c r="TWK614" s="294"/>
      <c r="TWL614" s="294"/>
      <c r="TWM614" s="294"/>
      <c r="TWN614" s="294"/>
      <c r="TWO614" s="294"/>
      <c r="TWP614" s="294"/>
      <c r="TWQ614" s="294"/>
      <c r="TWR614" s="294"/>
      <c r="TWS614" s="294"/>
      <c r="TWT614" s="294"/>
      <c r="TWU614" s="294"/>
      <c r="TWV614" s="294"/>
      <c r="TWW614" s="294"/>
      <c r="TWX614" s="294"/>
      <c r="TWY614" s="294"/>
      <c r="TWZ614" s="294"/>
      <c r="TXA614" s="294"/>
      <c r="TXB614" s="294"/>
      <c r="TXC614" s="294"/>
      <c r="TXD614" s="294"/>
      <c r="TXE614" s="294"/>
      <c r="TXF614" s="294"/>
      <c r="TXG614" s="294"/>
      <c r="TXH614" s="294"/>
      <c r="TXI614" s="294"/>
      <c r="TXJ614" s="294"/>
      <c r="TXK614" s="294"/>
      <c r="TXL614" s="294"/>
      <c r="TXM614" s="294"/>
      <c r="TXN614" s="294"/>
      <c r="TXO614" s="294"/>
      <c r="TXP614" s="294"/>
      <c r="TXQ614" s="294"/>
      <c r="TXR614" s="294"/>
      <c r="TXS614" s="294"/>
      <c r="TXT614" s="294"/>
      <c r="TXU614" s="294"/>
      <c r="TXV614" s="294"/>
      <c r="TXW614" s="294"/>
      <c r="TXX614" s="294"/>
      <c r="TXY614" s="294"/>
      <c r="TXZ614" s="294"/>
      <c r="TYA614" s="294"/>
      <c r="TYB614" s="294"/>
      <c r="TYC614" s="294"/>
      <c r="TYD614" s="294"/>
      <c r="TYE614" s="294"/>
      <c r="TYF614" s="294"/>
      <c r="TYG614" s="294"/>
      <c r="TYH614" s="294"/>
      <c r="TYI614" s="294"/>
      <c r="TYJ614" s="294"/>
      <c r="TYK614" s="294"/>
      <c r="TYL614" s="294"/>
      <c r="TYM614" s="294"/>
      <c r="TYN614" s="294"/>
      <c r="TYO614" s="294"/>
      <c r="TYP614" s="294"/>
      <c r="TYQ614" s="294"/>
      <c r="TYR614" s="294"/>
      <c r="TYS614" s="294"/>
      <c r="TYT614" s="294"/>
      <c r="TYU614" s="294"/>
      <c r="TYV614" s="294"/>
      <c r="TYW614" s="294"/>
      <c r="TYX614" s="294"/>
      <c r="TYY614" s="294"/>
      <c r="TYZ614" s="294"/>
      <c r="TZA614" s="294"/>
      <c r="TZB614" s="294"/>
      <c r="TZC614" s="294"/>
      <c r="TZD614" s="294"/>
      <c r="TZE614" s="294"/>
      <c r="TZF614" s="294"/>
      <c r="TZG614" s="294"/>
      <c r="TZH614" s="294"/>
      <c r="TZI614" s="294"/>
      <c r="TZJ614" s="294"/>
      <c r="TZK614" s="294"/>
      <c r="TZL614" s="294"/>
      <c r="TZM614" s="294"/>
      <c r="TZN614" s="294"/>
      <c r="TZO614" s="294"/>
      <c r="TZP614" s="294"/>
      <c r="TZQ614" s="294"/>
      <c r="TZR614" s="294"/>
      <c r="TZS614" s="294"/>
      <c r="TZT614" s="294"/>
      <c r="TZU614" s="294"/>
      <c r="TZV614" s="294"/>
      <c r="TZW614" s="294"/>
      <c r="TZX614" s="294"/>
      <c r="TZY614" s="294"/>
      <c r="TZZ614" s="294"/>
      <c r="UAA614" s="294"/>
      <c r="UAB614" s="294"/>
      <c r="UAC614" s="294"/>
      <c r="UAD614" s="294"/>
      <c r="UAE614" s="294"/>
      <c r="UAF614" s="294"/>
      <c r="UAG614" s="294"/>
      <c r="UAH614" s="294"/>
      <c r="UAI614" s="294"/>
      <c r="UAJ614" s="294"/>
      <c r="UAK614" s="294"/>
      <c r="UAL614" s="294"/>
      <c r="UAM614" s="294"/>
      <c r="UAN614" s="294"/>
      <c r="UAO614" s="294"/>
      <c r="UAP614" s="294"/>
      <c r="UAQ614" s="294"/>
      <c r="UAR614" s="294"/>
      <c r="UAS614" s="294"/>
      <c r="UAT614" s="294"/>
      <c r="UAU614" s="294"/>
      <c r="UAV614" s="294"/>
      <c r="UAW614" s="294"/>
      <c r="UAX614" s="294"/>
      <c r="UAY614" s="294"/>
      <c r="UAZ614" s="294"/>
      <c r="UBA614" s="294"/>
      <c r="UBB614" s="294"/>
      <c r="UBC614" s="294"/>
      <c r="UBD614" s="294"/>
      <c r="UBE614" s="294"/>
      <c r="UBF614" s="294"/>
      <c r="UBG614" s="294"/>
      <c r="UBH614" s="294"/>
      <c r="UBI614" s="294"/>
      <c r="UBJ614" s="294"/>
      <c r="UBK614" s="294"/>
      <c r="UBL614" s="294"/>
      <c r="UBM614" s="294"/>
      <c r="UBN614" s="294"/>
      <c r="UBO614" s="294"/>
      <c r="UBP614" s="294"/>
      <c r="UBQ614" s="294"/>
      <c r="UBR614" s="294"/>
      <c r="UBS614" s="294"/>
      <c r="UBT614" s="294"/>
      <c r="UBU614" s="294"/>
      <c r="UBV614" s="294"/>
      <c r="UBW614" s="294"/>
      <c r="UBX614" s="294"/>
      <c r="UBY614" s="294"/>
      <c r="UBZ614" s="294"/>
      <c r="UCA614" s="294"/>
      <c r="UCB614" s="294"/>
      <c r="UCC614" s="294"/>
      <c r="UCD614" s="294"/>
      <c r="UCE614" s="294"/>
      <c r="UCF614" s="294"/>
      <c r="UCG614" s="294"/>
      <c r="UCH614" s="294"/>
      <c r="UCI614" s="294"/>
      <c r="UCJ614" s="294"/>
      <c r="UCK614" s="294"/>
      <c r="UCL614" s="294"/>
      <c r="UCM614" s="294"/>
      <c r="UCN614" s="294"/>
      <c r="UCO614" s="294"/>
      <c r="UCP614" s="294"/>
      <c r="UCQ614" s="294"/>
      <c r="UCR614" s="294"/>
      <c r="UCS614" s="294"/>
      <c r="UCT614" s="294"/>
      <c r="UCU614" s="294"/>
      <c r="UCV614" s="294"/>
      <c r="UCW614" s="294"/>
      <c r="UCX614" s="294"/>
      <c r="UCY614" s="294"/>
      <c r="UCZ614" s="294"/>
      <c r="UDA614" s="294"/>
      <c r="UDB614" s="294"/>
      <c r="UDC614" s="294"/>
      <c r="UDD614" s="294"/>
      <c r="UDE614" s="294"/>
      <c r="UDF614" s="294"/>
      <c r="UDG614" s="294"/>
      <c r="UDH614" s="294"/>
      <c r="UDI614" s="294"/>
      <c r="UDJ614" s="294"/>
      <c r="UDK614" s="294"/>
      <c r="UDL614" s="294"/>
      <c r="UDM614" s="294"/>
      <c r="UDN614" s="294"/>
      <c r="UDO614" s="294"/>
      <c r="UDP614" s="294"/>
      <c r="UDQ614" s="294"/>
      <c r="UDR614" s="294"/>
      <c r="UDS614" s="294"/>
      <c r="UDT614" s="294"/>
      <c r="UDU614" s="294"/>
      <c r="UDV614" s="294"/>
      <c r="UDW614" s="294"/>
      <c r="UDX614" s="294"/>
      <c r="UDY614" s="294"/>
      <c r="UDZ614" s="294"/>
      <c r="UEA614" s="294"/>
      <c r="UEB614" s="294"/>
      <c r="UEC614" s="294"/>
      <c r="UED614" s="294"/>
      <c r="UEE614" s="294"/>
      <c r="UEF614" s="294"/>
      <c r="UEG614" s="294"/>
      <c r="UEH614" s="294"/>
      <c r="UEI614" s="294"/>
      <c r="UEJ614" s="294"/>
      <c r="UEK614" s="294"/>
      <c r="UEL614" s="294"/>
      <c r="UEM614" s="294"/>
      <c r="UEN614" s="294"/>
      <c r="UEO614" s="294"/>
      <c r="UEP614" s="294"/>
      <c r="UEQ614" s="294"/>
      <c r="UER614" s="294"/>
      <c r="UES614" s="294"/>
      <c r="UET614" s="294"/>
      <c r="UEU614" s="294"/>
      <c r="UEV614" s="294"/>
      <c r="UEW614" s="294"/>
      <c r="UEX614" s="294"/>
      <c r="UEY614" s="294"/>
      <c r="UEZ614" s="294"/>
      <c r="UFA614" s="294"/>
      <c r="UFB614" s="294"/>
      <c r="UFC614" s="294"/>
      <c r="UFD614" s="294"/>
      <c r="UFE614" s="294"/>
      <c r="UFF614" s="294"/>
      <c r="UFG614" s="294"/>
      <c r="UFH614" s="294"/>
      <c r="UFI614" s="294"/>
      <c r="UFJ614" s="294"/>
      <c r="UFK614" s="294"/>
      <c r="UFL614" s="294"/>
      <c r="UFM614" s="294"/>
      <c r="UFN614" s="294"/>
      <c r="UFO614" s="294"/>
      <c r="UFP614" s="294"/>
      <c r="UFQ614" s="294"/>
      <c r="UFR614" s="294"/>
      <c r="UFS614" s="294"/>
      <c r="UFT614" s="294"/>
      <c r="UFU614" s="294"/>
      <c r="UFV614" s="294"/>
      <c r="UFW614" s="294"/>
      <c r="UFX614" s="294"/>
      <c r="UFY614" s="294"/>
      <c r="UFZ614" s="294"/>
      <c r="UGA614" s="294"/>
      <c r="UGB614" s="294"/>
      <c r="UGC614" s="294"/>
      <c r="UGD614" s="294"/>
      <c r="UGE614" s="294"/>
      <c r="UGF614" s="294"/>
      <c r="UGG614" s="294"/>
      <c r="UGH614" s="294"/>
      <c r="UGI614" s="294"/>
      <c r="UGJ614" s="294"/>
      <c r="UGK614" s="294"/>
      <c r="UGL614" s="294"/>
      <c r="UGM614" s="294"/>
      <c r="UGN614" s="294"/>
      <c r="UGO614" s="294"/>
      <c r="UGP614" s="294"/>
      <c r="UGQ614" s="294"/>
      <c r="UGR614" s="294"/>
      <c r="UGS614" s="294"/>
      <c r="UGT614" s="294"/>
      <c r="UGU614" s="294"/>
      <c r="UGV614" s="294"/>
      <c r="UGW614" s="294"/>
      <c r="UGX614" s="294"/>
      <c r="UGY614" s="294"/>
      <c r="UGZ614" s="294"/>
      <c r="UHA614" s="294"/>
      <c r="UHB614" s="294"/>
      <c r="UHC614" s="294"/>
      <c r="UHD614" s="294"/>
      <c r="UHE614" s="294"/>
      <c r="UHF614" s="294"/>
      <c r="UHG614" s="294"/>
      <c r="UHH614" s="294"/>
      <c r="UHI614" s="294"/>
      <c r="UHJ614" s="294"/>
      <c r="UHK614" s="294"/>
      <c r="UHL614" s="294"/>
      <c r="UHM614" s="294"/>
      <c r="UHN614" s="294"/>
      <c r="UHO614" s="294"/>
      <c r="UHP614" s="294"/>
      <c r="UHQ614" s="294"/>
      <c r="UHR614" s="294"/>
      <c r="UHS614" s="294"/>
      <c r="UHT614" s="294"/>
      <c r="UHU614" s="294"/>
      <c r="UHV614" s="294"/>
      <c r="UHW614" s="294"/>
      <c r="UHX614" s="294"/>
      <c r="UHY614" s="294"/>
      <c r="UHZ614" s="294"/>
      <c r="UIA614" s="294"/>
      <c r="UIB614" s="294"/>
      <c r="UIC614" s="294"/>
      <c r="UID614" s="294"/>
      <c r="UIE614" s="294"/>
      <c r="UIF614" s="294"/>
      <c r="UIG614" s="294"/>
      <c r="UIH614" s="294"/>
      <c r="UII614" s="294"/>
      <c r="UIJ614" s="294"/>
      <c r="UIK614" s="294"/>
      <c r="UIL614" s="294"/>
      <c r="UIM614" s="294"/>
      <c r="UIN614" s="294"/>
      <c r="UIO614" s="294"/>
      <c r="UIP614" s="294"/>
      <c r="UIQ614" s="294"/>
      <c r="UIR614" s="294"/>
      <c r="UIS614" s="294"/>
      <c r="UIT614" s="294"/>
      <c r="UIU614" s="294"/>
      <c r="UIV614" s="294"/>
      <c r="UIW614" s="294"/>
      <c r="UIX614" s="294"/>
      <c r="UIY614" s="294"/>
      <c r="UIZ614" s="294"/>
      <c r="UJA614" s="294"/>
      <c r="UJB614" s="294"/>
      <c r="UJC614" s="294"/>
      <c r="UJD614" s="294"/>
      <c r="UJE614" s="294"/>
      <c r="UJF614" s="294"/>
      <c r="UJG614" s="294"/>
      <c r="UJH614" s="294"/>
      <c r="UJI614" s="294"/>
      <c r="UJJ614" s="294"/>
      <c r="UJK614" s="294"/>
      <c r="UJL614" s="294"/>
      <c r="UJM614" s="294"/>
      <c r="UJN614" s="294"/>
      <c r="UJO614" s="294"/>
      <c r="UJP614" s="294"/>
      <c r="UJQ614" s="294"/>
      <c r="UJR614" s="294"/>
      <c r="UJS614" s="294"/>
      <c r="UJT614" s="294"/>
      <c r="UJU614" s="294"/>
      <c r="UJV614" s="294"/>
      <c r="UJW614" s="294"/>
      <c r="UJX614" s="294"/>
      <c r="UJY614" s="294"/>
      <c r="UJZ614" s="294"/>
      <c r="UKA614" s="294"/>
      <c r="UKB614" s="294"/>
      <c r="UKC614" s="294"/>
      <c r="UKD614" s="294"/>
      <c r="UKE614" s="294"/>
      <c r="UKF614" s="294"/>
      <c r="UKG614" s="294"/>
      <c r="UKH614" s="294"/>
      <c r="UKI614" s="294"/>
      <c r="UKJ614" s="294"/>
      <c r="UKK614" s="294"/>
      <c r="UKL614" s="294"/>
      <c r="UKM614" s="294"/>
      <c r="UKN614" s="294"/>
      <c r="UKO614" s="294"/>
      <c r="UKP614" s="294"/>
      <c r="UKQ614" s="294"/>
      <c r="UKR614" s="294"/>
      <c r="UKS614" s="294"/>
      <c r="UKT614" s="294"/>
      <c r="UKU614" s="294"/>
      <c r="UKV614" s="294"/>
      <c r="UKW614" s="294"/>
      <c r="UKX614" s="294"/>
      <c r="UKY614" s="294"/>
      <c r="UKZ614" s="294"/>
      <c r="ULA614" s="294"/>
      <c r="ULB614" s="294"/>
      <c r="ULC614" s="294"/>
      <c r="ULD614" s="294"/>
      <c r="ULE614" s="294"/>
      <c r="ULF614" s="294"/>
      <c r="ULG614" s="294"/>
      <c r="ULH614" s="294"/>
      <c r="ULI614" s="294"/>
      <c r="ULJ614" s="294"/>
      <c r="ULK614" s="294"/>
      <c r="ULL614" s="294"/>
      <c r="ULM614" s="294"/>
      <c r="ULN614" s="294"/>
      <c r="ULO614" s="294"/>
      <c r="ULP614" s="294"/>
      <c r="ULQ614" s="294"/>
      <c r="ULR614" s="294"/>
      <c r="ULS614" s="294"/>
      <c r="ULT614" s="294"/>
      <c r="ULU614" s="294"/>
      <c r="ULV614" s="294"/>
      <c r="ULW614" s="294"/>
      <c r="ULX614" s="294"/>
      <c r="ULY614" s="294"/>
      <c r="ULZ614" s="294"/>
      <c r="UMA614" s="294"/>
      <c r="UMB614" s="294"/>
      <c r="UMC614" s="294"/>
      <c r="UMD614" s="294"/>
      <c r="UME614" s="294"/>
      <c r="UMF614" s="294"/>
      <c r="UMG614" s="294"/>
      <c r="UMH614" s="294"/>
      <c r="UMI614" s="294"/>
      <c r="UMJ614" s="294"/>
      <c r="UMK614" s="294"/>
      <c r="UML614" s="294"/>
      <c r="UMM614" s="294"/>
      <c r="UMN614" s="294"/>
      <c r="UMO614" s="294"/>
      <c r="UMP614" s="294"/>
      <c r="UMQ614" s="294"/>
      <c r="UMR614" s="294"/>
      <c r="UMS614" s="294"/>
      <c r="UMT614" s="294"/>
      <c r="UMU614" s="294"/>
      <c r="UMV614" s="294"/>
      <c r="UMW614" s="294"/>
      <c r="UMX614" s="294"/>
      <c r="UMY614" s="294"/>
      <c r="UMZ614" s="294"/>
      <c r="UNA614" s="294"/>
      <c r="UNB614" s="294"/>
      <c r="UNC614" s="294"/>
      <c r="UND614" s="294"/>
      <c r="UNE614" s="294"/>
      <c r="UNF614" s="294"/>
      <c r="UNG614" s="294"/>
      <c r="UNH614" s="294"/>
      <c r="UNI614" s="294"/>
      <c r="UNJ614" s="294"/>
      <c r="UNK614" s="294"/>
      <c r="UNL614" s="294"/>
      <c r="UNM614" s="294"/>
      <c r="UNN614" s="294"/>
      <c r="UNO614" s="294"/>
      <c r="UNP614" s="294"/>
      <c r="UNQ614" s="294"/>
      <c r="UNR614" s="294"/>
      <c r="UNS614" s="294"/>
      <c r="UNT614" s="294"/>
      <c r="UNU614" s="294"/>
      <c r="UNV614" s="294"/>
      <c r="UNW614" s="294"/>
      <c r="UNX614" s="294"/>
      <c r="UNY614" s="294"/>
      <c r="UNZ614" s="294"/>
      <c r="UOA614" s="294"/>
      <c r="UOB614" s="294"/>
      <c r="UOC614" s="294"/>
      <c r="UOD614" s="294"/>
      <c r="UOE614" s="294"/>
      <c r="UOF614" s="294"/>
      <c r="UOG614" s="294"/>
      <c r="UOH614" s="294"/>
      <c r="UOI614" s="294"/>
      <c r="UOJ614" s="294"/>
      <c r="UOK614" s="294"/>
      <c r="UOL614" s="294"/>
      <c r="UOM614" s="294"/>
      <c r="UON614" s="294"/>
      <c r="UOO614" s="294"/>
      <c r="UOP614" s="294"/>
      <c r="UOQ614" s="294"/>
      <c r="UOR614" s="294"/>
      <c r="UOS614" s="294"/>
      <c r="UOT614" s="294"/>
      <c r="UOU614" s="294"/>
      <c r="UOV614" s="294"/>
      <c r="UOW614" s="294"/>
      <c r="UOX614" s="294"/>
      <c r="UOY614" s="294"/>
      <c r="UOZ614" s="294"/>
      <c r="UPA614" s="294"/>
      <c r="UPB614" s="294"/>
      <c r="UPC614" s="294"/>
      <c r="UPD614" s="294"/>
      <c r="UPE614" s="294"/>
      <c r="UPF614" s="294"/>
      <c r="UPG614" s="294"/>
      <c r="UPH614" s="294"/>
      <c r="UPI614" s="294"/>
      <c r="UPJ614" s="294"/>
      <c r="UPK614" s="294"/>
      <c r="UPL614" s="294"/>
      <c r="UPM614" s="294"/>
      <c r="UPN614" s="294"/>
      <c r="UPO614" s="294"/>
      <c r="UPP614" s="294"/>
      <c r="UPQ614" s="294"/>
      <c r="UPR614" s="294"/>
      <c r="UPS614" s="294"/>
      <c r="UPT614" s="294"/>
      <c r="UPU614" s="294"/>
      <c r="UPV614" s="294"/>
      <c r="UPW614" s="294"/>
      <c r="UPX614" s="294"/>
      <c r="UPY614" s="294"/>
      <c r="UPZ614" s="294"/>
      <c r="UQA614" s="294"/>
      <c r="UQB614" s="294"/>
      <c r="UQC614" s="294"/>
      <c r="UQD614" s="294"/>
      <c r="UQE614" s="294"/>
      <c r="UQF614" s="294"/>
      <c r="UQG614" s="294"/>
      <c r="UQH614" s="294"/>
      <c r="UQI614" s="294"/>
      <c r="UQJ614" s="294"/>
      <c r="UQK614" s="294"/>
      <c r="UQL614" s="294"/>
      <c r="UQM614" s="294"/>
      <c r="UQN614" s="294"/>
      <c r="UQO614" s="294"/>
      <c r="UQP614" s="294"/>
      <c r="UQQ614" s="294"/>
      <c r="UQR614" s="294"/>
      <c r="UQS614" s="294"/>
      <c r="UQT614" s="294"/>
      <c r="UQU614" s="294"/>
      <c r="UQV614" s="294"/>
      <c r="UQW614" s="294"/>
      <c r="UQX614" s="294"/>
      <c r="UQY614" s="294"/>
      <c r="UQZ614" s="294"/>
      <c r="URA614" s="294"/>
      <c r="URB614" s="294"/>
      <c r="URC614" s="294"/>
      <c r="URD614" s="294"/>
      <c r="URE614" s="294"/>
      <c r="URF614" s="294"/>
      <c r="URG614" s="294"/>
      <c r="URH614" s="294"/>
      <c r="URI614" s="294"/>
      <c r="URJ614" s="294"/>
      <c r="URK614" s="294"/>
      <c r="URL614" s="294"/>
      <c r="URM614" s="294"/>
      <c r="URN614" s="294"/>
      <c r="URO614" s="294"/>
      <c r="URP614" s="294"/>
      <c r="URQ614" s="294"/>
      <c r="URR614" s="294"/>
      <c r="URS614" s="294"/>
      <c r="URT614" s="294"/>
      <c r="URU614" s="294"/>
      <c r="URV614" s="294"/>
      <c r="URW614" s="294"/>
      <c r="URX614" s="294"/>
      <c r="URY614" s="294"/>
      <c r="URZ614" s="294"/>
      <c r="USA614" s="294"/>
      <c r="USB614" s="294"/>
      <c r="USC614" s="294"/>
      <c r="USD614" s="294"/>
      <c r="USE614" s="294"/>
      <c r="USF614" s="294"/>
      <c r="USG614" s="294"/>
      <c r="USH614" s="294"/>
      <c r="USI614" s="294"/>
      <c r="USJ614" s="294"/>
      <c r="USK614" s="294"/>
      <c r="USL614" s="294"/>
      <c r="USM614" s="294"/>
      <c r="USN614" s="294"/>
      <c r="USO614" s="294"/>
      <c r="USP614" s="294"/>
      <c r="USQ614" s="294"/>
      <c r="USR614" s="294"/>
      <c r="USS614" s="294"/>
      <c r="UST614" s="294"/>
      <c r="USU614" s="294"/>
      <c r="USV614" s="294"/>
      <c r="USW614" s="294"/>
      <c r="USX614" s="294"/>
      <c r="USY614" s="294"/>
      <c r="USZ614" s="294"/>
      <c r="UTA614" s="294"/>
      <c r="UTB614" s="294"/>
      <c r="UTC614" s="294"/>
      <c r="UTD614" s="294"/>
      <c r="UTE614" s="294"/>
      <c r="UTF614" s="294"/>
      <c r="UTG614" s="294"/>
      <c r="UTH614" s="294"/>
      <c r="UTI614" s="294"/>
      <c r="UTJ614" s="294"/>
      <c r="UTK614" s="294"/>
      <c r="UTL614" s="294"/>
      <c r="UTM614" s="294"/>
      <c r="UTN614" s="294"/>
      <c r="UTO614" s="294"/>
      <c r="UTP614" s="294"/>
      <c r="UTQ614" s="294"/>
      <c r="UTR614" s="294"/>
      <c r="UTS614" s="294"/>
      <c r="UTT614" s="294"/>
      <c r="UTU614" s="294"/>
      <c r="UTV614" s="294"/>
      <c r="UTW614" s="294"/>
      <c r="UTX614" s="294"/>
      <c r="UTY614" s="294"/>
      <c r="UTZ614" s="294"/>
      <c r="UUA614" s="294"/>
      <c r="UUB614" s="294"/>
      <c r="UUC614" s="294"/>
      <c r="UUD614" s="294"/>
      <c r="UUE614" s="294"/>
      <c r="UUF614" s="294"/>
      <c r="UUG614" s="294"/>
      <c r="UUH614" s="294"/>
      <c r="UUI614" s="294"/>
      <c r="UUJ614" s="294"/>
      <c r="UUK614" s="294"/>
      <c r="UUL614" s="294"/>
      <c r="UUM614" s="294"/>
      <c r="UUN614" s="294"/>
      <c r="UUO614" s="294"/>
      <c r="UUP614" s="294"/>
      <c r="UUQ614" s="294"/>
      <c r="UUR614" s="294"/>
      <c r="UUS614" s="294"/>
      <c r="UUT614" s="294"/>
      <c r="UUU614" s="294"/>
      <c r="UUV614" s="294"/>
      <c r="UUW614" s="294"/>
      <c r="UUX614" s="294"/>
      <c r="UUY614" s="294"/>
      <c r="UUZ614" s="294"/>
      <c r="UVA614" s="294"/>
      <c r="UVB614" s="294"/>
      <c r="UVC614" s="294"/>
      <c r="UVD614" s="294"/>
      <c r="UVE614" s="294"/>
      <c r="UVF614" s="294"/>
      <c r="UVG614" s="294"/>
      <c r="UVH614" s="294"/>
      <c r="UVI614" s="294"/>
      <c r="UVJ614" s="294"/>
      <c r="UVK614" s="294"/>
      <c r="UVL614" s="294"/>
      <c r="UVM614" s="294"/>
      <c r="UVN614" s="294"/>
      <c r="UVO614" s="294"/>
      <c r="UVP614" s="294"/>
      <c r="UVQ614" s="294"/>
      <c r="UVR614" s="294"/>
      <c r="UVS614" s="294"/>
      <c r="UVT614" s="294"/>
      <c r="UVU614" s="294"/>
      <c r="UVV614" s="294"/>
      <c r="UVW614" s="294"/>
      <c r="UVX614" s="294"/>
      <c r="UVY614" s="294"/>
      <c r="UVZ614" s="294"/>
      <c r="UWA614" s="294"/>
      <c r="UWB614" s="294"/>
      <c r="UWC614" s="294"/>
      <c r="UWD614" s="294"/>
      <c r="UWE614" s="294"/>
      <c r="UWF614" s="294"/>
      <c r="UWG614" s="294"/>
      <c r="UWH614" s="294"/>
      <c r="UWI614" s="294"/>
      <c r="UWJ614" s="294"/>
      <c r="UWK614" s="294"/>
      <c r="UWL614" s="294"/>
      <c r="UWM614" s="294"/>
      <c r="UWN614" s="294"/>
      <c r="UWO614" s="294"/>
      <c r="UWP614" s="294"/>
      <c r="UWQ614" s="294"/>
      <c r="UWR614" s="294"/>
      <c r="UWS614" s="294"/>
      <c r="UWT614" s="294"/>
      <c r="UWU614" s="294"/>
      <c r="UWV614" s="294"/>
      <c r="UWW614" s="294"/>
      <c r="UWX614" s="294"/>
      <c r="UWY614" s="294"/>
      <c r="UWZ614" s="294"/>
      <c r="UXA614" s="294"/>
      <c r="UXB614" s="294"/>
      <c r="UXC614" s="294"/>
      <c r="UXD614" s="294"/>
      <c r="UXE614" s="294"/>
      <c r="UXF614" s="294"/>
      <c r="UXG614" s="294"/>
      <c r="UXH614" s="294"/>
      <c r="UXI614" s="294"/>
      <c r="UXJ614" s="294"/>
      <c r="UXK614" s="294"/>
      <c r="UXL614" s="294"/>
      <c r="UXM614" s="294"/>
      <c r="UXN614" s="294"/>
      <c r="UXO614" s="294"/>
      <c r="UXP614" s="294"/>
      <c r="UXQ614" s="294"/>
      <c r="UXR614" s="294"/>
      <c r="UXS614" s="294"/>
      <c r="UXT614" s="294"/>
      <c r="UXU614" s="294"/>
      <c r="UXV614" s="294"/>
      <c r="UXW614" s="294"/>
      <c r="UXX614" s="294"/>
      <c r="UXY614" s="294"/>
      <c r="UXZ614" s="294"/>
      <c r="UYA614" s="294"/>
      <c r="UYB614" s="294"/>
      <c r="UYC614" s="294"/>
      <c r="UYD614" s="294"/>
      <c r="UYE614" s="294"/>
      <c r="UYF614" s="294"/>
      <c r="UYG614" s="294"/>
      <c r="UYH614" s="294"/>
      <c r="UYI614" s="294"/>
      <c r="UYJ614" s="294"/>
      <c r="UYK614" s="294"/>
      <c r="UYL614" s="294"/>
      <c r="UYM614" s="294"/>
      <c r="UYN614" s="294"/>
      <c r="UYO614" s="294"/>
      <c r="UYP614" s="294"/>
      <c r="UYQ614" s="294"/>
      <c r="UYR614" s="294"/>
      <c r="UYS614" s="294"/>
      <c r="UYT614" s="294"/>
      <c r="UYU614" s="294"/>
      <c r="UYV614" s="294"/>
      <c r="UYW614" s="294"/>
      <c r="UYX614" s="294"/>
      <c r="UYY614" s="294"/>
      <c r="UYZ614" s="294"/>
      <c r="UZA614" s="294"/>
      <c r="UZB614" s="294"/>
      <c r="UZC614" s="294"/>
      <c r="UZD614" s="294"/>
      <c r="UZE614" s="294"/>
      <c r="UZF614" s="294"/>
      <c r="UZG614" s="294"/>
      <c r="UZH614" s="294"/>
      <c r="UZI614" s="294"/>
      <c r="UZJ614" s="294"/>
      <c r="UZK614" s="294"/>
      <c r="UZL614" s="294"/>
      <c r="UZM614" s="294"/>
      <c r="UZN614" s="294"/>
      <c r="UZO614" s="294"/>
      <c r="UZP614" s="294"/>
      <c r="UZQ614" s="294"/>
      <c r="UZR614" s="294"/>
      <c r="UZS614" s="294"/>
      <c r="UZT614" s="294"/>
      <c r="UZU614" s="294"/>
      <c r="UZV614" s="294"/>
      <c r="UZW614" s="294"/>
      <c r="UZX614" s="294"/>
      <c r="UZY614" s="294"/>
      <c r="UZZ614" s="294"/>
      <c r="VAA614" s="294"/>
      <c r="VAB614" s="294"/>
      <c r="VAC614" s="294"/>
      <c r="VAD614" s="294"/>
      <c r="VAE614" s="294"/>
      <c r="VAF614" s="294"/>
      <c r="VAG614" s="294"/>
      <c r="VAH614" s="294"/>
      <c r="VAI614" s="294"/>
      <c r="VAJ614" s="294"/>
      <c r="VAK614" s="294"/>
      <c r="VAL614" s="294"/>
      <c r="VAM614" s="294"/>
      <c r="VAN614" s="294"/>
      <c r="VAO614" s="294"/>
      <c r="VAP614" s="294"/>
      <c r="VAQ614" s="294"/>
      <c r="VAR614" s="294"/>
      <c r="VAS614" s="294"/>
      <c r="VAT614" s="294"/>
      <c r="VAU614" s="294"/>
      <c r="VAV614" s="294"/>
      <c r="VAW614" s="294"/>
      <c r="VAX614" s="294"/>
      <c r="VAY614" s="294"/>
      <c r="VAZ614" s="294"/>
      <c r="VBA614" s="294"/>
      <c r="VBB614" s="294"/>
      <c r="VBC614" s="294"/>
      <c r="VBD614" s="294"/>
      <c r="VBE614" s="294"/>
      <c r="VBF614" s="294"/>
      <c r="VBG614" s="294"/>
      <c r="VBH614" s="294"/>
      <c r="VBI614" s="294"/>
      <c r="VBJ614" s="294"/>
      <c r="VBK614" s="294"/>
      <c r="VBL614" s="294"/>
      <c r="VBM614" s="294"/>
      <c r="VBN614" s="294"/>
      <c r="VBO614" s="294"/>
      <c r="VBP614" s="294"/>
      <c r="VBQ614" s="294"/>
      <c r="VBR614" s="294"/>
      <c r="VBS614" s="294"/>
      <c r="VBT614" s="294"/>
      <c r="VBU614" s="294"/>
      <c r="VBV614" s="294"/>
      <c r="VBW614" s="294"/>
      <c r="VBX614" s="294"/>
      <c r="VBY614" s="294"/>
      <c r="VBZ614" s="294"/>
      <c r="VCA614" s="294"/>
      <c r="VCB614" s="294"/>
      <c r="VCC614" s="294"/>
      <c r="VCD614" s="294"/>
      <c r="VCE614" s="294"/>
      <c r="VCF614" s="294"/>
      <c r="VCG614" s="294"/>
      <c r="VCH614" s="294"/>
      <c r="VCI614" s="294"/>
      <c r="VCJ614" s="294"/>
      <c r="VCK614" s="294"/>
      <c r="VCL614" s="294"/>
      <c r="VCM614" s="294"/>
      <c r="VCN614" s="294"/>
      <c r="VCO614" s="294"/>
      <c r="VCP614" s="294"/>
      <c r="VCQ614" s="294"/>
      <c r="VCR614" s="294"/>
      <c r="VCS614" s="294"/>
      <c r="VCT614" s="294"/>
      <c r="VCU614" s="294"/>
      <c r="VCV614" s="294"/>
      <c r="VCW614" s="294"/>
      <c r="VCX614" s="294"/>
      <c r="VCY614" s="294"/>
      <c r="VCZ614" s="294"/>
      <c r="VDA614" s="294"/>
      <c r="VDB614" s="294"/>
      <c r="VDC614" s="294"/>
      <c r="VDD614" s="294"/>
      <c r="VDE614" s="294"/>
      <c r="VDF614" s="294"/>
      <c r="VDG614" s="294"/>
      <c r="VDH614" s="294"/>
      <c r="VDI614" s="294"/>
      <c r="VDJ614" s="294"/>
      <c r="VDK614" s="294"/>
      <c r="VDL614" s="294"/>
      <c r="VDM614" s="294"/>
      <c r="VDN614" s="294"/>
      <c r="VDO614" s="294"/>
      <c r="VDP614" s="294"/>
      <c r="VDQ614" s="294"/>
      <c r="VDR614" s="294"/>
      <c r="VDS614" s="294"/>
      <c r="VDT614" s="294"/>
      <c r="VDU614" s="294"/>
      <c r="VDV614" s="294"/>
      <c r="VDW614" s="294"/>
      <c r="VDX614" s="294"/>
      <c r="VDY614" s="294"/>
      <c r="VDZ614" s="294"/>
      <c r="VEA614" s="294"/>
      <c r="VEB614" s="294"/>
      <c r="VEC614" s="294"/>
      <c r="VED614" s="294"/>
      <c r="VEE614" s="294"/>
      <c r="VEF614" s="294"/>
      <c r="VEG614" s="294"/>
      <c r="VEH614" s="294"/>
      <c r="VEI614" s="294"/>
      <c r="VEJ614" s="294"/>
      <c r="VEK614" s="294"/>
      <c r="VEL614" s="294"/>
      <c r="VEM614" s="294"/>
      <c r="VEN614" s="294"/>
      <c r="VEO614" s="294"/>
      <c r="VEP614" s="294"/>
      <c r="VEQ614" s="294"/>
      <c r="VER614" s="294"/>
      <c r="VES614" s="294"/>
      <c r="VET614" s="294"/>
      <c r="VEU614" s="294"/>
      <c r="VEV614" s="294"/>
      <c r="VEW614" s="294"/>
      <c r="VEX614" s="294"/>
      <c r="VEY614" s="294"/>
      <c r="VEZ614" s="294"/>
      <c r="VFA614" s="294"/>
      <c r="VFB614" s="294"/>
      <c r="VFC614" s="294"/>
      <c r="VFD614" s="294"/>
      <c r="VFE614" s="294"/>
      <c r="VFF614" s="294"/>
      <c r="VFG614" s="294"/>
      <c r="VFH614" s="294"/>
      <c r="VFI614" s="294"/>
      <c r="VFJ614" s="294"/>
      <c r="VFK614" s="294"/>
      <c r="VFL614" s="294"/>
      <c r="VFM614" s="294"/>
      <c r="VFN614" s="294"/>
      <c r="VFO614" s="294"/>
      <c r="VFP614" s="294"/>
      <c r="VFQ614" s="294"/>
      <c r="VFR614" s="294"/>
      <c r="VFS614" s="294"/>
      <c r="VFT614" s="294"/>
      <c r="VFU614" s="294"/>
      <c r="VFV614" s="294"/>
      <c r="VFW614" s="294"/>
      <c r="VFX614" s="294"/>
      <c r="VFY614" s="294"/>
      <c r="VFZ614" s="294"/>
      <c r="VGA614" s="294"/>
      <c r="VGB614" s="294"/>
      <c r="VGC614" s="294"/>
      <c r="VGD614" s="294"/>
      <c r="VGE614" s="294"/>
      <c r="VGF614" s="294"/>
      <c r="VGG614" s="294"/>
      <c r="VGH614" s="294"/>
      <c r="VGI614" s="294"/>
      <c r="VGJ614" s="294"/>
      <c r="VGK614" s="294"/>
      <c r="VGL614" s="294"/>
      <c r="VGM614" s="294"/>
      <c r="VGN614" s="294"/>
      <c r="VGO614" s="294"/>
      <c r="VGP614" s="294"/>
      <c r="VGQ614" s="294"/>
      <c r="VGR614" s="294"/>
      <c r="VGS614" s="294"/>
      <c r="VGT614" s="294"/>
      <c r="VGU614" s="294"/>
      <c r="VGV614" s="294"/>
      <c r="VGW614" s="294"/>
      <c r="VGX614" s="294"/>
      <c r="VGY614" s="294"/>
      <c r="VGZ614" s="294"/>
      <c r="VHA614" s="294"/>
      <c r="VHB614" s="294"/>
      <c r="VHC614" s="294"/>
      <c r="VHD614" s="294"/>
      <c r="VHE614" s="294"/>
      <c r="VHF614" s="294"/>
      <c r="VHG614" s="294"/>
      <c r="VHH614" s="294"/>
      <c r="VHI614" s="294"/>
      <c r="VHJ614" s="294"/>
      <c r="VHK614" s="294"/>
      <c r="VHL614" s="294"/>
      <c r="VHM614" s="294"/>
      <c r="VHN614" s="294"/>
      <c r="VHO614" s="294"/>
      <c r="VHP614" s="294"/>
      <c r="VHQ614" s="294"/>
      <c r="VHR614" s="294"/>
      <c r="VHS614" s="294"/>
      <c r="VHT614" s="294"/>
      <c r="VHU614" s="294"/>
      <c r="VHV614" s="294"/>
      <c r="VHW614" s="294"/>
      <c r="VHX614" s="294"/>
      <c r="VHY614" s="294"/>
      <c r="VHZ614" s="294"/>
      <c r="VIA614" s="294"/>
      <c r="VIB614" s="294"/>
      <c r="VIC614" s="294"/>
      <c r="VID614" s="294"/>
      <c r="VIE614" s="294"/>
      <c r="VIF614" s="294"/>
      <c r="VIG614" s="294"/>
      <c r="VIH614" s="294"/>
      <c r="VII614" s="294"/>
      <c r="VIJ614" s="294"/>
      <c r="VIK614" s="294"/>
      <c r="VIL614" s="294"/>
      <c r="VIM614" s="294"/>
      <c r="VIN614" s="294"/>
      <c r="VIO614" s="294"/>
      <c r="VIP614" s="294"/>
      <c r="VIQ614" s="294"/>
      <c r="VIR614" s="294"/>
      <c r="VIS614" s="294"/>
      <c r="VIT614" s="294"/>
      <c r="VIU614" s="294"/>
      <c r="VIV614" s="294"/>
      <c r="VIW614" s="294"/>
      <c r="VIX614" s="294"/>
      <c r="VIY614" s="294"/>
      <c r="VIZ614" s="294"/>
      <c r="VJA614" s="294"/>
      <c r="VJB614" s="294"/>
      <c r="VJC614" s="294"/>
      <c r="VJD614" s="294"/>
      <c r="VJE614" s="294"/>
      <c r="VJF614" s="294"/>
      <c r="VJG614" s="294"/>
      <c r="VJH614" s="294"/>
      <c r="VJI614" s="294"/>
      <c r="VJJ614" s="294"/>
      <c r="VJK614" s="294"/>
      <c r="VJL614" s="294"/>
      <c r="VJM614" s="294"/>
      <c r="VJN614" s="294"/>
      <c r="VJO614" s="294"/>
      <c r="VJP614" s="294"/>
      <c r="VJQ614" s="294"/>
      <c r="VJR614" s="294"/>
      <c r="VJS614" s="294"/>
      <c r="VJT614" s="294"/>
      <c r="VJU614" s="294"/>
      <c r="VJV614" s="294"/>
      <c r="VJW614" s="294"/>
      <c r="VJX614" s="294"/>
      <c r="VJY614" s="294"/>
      <c r="VJZ614" s="294"/>
      <c r="VKA614" s="294"/>
      <c r="VKB614" s="294"/>
      <c r="VKC614" s="294"/>
      <c r="VKD614" s="294"/>
      <c r="VKE614" s="294"/>
      <c r="VKF614" s="294"/>
      <c r="VKG614" s="294"/>
      <c r="VKH614" s="294"/>
      <c r="VKI614" s="294"/>
      <c r="VKJ614" s="294"/>
      <c r="VKK614" s="294"/>
      <c r="VKL614" s="294"/>
      <c r="VKM614" s="294"/>
      <c r="VKN614" s="294"/>
      <c r="VKO614" s="294"/>
      <c r="VKP614" s="294"/>
      <c r="VKQ614" s="294"/>
      <c r="VKR614" s="294"/>
      <c r="VKS614" s="294"/>
      <c r="VKT614" s="294"/>
      <c r="VKU614" s="294"/>
      <c r="VKV614" s="294"/>
      <c r="VKW614" s="294"/>
      <c r="VKX614" s="294"/>
      <c r="VKY614" s="294"/>
      <c r="VKZ614" s="294"/>
      <c r="VLA614" s="294"/>
      <c r="VLB614" s="294"/>
      <c r="VLC614" s="294"/>
      <c r="VLD614" s="294"/>
      <c r="VLE614" s="294"/>
      <c r="VLF614" s="294"/>
      <c r="VLG614" s="294"/>
      <c r="VLH614" s="294"/>
      <c r="VLI614" s="294"/>
      <c r="VLJ614" s="294"/>
      <c r="VLK614" s="294"/>
      <c r="VLL614" s="294"/>
      <c r="VLM614" s="294"/>
      <c r="VLN614" s="294"/>
      <c r="VLO614" s="294"/>
      <c r="VLP614" s="294"/>
      <c r="VLQ614" s="294"/>
      <c r="VLR614" s="294"/>
      <c r="VLS614" s="294"/>
      <c r="VLT614" s="294"/>
      <c r="VLU614" s="294"/>
      <c r="VLV614" s="294"/>
      <c r="VLW614" s="294"/>
      <c r="VLX614" s="294"/>
      <c r="VLY614" s="294"/>
      <c r="VLZ614" s="294"/>
      <c r="VMA614" s="294"/>
      <c r="VMB614" s="294"/>
      <c r="VMC614" s="294"/>
      <c r="VMD614" s="294"/>
      <c r="VME614" s="294"/>
      <c r="VMF614" s="294"/>
      <c r="VMG614" s="294"/>
      <c r="VMH614" s="294"/>
      <c r="VMI614" s="294"/>
      <c r="VMJ614" s="294"/>
      <c r="VMK614" s="294"/>
      <c r="VML614" s="294"/>
      <c r="VMM614" s="294"/>
      <c r="VMN614" s="294"/>
      <c r="VMO614" s="294"/>
      <c r="VMP614" s="294"/>
      <c r="VMQ614" s="294"/>
      <c r="VMR614" s="294"/>
      <c r="VMS614" s="294"/>
      <c r="VMT614" s="294"/>
      <c r="VMU614" s="294"/>
      <c r="VMV614" s="294"/>
      <c r="VMW614" s="294"/>
      <c r="VMX614" s="294"/>
      <c r="VMY614" s="294"/>
      <c r="VMZ614" s="294"/>
      <c r="VNA614" s="294"/>
      <c r="VNB614" s="294"/>
      <c r="VNC614" s="294"/>
      <c r="VND614" s="294"/>
      <c r="VNE614" s="294"/>
      <c r="VNF614" s="294"/>
      <c r="VNG614" s="294"/>
      <c r="VNH614" s="294"/>
      <c r="VNI614" s="294"/>
      <c r="VNJ614" s="294"/>
      <c r="VNK614" s="294"/>
      <c r="VNL614" s="294"/>
      <c r="VNM614" s="294"/>
      <c r="VNN614" s="294"/>
      <c r="VNO614" s="294"/>
      <c r="VNP614" s="294"/>
      <c r="VNQ614" s="294"/>
      <c r="VNR614" s="294"/>
      <c r="VNS614" s="294"/>
      <c r="VNT614" s="294"/>
      <c r="VNU614" s="294"/>
      <c r="VNV614" s="294"/>
      <c r="VNW614" s="294"/>
      <c r="VNX614" s="294"/>
      <c r="VNY614" s="294"/>
      <c r="VNZ614" s="294"/>
      <c r="VOA614" s="294"/>
      <c r="VOB614" s="294"/>
      <c r="VOC614" s="294"/>
      <c r="VOD614" s="294"/>
      <c r="VOE614" s="294"/>
      <c r="VOF614" s="294"/>
      <c r="VOG614" s="294"/>
      <c r="VOH614" s="294"/>
      <c r="VOI614" s="294"/>
      <c r="VOJ614" s="294"/>
      <c r="VOK614" s="294"/>
      <c r="VOL614" s="294"/>
      <c r="VOM614" s="294"/>
      <c r="VON614" s="294"/>
      <c r="VOO614" s="294"/>
      <c r="VOP614" s="294"/>
      <c r="VOQ614" s="294"/>
      <c r="VOR614" s="294"/>
      <c r="VOS614" s="294"/>
      <c r="VOT614" s="294"/>
      <c r="VOU614" s="294"/>
      <c r="VOV614" s="294"/>
      <c r="VOW614" s="294"/>
      <c r="VOX614" s="294"/>
      <c r="VOY614" s="294"/>
      <c r="VOZ614" s="294"/>
      <c r="VPA614" s="294"/>
      <c r="VPB614" s="294"/>
      <c r="VPC614" s="294"/>
      <c r="VPD614" s="294"/>
      <c r="VPE614" s="294"/>
      <c r="VPF614" s="294"/>
      <c r="VPG614" s="294"/>
      <c r="VPH614" s="294"/>
      <c r="VPI614" s="294"/>
      <c r="VPJ614" s="294"/>
      <c r="VPK614" s="294"/>
      <c r="VPL614" s="294"/>
      <c r="VPM614" s="294"/>
      <c r="VPN614" s="294"/>
      <c r="VPO614" s="294"/>
      <c r="VPP614" s="294"/>
      <c r="VPQ614" s="294"/>
      <c r="VPR614" s="294"/>
      <c r="VPS614" s="294"/>
      <c r="VPT614" s="294"/>
      <c r="VPU614" s="294"/>
      <c r="VPV614" s="294"/>
      <c r="VPW614" s="294"/>
      <c r="VPX614" s="294"/>
      <c r="VPY614" s="294"/>
      <c r="VPZ614" s="294"/>
      <c r="VQA614" s="294"/>
      <c r="VQB614" s="294"/>
      <c r="VQC614" s="294"/>
      <c r="VQD614" s="294"/>
      <c r="VQE614" s="294"/>
      <c r="VQF614" s="294"/>
      <c r="VQG614" s="294"/>
      <c r="VQH614" s="294"/>
      <c r="VQI614" s="294"/>
      <c r="VQJ614" s="294"/>
      <c r="VQK614" s="294"/>
      <c r="VQL614" s="294"/>
      <c r="VQM614" s="294"/>
      <c r="VQN614" s="294"/>
      <c r="VQO614" s="294"/>
      <c r="VQP614" s="294"/>
      <c r="VQQ614" s="294"/>
      <c r="VQR614" s="294"/>
      <c r="VQS614" s="294"/>
      <c r="VQT614" s="294"/>
      <c r="VQU614" s="294"/>
      <c r="VQV614" s="294"/>
      <c r="VQW614" s="294"/>
      <c r="VQX614" s="294"/>
      <c r="VQY614" s="294"/>
      <c r="VQZ614" s="294"/>
      <c r="VRA614" s="294"/>
      <c r="VRB614" s="294"/>
      <c r="VRC614" s="294"/>
      <c r="VRD614" s="294"/>
      <c r="VRE614" s="294"/>
      <c r="VRF614" s="294"/>
      <c r="VRG614" s="294"/>
      <c r="VRH614" s="294"/>
      <c r="VRI614" s="294"/>
      <c r="VRJ614" s="294"/>
      <c r="VRK614" s="294"/>
      <c r="VRL614" s="294"/>
      <c r="VRM614" s="294"/>
      <c r="VRN614" s="294"/>
      <c r="VRO614" s="294"/>
      <c r="VRP614" s="294"/>
      <c r="VRQ614" s="294"/>
      <c r="VRR614" s="294"/>
      <c r="VRS614" s="294"/>
      <c r="VRT614" s="294"/>
      <c r="VRU614" s="294"/>
      <c r="VRV614" s="294"/>
      <c r="VRW614" s="294"/>
      <c r="VRX614" s="294"/>
      <c r="VRY614" s="294"/>
      <c r="VRZ614" s="294"/>
      <c r="VSA614" s="294"/>
      <c r="VSB614" s="294"/>
      <c r="VSC614" s="294"/>
      <c r="VSD614" s="294"/>
      <c r="VSE614" s="294"/>
      <c r="VSF614" s="294"/>
      <c r="VSG614" s="294"/>
      <c r="VSH614" s="294"/>
      <c r="VSI614" s="294"/>
      <c r="VSJ614" s="294"/>
      <c r="VSK614" s="294"/>
      <c r="VSL614" s="294"/>
      <c r="VSM614" s="294"/>
      <c r="VSN614" s="294"/>
      <c r="VSO614" s="294"/>
      <c r="VSP614" s="294"/>
      <c r="VSQ614" s="294"/>
      <c r="VSR614" s="294"/>
      <c r="VSS614" s="294"/>
      <c r="VST614" s="294"/>
      <c r="VSU614" s="294"/>
      <c r="VSV614" s="294"/>
      <c r="VSW614" s="294"/>
      <c r="VSX614" s="294"/>
      <c r="VSY614" s="294"/>
      <c r="VSZ614" s="294"/>
      <c r="VTA614" s="294"/>
      <c r="VTB614" s="294"/>
      <c r="VTC614" s="294"/>
      <c r="VTD614" s="294"/>
      <c r="VTE614" s="294"/>
      <c r="VTF614" s="294"/>
      <c r="VTG614" s="294"/>
      <c r="VTH614" s="294"/>
      <c r="VTI614" s="294"/>
      <c r="VTJ614" s="294"/>
      <c r="VTK614" s="294"/>
      <c r="VTL614" s="294"/>
      <c r="VTM614" s="294"/>
      <c r="VTN614" s="294"/>
      <c r="VTO614" s="294"/>
      <c r="VTP614" s="294"/>
      <c r="VTQ614" s="294"/>
      <c r="VTR614" s="294"/>
      <c r="VTS614" s="294"/>
      <c r="VTT614" s="294"/>
      <c r="VTU614" s="294"/>
      <c r="VTV614" s="294"/>
      <c r="VTW614" s="294"/>
      <c r="VTX614" s="294"/>
      <c r="VTY614" s="294"/>
      <c r="VTZ614" s="294"/>
      <c r="VUA614" s="294"/>
      <c r="VUB614" s="294"/>
      <c r="VUC614" s="294"/>
      <c r="VUD614" s="294"/>
      <c r="VUE614" s="294"/>
      <c r="VUF614" s="294"/>
      <c r="VUG614" s="294"/>
      <c r="VUH614" s="294"/>
      <c r="VUI614" s="294"/>
      <c r="VUJ614" s="294"/>
      <c r="VUK614" s="294"/>
      <c r="VUL614" s="294"/>
      <c r="VUM614" s="294"/>
      <c r="VUN614" s="294"/>
      <c r="VUO614" s="294"/>
      <c r="VUP614" s="294"/>
      <c r="VUQ614" s="294"/>
      <c r="VUR614" s="294"/>
      <c r="VUS614" s="294"/>
      <c r="VUT614" s="294"/>
      <c r="VUU614" s="294"/>
      <c r="VUV614" s="294"/>
      <c r="VUW614" s="294"/>
      <c r="VUX614" s="294"/>
      <c r="VUY614" s="294"/>
      <c r="VUZ614" s="294"/>
      <c r="VVA614" s="294"/>
      <c r="VVB614" s="294"/>
      <c r="VVC614" s="294"/>
      <c r="VVD614" s="294"/>
      <c r="VVE614" s="294"/>
      <c r="VVF614" s="294"/>
      <c r="VVG614" s="294"/>
      <c r="VVH614" s="294"/>
      <c r="VVI614" s="294"/>
      <c r="VVJ614" s="294"/>
      <c r="VVK614" s="294"/>
      <c r="VVL614" s="294"/>
      <c r="VVM614" s="294"/>
      <c r="VVN614" s="294"/>
      <c r="VVO614" s="294"/>
      <c r="VVP614" s="294"/>
      <c r="VVQ614" s="294"/>
      <c r="VVR614" s="294"/>
      <c r="VVS614" s="294"/>
      <c r="VVT614" s="294"/>
      <c r="VVU614" s="294"/>
      <c r="VVV614" s="294"/>
      <c r="VVW614" s="294"/>
      <c r="VVX614" s="294"/>
      <c r="VVY614" s="294"/>
      <c r="VVZ614" s="294"/>
      <c r="VWA614" s="294"/>
      <c r="VWB614" s="294"/>
      <c r="VWC614" s="294"/>
      <c r="VWD614" s="294"/>
      <c r="VWE614" s="294"/>
      <c r="VWF614" s="294"/>
      <c r="VWG614" s="294"/>
      <c r="VWH614" s="294"/>
      <c r="VWI614" s="294"/>
      <c r="VWJ614" s="294"/>
      <c r="VWK614" s="294"/>
      <c r="VWL614" s="294"/>
      <c r="VWM614" s="294"/>
      <c r="VWN614" s="294"/>
      <c r="VWO614" s="294"/>
      <c r="VWP614" s="294"/>
      <c r="VWQ614" s="294"/>
      <c r="VWR614" s="294"/>
      <c r="VWS614" s="294"/>
      <c r="VWT614" s="294"/>
      <c r="VWU614" s="294"/>
      <c r="VWV614" s="294"/>
      <c r="VWW614" s="294"/>
      <c r="VWX614" s="294"/>
      <c r="VWY614" s="294"/>
      <c r="VWZ614" s="294"/>
      <c r="VXA614" s="294"/>
      <c r="VXB614" s="294"/>
      <c r="VXC614" s="294"/>
      <c r="VXD614" s="294"/>
      <c r="VXE614" s="294"/>
      <c r="VXF614" s="294"/>
      <c r="VXG614" s="294"/>
      <c r="VXH614" s="294"/>
      <c r="VXI614" s="294"/>
      <c r="VXJ614" s="294"/>
      <c r="VXK614" s="294"/>
      <c r="VXL614" s="294"/>
      <c r="VXM614" s="294"/>
      <c r="VXN614" s="294"/>
      <c r="VXO614" s="294"/>
      <c r="VXP614" s="294"/>
      <c r="VXQ614" s="294"/>
      <c r="VXR614" s="294"/>
      <c r="VXS614" s="294"/>
      <c r="VXT614" s="294"/>
      <c r="VXU614" s="294"/>
      <c r="VXV614" s="294"/>
      <c r="VXW614" s="294"/>
      <c r="VXX614" s="294"/>
      <c r="VXY614" s="294"/>
      <c r="VXZ614" s="294"/>
      <c r="VYA614" s="294"/>
      <c r="VYB614" s="294"/>
      <c r="VYC614" s="294"/>
      <c r="VYD614" s="294"/>
      <c r="VYE614" s="294"/>
      <c r="VYF614" s="294"/>
      <c r="VYG614" s="294"/>
      <c r="VYH614" s="294"/>
      <c r="VYI614" s="294"/>
      <c r="VYJ614" s="294"/>
      <c r="VYK614" s="294"/>
      <c r="VYL614" s="294"/>
      <c r="VYM614" s="294"/>
      <c r="VYN614" s="294"/>
      <c r="VYO614" s="294"/>
      <c r="VYP614" s="294"/>
      <c r="VYQ614" s="294"/>
      <c r="VYR614" s="294"/>
      <c r="VYS614" s="294"/>
      <c r="VYT614" s="294"/>
      <c r="VYU614" s="294"/>
      <c r="VYV614" s="294"/>
      <c r="VYW614" s="294"/>
      <c r="VYX614" s="294"/>
      <c r="VYY614" s="294"/>
      <c r="VYZ614" s="294"/>
      <c r="VZA614" s="294"/>
      <c r="VZB614" s="294"/>
      <c r="VZC614" s="294"/>
      <c r="VZD614" s="294"/>
      <c r="VZE614" s="294"/>
      <c r="VZF614" s="294"/>
      <c r="VZG614" s="294"/>
      <c r="VZH614" s="294"/>
      <c r="VZI614" s="294"/>
      <c r="VZJ614" s="294"/>
      <c r="VZK614" s="294"/>
      <c r="VZL614" s="294"/>
      <c r="VZM614" s="294"/>
      <c r="VZN614" s="294"/>
      <c r="VZO614" s="294"/>
      <c r="VZP614" s="294"/>
      <c r="VZQ614" s="294"/>
      <c r="VZR614" s="294"/>
      <c r="VZS614" s="294"/>
      <c r="VZT614" s="294"/>
      <c r="VZU614" s="294"/>
      <c r="VZV614" s="294"/>
      <c r="VZW614" s="294"/>
      <c r="VZX614" s="294"/>
      <c r="VZY614" s="294"/>
      <c r="VZZ614" s="294"/>
      <c r="WAA614" s="294"/>
      <c r="WAB614" s="294"/>
      <c r="WAC614" s="294"/>
      <c r="WAD614" s="294"/>
      <c r="WAE614" s="294"/>
      <c r="WAF614" s="294"/>
      <c r="WAG614" s="294"/>
      <c r="WAH614" s="294"/>
      <c r="WAI614" s="294"/>
      <c r="WAJ614" s="294"/>
      <c r="WAK614" s="294"/>
      <c r="WAL614" s="294"/>
      <c r="WAM614" s="294"/>
      <c r="WAN614" s="294"/>
      <c r="WAO614" s="294"/>
      <c r="WAP614" s="294"/>
      <c r="WAQ614" s="294"/>
      <c r="WAR614" s="294"/>
      <c r="WAS614" s="294"/>
      <c r="WAT614" s="294"/>
      <c r="WAU614" s="294"/>
      <c r="WAV614" s="294"/>
      <c r="WAW614" s="294"/>
      <c r="WAX614" s="294"/>
      <c r="WAY614" s="294"/>
      <c r="WAZ614" s="294"/>
      <c r="WBA614" s="294"/>
      <c r="WBB614" s="294"/>
      <c r="WBC614" s="294"/>
      <c r="WBD614" s="294"/>
      <c r="WBE614" s="294"/>
      <c r="WBF614" s="294"/>
      <c r="WBG614" s="294"/>
      <c r="WBH614" s="294"/>
      <c r="WBI614" s="294"/>
      <c r="WBJ614" s="294"/>
      <c r="WBK614" s="294"/>
      <c r="WBL614" s="294"/>
      <c r="WBM614" s="294"/>
      <c r="WBN614" s="294"/>
      <c r="WBO614" s="294"/>
      <c r="WBP614" s="294"/>
      <c r="WBQ614" s="294"/>
      <c r="WBR614" s="294"/>
      <c r="WBS614" s="294"/>
      <c r="WBT614" s="294"/>
      <c r="WBU614" s="294"/>
      <c r="WBV614" s="294"/>
      <c r="WBW614" s="294"/>
      <c r="WBX614" s="294"/>
      <c r="WBY614" s="294"/>
      <c r="WBZ614" s="294"/>
      <c r="WCA614" s="294"/>
      <c r="WCB614" s="294"/>
      <c r="WCC614" s="294"/>
      <c r="WCD614" s="294"/>
      <c r="WCE614" s="294"/>
      <c r="WCF614" s="294"/>
      <c r="WCG614" s="294"/>
      <c r="WCH614" s="294"/>
      <c r="WCI614" s="294"/>
      <c r="WCJ614" s="294"/>
      <c r="WCK614" s="294"/>
      <c r="WCL614" s="294"/>
      <c r="WCM614" s="294"/>
      <c r="WCN614" s="294"/>
      <c r="WCO614" s="294"/>
      <c r="WCP614" s="294"/>
      <c r="WCQ614" s="294"/>
      <c r="WCR614" s="294"/>
      <c r="WCS614" s="294"/>
      <c r="WCT614" s="294"/>
      <c r="WCU614" s="294"/>
      <c r="WCV614" s="294"/>
      <c r="WCW614" s="294"/>
      <c r="WCX614" s="294"/>
      <c r="WCY614" s="294"/>
      <c r="WCZ614" s="294"/>
      <c r="WDA614" s="294"/>
      <c r="WDB614" s="294"/>
      <c r="WDC614" s="294"/>
      <c r="WDD614" s="294"/>
      <c r="WDE614" s="294"/>
      <c r="WDF614" s="294"/>
      <c r="WDG614" s="294"/>
      <c r="WDH614" s="294"/>
      <c r="WDI614" s="294"/>
      <c r="WDJ614" s="294"/>
      <c r="WDK614" s="294"/>
      <c r="WDL614" s="294"/>
      <c r="WDM614" s="294"/>
      <c r="WDN614" s="294"/>
      <c r="WDO614" s="294"/>
      <c r="WDP614" s="294"/>
      <c r="WDQ614" s="294"/>
      <c r="WDR614" s="294"/>
      <c r="WDS614" s="294"/>
      <c r="WDT614" s="294"/>
      <c r="WDU614" s="294"/>
      <c r="WDV614" s="294"/>
      <c r="WDW614" s="294"/>
      <c r="WDX614" s="294"/>
      <c r="WDY614" s="294"/>
      <c r="WDZ614" s="294"/>
      <c r="WEA614" s="294"/>
      <c r="WEB614" s="294"/>
      <c r="WEC614" s="294"/>
      <c r="WED614" s="294"/>
      <c r="WEE614" s="294"/>
      <c r="WEF614" s="294"/>
      <c r="WEG614" s="294"/>
      <c r="WEH614" s="294"/>
      <c r="WEI614" s="294"/>
      <c r="WEJ614" s="294"/>
      <c r="WEK614" s="294"/>
      <c r="WEL614" s="294"/>
      <c r="WEM614" s="294"/>
      <c r="WEN614" s="294"/>
      <c r="WEO614" s="294"/>
      <c r="WEP614" s="294"/>
      <c r="WEQ614" s="294"/>
      <c r="WER614" s="294"/>
      <c r="WES614" s="294"/>
      <c r="WET614" s="294"/>
      <c r="WEU614" s="294"/>
      <c r="WEV614" s="294"/>
      <c r="WEW614" s="294"/>
      <c r="WEX614" s="294"/>
      <c r="WEY614" s="294"/>
      <c r="WEZ614" s="294"/>
      <c r="WFA614" s="294"/>
      <c r="WFB614" s="294"/>
      <c r="WFC614" s="294"/>
      <c r="WFD614" s="294"/>
      <c r="WFE614" s="294"/>
      <c r="WFF614" s="294"/>
      <c r="WFG614" s="294"/>
      <c r="WFH614" s="294"/>
      <c r="WFI614" s="294"/>
      <c r="WFJ614" s="294"/>
      <c r="WFK614" s="294"/>
      <c r="WFL614" s="294"/>
      <c r="WFM614" s="294"/>
      <c r="WFN614" s="294"/>
      <c r="WFO614" s="294"/>
      <c r="WFP614" s="294"/>
      <c r="WFQ614" s="294"/>
      <c r="WFR614" s="294"/>
      <c r="WFS614" s="294"/>
      <c r="WFT614" s="294"/>
      <c r="WFU614" s="294"/>
      <c r="WFV614" s="294"/>
      <c r="WFW614" s="294"/>
      <c r="WFX614" s="294"/>
      <c r="WFY614" s="294"/>
      <c r="WFZ614" s="294"/>
      <c r="WGA614" s="294"/>
      <c r="WGB614" s="294"/>
      <c r="WGC614" s="294"/>
      <c r="WGD614" s="294"/>
      <c r="WGE614" s="294"/>
      <c r="WGF614" s="294"/>
      <c r="WGG614" s="294"/>
      <c r="WGH614" s="294"/>
      <c r="WGI614" s="294"/>
      <c r="WGJ614" s="294"/>
      <c r="WGK614" s="294"/>
      <c r="WGL614" s="294"/>
      <c r="WGM614" s="294"/>
      <c r="WGN614" s="294"/>
      <c r="WGO614" s="294"/>
      <c r="WGP614" s="294"/>
      <c r="WGQ614" s="294"/>
      <c r="WGR614" s="294"/>
      <c r="WGS614" s="294"/>
      <c r="WGT614" s="294"/>
      <c r="WGU614" s="294"/>
      <c r="WGV614" s="294"/>
      <c r="WGW614" s="294"/>
      <c r="WGX614" s="294"/>
      <c r="WGY614" s="294"/>
      <c r="WGZ614" s="294"/>
      <c r="WHA614" s="294"/>
      <c r="WHB614" s="294"/>
      <c r="WHC614" s="294"/>
      <c r="WHD614" s="294"/>
      <c r="WHE614" s="294"/>
      <c r="WHF614" s="294"/>
      <c r="WHG614" s="294"/>
      <c r="WHH614" s="294"/>
      <c r="WHI614" s="294"/>
      <c r="WHJ614" s="294"/>
      <c r="WHK614" s="294"/>
      <c r="WHL614" s="294"/>
      <c r="WHM614" s="294"/>
      <c r="WHN614" s="294"/>
      <c r="WHO614" s="294"/>
      <c r="WHP614" s="294"/>
      <c r="WHQ614" s="294"/>
      <c r="WHR614" s="294"/>
      <c r="WHS614" s="294"/>
      <c r="WHT614" s="294"/>
      <c r="WHU614" s="294"/>
      <c r="WHV614" s="294"/>
      <c r="WHW614" s="294"/>
      <c r="WHX614" s="294"/>
      <c r="WHY614" s="294"/>
      <c r="WHZ614" s="294"/>
      <c r="WIA614" s="294"/>
      <c r="WIB614" s="294"/>
      <c r="WIC614" s="294"/>
      <c r="WID614" s="294"/>
      <c r="WIE614" s="294"/>
      <c r="WIF614" s="294"/>
      <c r="WIG614" s="294"/>
      <c r="WIH614" s="294"/>
      <c r="WII614" s="294"/>
      <c r="WIJ614" s="294"/>
      <c r="WIK614" s="294"/>
      <c r="WIL614" s="294"/>
      <c r="WIM614" s="294"/>
      <c r="WIN614" s="294"/>
      <c r="WIO614" s="294"/>
      <c r="WIP614" s="294"/>
      <c r="WIQ614" s="294"/>
      <c r="WIR614" s="294"/>
      <c r="WIS614" s="294"/>
      <c r="WIT614" s="294"/>
      <c r="WIU614" s="294"/>
      <c r="WIV614" s="294"/>
      <c r="WIW614" s="294"/>
      <c r="WIX614" s="294"/>
      <c r="WIY614" s="294"/>
      <c r="WIZ614" s="294"/>
      <c r="WJA614" s="294"/>
      <c r="WJB614" s="294"/>
      <c r="WJC614" s="294"/>
      <c r="WJD614" s="294"/>
      <c r="WJE614" s="294"/>
      <c r="WJF614" s="294"/>
      <c r="WJG614" s="294"/>
      <c r="WJH614" s="294"/>
      <c r="WJI614" s="294"/>
      <c r="WJJ614" s="294"/>
      <c r="WJK614" s="294"/>
      <c r="WJL614" s="294"/>
      <c r="WJM614" s="294"/>
      <c r="WJN614" s="294"/>
      <c r="WJO614" s="294"/>
      <c r="WJP614" s="294"/>
      <c r="WJQ614" s="294"/>
      <c r="WJR614" s="294"/>
      <c r="WJS614" s="294"/>
      <c r="WJT614" s="294"/>
      <c r="WJU614" s="294"/>
      <c r="WJV614" s="294"/>
      <c r="WJW614" s="294"/>
      <c r="WJX614" s="294"/>
      <c r="WJY614" s="294"/>
      <c r="WJZ614" s="294"/>
      <c r="WKA614" s="294"/>
      <c r="WKB614" s="294"/>
      <c r="WKC614" s="294"/>
      <c r="WKD614" s="294"/>
      <c r="WKE614" s="294"/>
      <c r="WKF614" s="294"/>
      <c r="WKG614" s="294"/>
      <c r="WKH614" s="294"/>
      <c r="WKI614" s="294"/>
      <c r="WKJ614" s="294"/>
      <c r="WKK614" s="294"/>
      <c r="WKL614" s="294"/>
      <c r="WKM614" s="294"/>
      <c r="WKN614" s="294"/>
      <c r="WKO614" s="294"/>
      <c r="WKP614" s="294"/>
      <c r="WKQ614" s="294"/>
      <c r="WKR614" s="294"/>
      <c r="WKS614" s="294"/>
      <c r="WKT614" s="294"/>
      <c r="WKU614" s="294"/>
      <c r="WKV614" s="294"/>
      <c r="WKW614" s="294"/>
      <c r="WKX614" s="294"/>
      <c r="WKY614" s="294"/>
      <c r="WKZ614" s="294"/>
      <c r="WLA614" s="294"/>
      <c r="WLB614" s="294"/>
      <c r="WLC614" s="294"/>
      <c r="WLD614" s="294"/>
      <c r="WLE614" s="294"/>
      <c r="WLF614" s="294"/>
      <c r="WLG614" s="294"/>
      <c r="WLH614" s="294"/>
      <c r="WLI614" s="294"/>
      <c r="WLJ614" s="294"/>
      <c r="WLK614" s="294"/>
      <c r="WLL614" s="294"/>
      <c r="WLM614" s="294"/>
      <c r="WLN614" s="294"/>
      <c r="WLO614" s="294"/>
      <c r="WLP614" s="294"/>
      <c r="WLQ614" s="294"/>
      <c r="WLR614" s="294"/>
      <c r="WLS614" s="294"/>
      <c r="WLT614" s="294"/>
      <c r="WLU614" s="294"/>
      <c r="WLV614" s="294"/>
      <c r="WLW614" s="294"/>
      <c r="WLX614" s="294"/>
      <c r="WLY614" s="294"/>
      <c r="WLZ614" s="294"/>
      <c r="WMA614" s="294"/>
      <c r="WMB614" s="294"/>
      <c r="WMC614" s="294"/>
      <c r="WMD614" s="294"/>
      <c r="WME614" s="294"/>
      <c r="WMF614" s="294"/>
      <c r="WMG614" s="294"/>
      <c r="WMH614" s="294"/>
      <c r="WMI614" s="294"/>
      <c r="WMJ614" s="294"/>
      <c r="WMK614" s="294"/>
      <c r="WML614" s="294"/>
      <c r="WMM614" s="294"/>
      <c r="WMN614" s="294"/>
      <c r="WMO614" s="294"/>
      <c r="WMP614" s="294"/>
      <c r="WMQ614" s="294"/>
      <c r="WMR614" s="294"/>
      <c r="WMS614" s="294"/>
      <c r="WMT614" s="294"/>
      <c r="WMU614" s="294"/>
      <c r="WMV614" s="294"/>
      <c r="WMW614" s="294"/>
      <c r="WMX614" s="294"/>
      <c r="WMY614" s="294"/>
      <c r="WMZ614" s="294"/>
      <c r="WNA614" s="294"/>
      <c r="WNB614" s="294"/>
      <c r="WNC614" s="294"/>
      <c r="WND614" s="294"/>
      <c r="WNE614" s="294"/>
      <c r="WNF614" s="294"/>
      <c r="WNG614" s="294"/>
      <c r="WNH614" s="294"/>
      <c r="WNI614" s="294"/>
      <c r="WNJ614" s="294"/>
      <c r="WNK614" s="294"/>
      <c r="WNL614" s="294"/>
      <c r="WNM614" s="294"/>
      <c r="WNN614" s="294"/>
      <c r="WNO614" s="294"/>
      <c r="WNP614" s="294"/>
      <c r="WNQ614" s="294"/>
      <c r="WNR614" s="294"/>
      <c r="WNS614" s="294"/>
      <c r="WNT614" s="294"/>
      <c r="WNU614" s="294"/>
      <c r="WNV614" s="294"/>
      <c r="WNW614" s="294"/>
      <c r="WNX614" s="294"/>
      <c r="WNY614" s="294"/>
      <c r="WNZ614" s="294"/>
      <c r="WOA614" s="294"/>
      <c r="WOB614" s="294"/>
      <c r="WOC614" s="294"/>
      <c r="WOD614" s="294"/>
      <c r="WOE614" s="294"/>
      <c r="WOF614" s="294"/>
      <c r="WOG614" s="294"/>
      <c r="WOH614" s="294"/>
      <c r="WOI614" s="294"/>
      <c r="WOJ614" s="294"/>
      <c r="WOK614" s="294"/>
      <c r="WOL614" s="294"/>
      <c r="WOM614" s="294"/>
      <c r="WON614" s="294"/>
      <c r="WOO614" s="294"/>
      <c r="WOP614" s="294"/>
      <c r="WOQ614" s="294"/>
      <c r="WOR614" s="294"/>
      <c r="WOS614" s="294"/>
      <c r="WOT614" s="294"/>
      <c r="WOU614" s="294"/>
      <c r="WOV614" s="294"/>
      <c r="WOW614" s="294"/>
      <c r="WOX614" s="294"/>
      <c r="WOY614" s="294"/>
      <c r="WOZ614" s="294"/>
      <c r="WPA614" s="294"/>
      <c r="WPB614" s="294"/>
      <c r="WPC614" s="294"/>
      <c r="WPD614" s="294"/>
      <c r="WPE614" s="294"/>
      <c r="WPF614" s="294"/>
      <c r="WPG614" s="294"/>
      <c r="WPH614" s="294"/>
      <c r="WPI614" s="294"/>
      <c r="WPJ614" s="294"/>
      <c r="WPK614" s="294"/>
      <c r="WPL614" s="294"/>
      <c r="WPM614" s="294"/>
      <c r="WPN614" s="294"/>
      <c r="WPO614" s="294"/>
      <c r="WPP614" s="294"/>
      <c r="WPQ614" s="294"/>
      <c r="WPR614" s="294"/>
      <c r="WPS614" s="294"/>
      <c r="WPT614" s="294"/>
      <c r="WPU614" s="294"/>
      <c r="WPV614" s="294"/>
      <c r="WPW614" s="294"/>
      <c r="WPX614" s="294"/>
      <c r="WPY614" s="294"/>
      <c r="WPZ614" s="294"/>
      <c r="WQA614" s="294"/>
      <c r="WQB614" s="294"/>
      <c r="WQC614" s="294"/>
      <c r="WQD614" s="294"/>
      <c r="WQE614" s="294"/>
      <c r="WQF614" s="294"/>
      <c r="WQG614" s="294"/>
      <c r="WQH614" s="294"/>
      <c r="WQI614" s="294"/>
      <c r="WQJ614" s="294"/>
      <c r="WQK614" s="294"/>
      <c r="WQL614" s="294"/>
      <c r="WQM614" s="294"/>
      <c r="WQN614" s="294"/>
      <c r="WQO614" s="294"/>
      <c r="WQP614" s="294"/>
      <c r="WQQ614" s="294"/>
      <c r="WQR614" s="294"/>
      <c r="WQS614" s="294"/>
      <c r="WQT614" s="294"/>
      <c r="WQU614" s="294"/>
      <c r="WQV614" s="294"/>
      <c r="WQW614" s="294"/>
      <c r="WQX614" s="294"/>
      <c r="WQY614" s="294"/>
      <c r="WQZ614" s="294"/>
      <c r="WRA614" s="294"/>
      <c r="WRB614" s="294"/>
      <c r="WRC614" s="294"/>
      <c r="WRD614" s="294"/>
      <c r="WRE614" s="294"/>
      <c r="WRF614" s="294"/>
      <c r="WRG614" s="294"/>
      <c r="WRH614" s="294"/>
      <c r="WRI614" s="294"/>
      <c r="WRJ614" s="294"/>
      <c r="WRK614" s="294"/>
      <c r="WRL614" s="294"/>
      <c r="WRM614" s="294"/>
      <c r="WRN614" s="294"/>
      <c r="WRO614" s="294"/>
      <c r="WRP614" s="294"/>
      <c r="WRQ614" s="294"/>
      <c r="WRR614" s="294"/>
      <c r="WRS614" s="294"/>
      <c r="WRT614" s="294"/>
      <c r="WRU614" s="294"/>
      <c r="WRV614" s="294"/>
      <c r="WRW614" s="294"/>
      <c r="WRX614" s="294"/>
      <c r="WRY614" s="294"/>
      <c r="WRZ614" s="294"/>
      <c r="WSA614" s="294"/>
      <c r="WSB614" s="294"/>
      <c r="WSC614" s="294"/>
      <c r="WSD614" s="294"/>
      <c r="WSE614" s="294"/>
      <c r="WSF614" s="294"/>
      <c r="WSG614" s="294"/>
      <c r="WSH614" s="294"/>
      <c r="WSI614" s="294"/>
      <c r="WSJ614" s="294"/>
      <c r="WSK614" s="294"/>
      <c r="WSL614" s="294"/>
      <c r="WSM614" s="294"/>
      <c r="WSN614" s="294"/>
      <c r="WSO614" s="294"/>
      <c r="WSP614" s="294"/>
      <c r="WSQ614" s="294"/>
      <c r="WSR614" s="294"/>
      <c r="WSS614" s="294"/>
      <c r="WST614" s="294"/>
      <c r="WSU614" s="294"/>
      <c r="WSV614" s="294"/>
      <c r="WSW614" s="294"/>
      <c r="WSX614" s="294"/>
      <c r="WSY614" s="294"/>
      <c r="WSZ614" s="294"/>
      <c r="WTA614" s="294"/>
      <c r="WTB614" s="294"/>
      <c r="WTC614" s="294"/>
      <c r="WTD614" s="294"/>
      <c r="WTE614" s="294"/>
      <c r="WTF614" s="294"/>
      <c r="WTG614" s="294"/>
      <c r="WTH614" s="294"/>
      <c r="WTI614" s="294"/>
      <c r="WTJ614" s="294"/>
      <c r="WTK614" s="294"/>
      <c r="WTL614" s="294"/>
      <c r="WTM614" s="294"/>
      <c r="WTN614" s="294"/>
      <c r="WTO614" s="294"/>
      <c r="WTP614" s="294"/>
      <c r="WTQ614" s="294"/>
      <c r="WTR614" s="294"/>
      <c r="WTS614" s="294"/>
      <c r="WTT614" s="294"/>
      <c r="WTU614" s="294"/>
      <c r="WTV614" s="294"/>
      <c r="WTW614" s="294"/>
      <c r="WTX614" s="294"/>
      <c r="WTY614" s="294"/>
      <c r="WTZ614" s="294"/>
      <c r="WUA614" s="294"/>
      <c r="WUB614" s="294"/>
      <c r="WUC614" s="294"/>
      <c r="WUD614" s="294"/>
      <c r="WUE614" s="294"/>
      <c r="WUF614" s="294"/>
      <c r="WUG614" s="294"/>
      <c r="WUH614" s="294"/>
      <c r="WUI614" s="294"/>
      <c r="WUJ614" s="294"/>
      <c r="WUK614" s="294"/>
      <c r="WUL614" s="294"/>
      <c r="WUM614" s="294"/>
      <c r="WUN614" s="294"/>
      <c r="WUO614" s="294"/>
      <c r="WUP614" s="294"/>
      <c r="WUQ614" s="294"/>
      <c r="WUR614" s="294"/>
      <c r="WUS614" s="294"/>
      <c r="WUT614" s="294"/>
      <c r="WUU614" s="294"/>
      <c r="WUV614" s="294"/>
      <c r="WUW614" s="294"/>
      <c r="WUX614" s="294"/>
      <c r="WUY614" s="294"/>
      <c r="WUZ614" s="294"/>
      <c r="WVA614" s="294"/>
      <c r="WVB614" s="294"/>
      <c r="WVC614" s="294"/>
      <c r="WVD614" s="294"/>
      <c r="WVE614" s="294"/>
      <c r="WVF614" s="294"/>
      <c r="WVG614" s="294"/>
      <c r="WVH614" s="294"/>
      <c r="WVI614" s="294"/>
      <c r="WVJ614" s="294"/>
      <c r="WVK614" s="294"/>
      <c r="WVL614" s="294"/>
      <c r="WVM614" s="294"/>
      <c r="WVN614" s="294"/>
      <c r="WVO614" s="294"/>
      <c r="WVP614" s="294"/>
      <c r="WVQ614" s="294"/>
      <c r="WVR614" s="294"/>
      <c r="WVS614" s="294"/>
      <c r="WVT614" s="294"/>
      <c r="WVU614" s="294"/>
      <c r="WVV614" s="294"/>
      <c r="WVW614" s="294"/>
      <c r="WVX614" s="294"/>
      <c r="WVY614" s="294"/>
      <c r="WVZ614" s="294"/>
      <c r="WWA614" s="294"/>
      <c r="WWB614" s="294"/>
      <c r="WWC614" s="294"/>
      <c r="WWD614" s="294"/>
      <c r="WWE614" s="294"/>
      <c r="WWF614" s="294"/>
      <c r="WWG614" s="294"/>
      <c r="WWH614" s="294"/>
      <c r="WWI614" s="294"/>
      <c r="WWJ614" s="294"/>
      <c r="WWK614" s="294"/>
      <c r="WWL614" s="294"/>
      <c r="WWM614" s="294"/>
      <c r="WWN614" s="294"/>
      <c r="WWO614" s="294"/>
      <c r="WWP614" s="294"/>
      <c r="WWQ614" s="294"/>
      <c r="WWR614" s="294"/>
      <c r="WWS614" s="294"/>
      <c r="WWT614" s="294"/>
      <c r="WWU614" s="294"/>
      <c r="WWV614" s="294"/>
      <c r="WWW614" s="294"/>
      <c r="WWX614" s="294"/>
      <c r="WWY614" s="294"/>
      <c r="WWZ614" s="294"/>
      <c r="WXA614" s="294"/>
      <c r="WXB614" s="294"/>
      <c r="WXC614" s="294"/>
      <c r="WXD614" s="294"/>
      <c r="WXE614" s="294"/>
      <c r="WXF614" s="294"/>
      <c r="WXG614" s="294"/>
      <c r="WXH614" s="294"/>
      <c r="WXI614" s="294"/>
      <c r="WXJ614" s="294"/>
      <c r="WXK614" s="294"/>
      <c r="WXL614" s="294"/>
      <c r="WXM614" s="294"/>
      <c r="WXN614" s="294"/>
      <c r="WXO614" s="294"/>
      <c r="WXP614" s="294"/>
      <c r="WXQ614" s="294"/>
      <c r="WXR614" s="294"/>
      <c r="WXS614" s="294"/>
      <c r="WXT614" s="294"/>
      <c r="WXU614" s="294"/>
      <c r="WXV614" s="294"/>
      <c r="WXW614" s="294"/>
      <c r="WXX614" s="294"/>
      <c r="WXY614" s="294"/>
      <c r="WXZ614" s="294"/>
      <c r="WYA614" s="294"/>
      <c r="WYB614" s="294"/>
      <c r="WYC614" s="294"/>
      <c r="WYD614" s="294"/>
      <c r="WYE614" s="294"/>
      <c r="WYF614" s="294"/>
      <c r="WYG614" s="294"/>
      <c r="WYH614" s="294"/>
      <c r="WYI614" s="294"/>
      <c r="WYJ614" s="294"/>
      <c r="WYK614" s="294"/>
      <c r="WYL614" s="294"/>
      <c r="WYM614" s="294"/>
      <c r="WYN614" s="294"/>
      <c r="WYO614" s="294"/>
      <c r="WYP614" s="294"/>
      <c r="WYQ614" s="294"/>
      <c r="WYR614" s="294"/>
      <c r="WYS614" s="294"/>
      <c r="WYT614" s="294"/>
      <c r="WYU614" s="294"/>
      <c r="WYV614" s="294"/>
      <c r="WYW614" s="294"/>
      <c r="WYX614" s="294"/>
      <c r="WYY614" s="294"/>
      <c r="WYZ614" s="294"/>
      <c r="WZA614" s="294"/>
      <c r="WZB614" s="294"/>
      <c r="WZC614" s="294"/>
      <c r="WZD614" s="294"/>
      <c r="WZE614" s="294"/>
      <c r="WZF614" s="294"/>
      <c r="WZG614" s="294"/>
      <c r="WZH614" s="294"/>
      <c r="WZI614" s="294"/>
      <c r="WZJ614" s="294"/>
      <c r="WZK614" s="294"/>
      <c r="WZL614" s="294"/>
      <c r="WZM614" s="294"/>
      <c r="WZN614" s="294"/>
      <c r="WZO614" s="294"/>
      <c r="WZP614" s="294"/>
      <c r="WZQ614" s="294"/>
      <c r="WZR614" s="294"/>
      <c r="WZS614" s="294"/>
      <c r="WZT614" s="294"/>
      <c r="WZU614" s="294"/>
      <c r="WZV614" s="294"/>
      <c r="WZW614" s="294"/>
      <c r="WZX614" s="294"/>
      <c r="WZY614" s="294"/>
      <c r="WZZ614" s="294"/>
      <c r="XAA614" s="294"/>
      <c r="XAB614" s="294"/>
      <c r="XAC614" s="294"/>
      <c r="XAD614" s="294"/>
      <c r="XAE614" s="294"/>
      <c r="XAF614" s="294"/>
      <c r="XAG614" s="294"/>
      <c r="XAH614" s="294"/>
      <c r="XAI614" s="294"/>
      <c r="XAJ614" s="294"/>
      <c r="XAK614" s="294"/>
      <c r="XAL614" s="294"/>
      <c r="XAM614" s="294"/>
      <c r="XAN614" s="294"/>
      <c r="XAO614" s="294"/>
      <c r="XAP614" s="294"/>
      <c r="XAQ614" s="294"/>
      <c r="XAR614" s="294"/>
      <c r="XAS614" s="294"/>
      <c r="XAT614" s="294"/>
      <c r="XAU614" s="294"/>
      <c r="XAV614" s="294"/>
      <c r="XAW614" s="294"/>
      <c r="XAX614" s="294"/>
      <c r="XAY614" s="294"/>
      <c r="XAZ614" s="294"/>
      <c r="XBA614" s="294"/>
      <c r="XBB614" s="294"/>
      <c r="XBC614" s="294"/>
      <c r="XBD614" s="294"/>
      <c r="XBE614" s="294"/>
      <c r="XBF614" s="294"/>
      <c r="XBG614" s="294"/>
      <c r="XBH614" s="294"/>
      <c r="XBI614" s="294"/>
      <c r="XBJ614" s="294"/>
      <c r="XBK614" s="294"/>
      <c r="XBL614" s="294"/>
      <c r="XBM614" s="294"/>
      <c r="XBN614" s="294"/>
      <c r="XBO614" s="294"/>
      <c r="XBP614" s="294"/>
      <c r="XBQ614" s="294"/>
      <c r="XBR614" s="294"/>
      <c r="XBS614" s="294"/>
      <c r="XBT614" s="294"/>
      <c r="XBU614" s="294"/>
      <c r="XBV614" s="294"/>
      <c r="XBW614" s="294"/>
      <c r="XBX614" s="294"/>
      <c r="XBY614" s="294"/>
      <c r="XBZ614" s="294"/>
      <c r="XCA614" s="294"/>
      <c r="XCB614" s="294"/>
      <c r="XCC614" s="294"/>
      <c r="XCD614" s="294"/>
      <c r="XCE614" s="294"/>
      <c r="XCF614" s="294"/>
      <c r="XCG614" s="294"/>
      <c r="XCH614" s="294"/>
      <c r="XCI614" s="294"/>
      <c r="XCJ614" s="294"/>
      <c r="XCK614" s="294"/>
      <c r="XCL614" s="294"/>
      <c r="XCM614" s="294"/>
      <c r="XCN614" s="294"/>
      <c r="XCO614" s="294"/>
      <c r="XCP614" s="294"/>
      <c r="XCQ614" s="294"/>
      <c r="XCR614" s="294"/>
      <c r="XCS614" s="294"/>
      <c r="XCT614" s="294"/>
      <c r="XCU614" s="294"/>
      <c r="XCV614" s="294"/>
      <c r="XCW614" s="294"/>
      <c r="XCX614" s="294"/>
      <c r="XCY614" s="294"/>
      <c r="XCZ614" s="294"/>
      <c r="XDA614" s="294"/>
      <c r="XDB614" s="294"/>
      <c r="XDC614" s="294"/>
      <c r="XDD614" s="294"/>
      <c r="XDE614" s="294"/>
      <c r="XDF614" s="294"/>
      <c r="XDG614" s="294"/>
      <c r="XDH614" s="294"/>
      <c r="XDI614" s="294"/>
      <c r="XDJ614" s="294"/>
      <c r="XDK614" s="294"/>
      <c r="XDL614" s="294"/>
      <c r="XDM614" s="294"/>
      <c r="XDN614" s="294"/>
      <c r="XDO614" s="294"/>
      <c r="XDP614" s="294"/>
      <c r="XDQ614" s="294"/>
      <c r="XDR614" s="294"/>
      <c r="XDS614" s="294"/>
      <c r="XDT614" s="294"/>
      <c r="XDU614" s="294"/>
      <c r="XDV614" s="294"/>
      <c r="XDW614" s="294"/>
      <c r="XDX614" s="294"/>
      <c r="XDY614" s="294"/>
      <c r="XDZ614" s="294"/>
      <c r="XEA614" s="294"/>
      <c r="XEB614" s="294"/>
      <c r="XEC614" s="294"/>
      <c r="XED614" s="294"/>
      <c r="XEE614" s="294"/>
      <c r="XEF614" s="294"/>
      <c r="XEG614" s="294"/>
      <c r="XEH614" s="294"/>
      <c r="XEI614" s="294"/>
      <c r="XEJ614" s="294"/>
      <c r="XEK614" s="294"/>
      <c r="XEL614" s="294"/>
      <c r="XEM614" s="294"/>
      <c r="XEN614" s="294"/>
      <c r="XEO614" s="294"/>
      <c r="XEP614" s="294"/>
      <c r="XEQ614" s="294"/>
      <c r="XER614" s="294"/>
      <c r="XES614" s="294"/>
      <c r="XET614" s="294"/>
      <c r="XEU614" s="294"/>
      <c r="XEV614" s="294"/>
      <c r="XEW614" s="294"/>
      <c r="XEX614" s="294"/>
      <c r="XEY614" s="294"/>
      <c r="XEZ614" s="294"/>
      <c r="XFA614" s="294"/>
      <c r="XFB614" s="294"/>
      <c r="XFC614" s="294"/>
      <c r="XFD614" s="294"/>
    </row>
    <row r="615" spans="1:16384" s="295" customFormat="1" ht="72">
      <c r="A615" s="140" t="s">
        <v>6</v>
      </c>
      <c r="B615" s="129">
        <v>613</v>
      </c>
      <c r="C615" s="141" t="s">
        <v>1747</v>
      </c>
      <c r="D615" s="242" t="s">
        <v>3118</v>
      </c>
      <c r="E615" s="242" t="s">
        <v>2396</v>
      </c>
      <c r="F615" s="242" t="s">
        <v>2392</v>
      </c>
      <c r="G615" s="242" t="s">
        <v>665</v>
      </c>
      <c r="H615" s="242" t="s">
        <v>1939</v>
      </c>
      <c r="I615" s="242" t="s">
        <v>1773</v>
      </c>
      <c r="J615" s="242" t="s">
        <v>815</v>
      </c>
      <c r="K615" s="242" t="s">
        <v>192</v>
      </c>
      <c r="L615" s="242" t="s">
        <v>198</v>
      </c>
      <c r="M615" s="242" t="s">
        <v>665</v>
      </c>
      <c r="N615" s="242">
        <v>100</v>
      </c>
      <c r="O615" s="242">
        <v>30</v>
      </c>
      <c r="P615" s="242" t="s">
        <v>665</v>
      </c>
      <c r="Q615" s="242">
        <v>8</v>
      </c>
      <c r="R615" s="242">
        <v>15</v>
      </c>
      <c r="S615" s="242">
        <v>12</v>
      </c>
      <c r="T615" s="242">
        <v>4</v>
      </c>
      <c r="U615" s="242" t="s">
        <v>670</v>
      </c>
      <c r="V615" s="242" t="s">
        <v>671</v>
      </c>
      <c r="W615" s="242">
        <v>200</v>
      </c>
      <c r="X615" s="242" t="s">
        <v>665</v>
      </c>
      <c r="Y615" s="242" t="s">
        <v>2393</v>
      </c>
      <c r="Z615" s="242" t="s">
        <v>2393</v>
      </c>
      <c r="AA615" s="242">
        <v>1</v>
      </c>
      <c r="AB615" s="242">
        <v>1</v>
      </c>
      <c r="AC615" s="242" t="s">
        <v>665</v>
      </c>
      <c r="AD615" s="242">
        <v>1</v>
      </c>
      <c r="AE615" s="242" t="s">
        <v>665</v>
      </c>
      <c r="AF615" s="242">
        <v>0</v>
      </c>
      <c r="AG615" s="242">
        <v>0</v>
      </c>
      <c r="AH615" s="242">
        <v>15</v>
      </c>
      <c r="AI615" s="242" t="s">
        <v>198</v>
      </c>
      <c r="AJ615" s="290" t="s">
        <v>2697</v>
      </c>
      <c r="AK615" s="242" t="s">
        <v>1940</v>
      </c>
      <c r="AL615" s="290" t="s">
        <v>2394</v>
      </c>
      <c r="AM615" s="242"/>
      <c r="AN615" s="291" t="s">
        <v>2391</v>
      </c>
      <c r="AO615" s="291"/>
      <c r="AP615" s="291"/>
      <c r="AQ615" s="291"/>
      <c r="AR615" s="291"/>
      <c r="AS615" s="292"/>
      <c r="AT615" s="291"/>
      <c r="AU615" s="291"/>
      <c r="AV615" s="291"/>
      <c r="AW615" s="292"/>
      <c r="AX615" s="293"/>
      <c r="AY615" s="294"/>
      <c r="AZ615" s="294"/>
      <c r="BA615" s="294"/>
      <c r="BB615" s="294"/>
      <c r="BC615" s="294"/>
      <c r="BD615" s="294"/>
      <c r="BE615" s="294"/>
      <c r="BF615" s="294"/>
      <c r="BG615" s="294"/>
      <c r="BH615" s="294"/>
      <c r="BI615" s="294"/>
      <c r="BJ615" s="294"/>
      <c r="BK615" s="294"/>
      <c r="BL615" s="294"/>
      <c r="BM615" s="294"/>
      <c r="BN615" s="294"/>
      <c r="BO615" s="294"/>
      <c r="BP615" s="294"/>
      <c r="BQ615" s="294"/>
      <c r="BR615" s="294"/>
      <c r="BS615" s="294"/>
      <c r="BT615" s="294"/>
      <c r="BU615" s="294"/>
      <c r="BV615" s="294"/>
      <c r="BW615" s="294"/>
      <c r="BX615" s="294"/>
      <c r="BY615" s="294"/>
      <c r="BZ615" s="294"/>
      <c r="CA615" s="294"/>
      <c r="CB615" s="294"/>
      <c r="CC615" s="294"/>
      <c r="CD615" s="294"/>
      <c r="CE615" s="294"/>
      <c r="CF615" s="294"/>
      <c r="CG615" s="294"/>
      <c r="CH615" s="294"/>
      <c r="CI615" s="294"/>
      <c r="CJ615" s="294"/>
      <c r="CK615" s="294"/>
      <c r="CL615" s="294"/>
      <c r="CM615" s="294"/>
      <c r="CN615" s="294"/>
      <c r="CO615" s="294"/>
      <c r="CP615" s="294"/>
      <c r="CQ615" s="294"/>
      <c r="CR615" s="294"/>
      <c r="CS615" s="294"/>
      <c r="CT615" s="294"/>
      <c r="CU615" s="294"/>
      <c r="CV615" s="294"/>
      <c r="CW615" s="294"/>
      <c r="CX615" s="294"/>
      <c r="CY615" s="294"/>
      <c r="CZ615" s="294"/>
      <c r="DA615" s="294"/>
      <c r="DB615" s="294"/>
      <c r="DC615" s="294"/>
      <c r="DD615" s="294"/>
      <c r="DE615" s="294"/>
      <c r="DF615" s="294"/>
      <c r="DG615" s="294"/>
      <c r="DH615" s="294"/>
      <c r="DI615" s="294"/>
      <c r="DJ615" s="294"/>
      <c r="DK615" s="294"/>
      <c r="DL615" s="294"/>
      <c r="DM615" s="294"/>
      <c r="DN615" s="294"/>
      <c r="DO615" s="294"/>
      <c r="DP615" s="294"/>
      <c r="DQ615" s="294"/>
      <c r="DR615" s="294"/>
      <c r="DS615" s="294"/>
      <c r="DT615" s="294"/>
      <c r="DU615" s="294"/>
      <c r="DV615" s="294"/>
      <c r="DW615" s="294"/>
      <c r="DX615" s="294"/>
      <c r="DY615" s="294"/>
      <c r="DZ615" s="294"/>
      <c r="EA615" s="294"/>
      <c r="EB615" s="294"/>
      <c r="EC615" s="294"/>
      <c r="ED615" s="294"/>
      <c r="EE615" s="294"/>
      <c r="EF615" s="294"/>
      <c r="EG615" s="294"/>
      <c r="EH615" s="294"/>
      <c r="EI615" s="294"/>
      <c r="EJ615" s="294"/>
      <c r="EK615" s="294"/>
      <c r="EL615" s="294"/>
      <c r="EM615" s="294"/>
      <c r="EN615" s="294"/>
      <c r="EO615" s="294"/>
      <c r="EP615" s="294"/>
      <c r="EQ615" s="294"/>
      <c r="ER615" s="294"/>
      <c r="ES615" s="294"/>
      <c r="ET615" s="294"/>
      <c r="EU615" s="294"/>
      <c r="EV615" s="294"/>
      <c r="EW615" s="294"/>
      <c r="EX615" s="294"/>
      <c r="EY615" s="294"/>
      <c r="EZ615" s="294"/>
      <c r="FA615" s="294"/>
      <c r="FB615" s="294"/>
      <c r="FC615" s="294"/>
      <c r="FD615" s="294"/>
      <c r="FE615" s="294"/>
      <c r="FF615" s="294"/>
      <c r="FG615" s="294"/>
      <c r="FH615" s="294"/>
      <c r="FI615" s="294"/>
      <c r="FJ615" s="294"/>
      <c r="FK615" s="294"/>
      <c r="FL615" s="294"/>
      <c r="FM615" s="294"/>
      <c r="FN615" s="294"/>
      <c r="FO615" s="294"/>
      <c r="FP615" s="294"/>
      <c r="FQ615" s="294"/>
      <c r="FR615" s="294"/>
      <c r="FS615" s="294"/>
      <c r="FT615" s="294"/>
      <c r="FU615" s="294"/>
      <c r="FV615" s="294"/>
      <c r="FW615" s="294"/>
      <c r="FX615" s="294"/>
      <c r="FY615" s="294"/>
      <c r="FZ615" s="294"/>
      <c r="GA615" s="294"/>
      <c r="GB615" s="294"/>
      <c r="GC615" s="294"/>
      <c r="GD615" s="294"/>
      <c r="GE615" s="294"/>
      <c r="GF615" s="294"/>
      <c r="GG615" s="294"/>
      <c r="GH615" s="294"/>
      <c r="GI615" s="294"/>
      <c r="GJ615" s="294"/>
      <c r="GK615" s="294"/>
      <c r="GL615" s="294"/>
      <c r="GM615" s="294"/>
      <c r="GN615" s="294"/>
      <c r="GO615" s="294"/>
      <c r="GP615" s="294"/>
      <c r="GQ615" s="294"/>
      <c r="GR615" s="294"/>
      <c r="GS615" s="294"/>
      <c r="GT615" s="294"/>
      <c r="GU615" s="294"/>
      <c r="GV615" s="294"/>
      <c r="GW615" s="294"/>
      <c r="GX615" s="294"/>
      <c r="GY615" s="294"/>
      <c r="GZ615" s="294"/>
      <c r="HA615" s="294"/>
      <c r="HB615" s="294"/>
      <c r="HC615" s="294"/>
      <c r="HD615" s="294"/>
      <c r="HE615" s="294"/>
      <c r="HF615" s="294"/>
      <c r="HG615" s="294"/>
      <c r="HH615" s="294"/>
      <c r="HI615" s="294"/>
      <c r="HJ615" s="294"/>
      <c r="HK615" s="294"/>
      <c r="HL615" s="294"/>
      <c r="HM615" s="294"/>
      <c r="HN615" s="294"/>
      <c r="HO615" s="294"/>
      <c r="HP615" s="294"/>
      <c r="HQ615" s="294"/>
      <c r="HR615" s="294"/>
      <c r="HS615" s="294"/>
      <c r="HT615" s="294"/>
      <c r="HU615" s="294"/>
      <c r="HV615" s="294"/>
      <c r="HW615" s="294"/>
      <c r="HX615" s="294"/>
      <c r="HY615" s="294"/>
      <c r="HZ615" s="294"/>
      <c r="IA615" s="294"/>
      <c r="IB615" s="294"/>
      <c r="IC615" s="294"/>
      <c r="ID615" s="294"/>
      <c r="IE615" s="294"/>
      <c r="IF615" s="294"/>
      <c r="IG615" s="294"/>
      <c r="IH615" s="294"/>
      <c r="II615" s="294"/>
      <c r="IJ615" s="294"/>
      <c r="IK615" s="294"/>
      <c r="IL615" s="294"/>
      <c r="IM615" s="294"/>
      <c r="IN615" s="294"/>
      <c r="IO615" s="294"/>
      <c r="IP615" s="294"/>
      <c r="IQ615" s="294"/>
      <c r="IR615" s="294"/>
      <c r="IS615" s="294"/>
      <c r="IT615" s="294"/>
      <c r="IU615" s="294"/>
      <c r="IV615" s="294"/>
      <c r="IW615" s="294"/>
      <c r="IX615" s="294"/>
      <c r="IY615" s="294"/>
      <c r="IZ615" s="294"/>
      <c r="JA615" s="294"/>
      <c r="JB615" s="294"/>
      <c r="JC615" s="294"/>
      <c r="JD615" s="294"/>
      <c r="JE615" s="294"/>
      <c r="JF615" s="294"/>
      <c r="JG615" s="294"/>
      <c r="JH615" s="294"/>
      <c r="JI615" s="294"/>
      <c r="JJ615" s="294"/>
      <c r="JK615" s="294"/>
      <c r="JL615" s="294"/>
      <c r="JM615" s="294"/>
      <c r="JN615" s="294"/>
      <c r="JO615" s="294"/>
      <c r="JP615" s="294"/>
      <c r="JQ615" s="294"/>
      <c r="JR615" s="294"/>
      <c r="JS615" s="294"/>
      <c r="JT615" s="294"/>
      <c r="JU615" s="294"/>
      <c r="JV615" s="294"/>
      <c r="JW615" s="294"/>
      <c r="JX615" s="294"/>
      <c r="JY615" s="294"/>
      <c r="JZ615" s="294"/>
      <c r="KA615" s="294"/>
      <c r="KB615" s="294"/>
      <c r="KC615" s="294"/>
      <c r="KD615" s="294"/>
      <c r="KE615" s="294"/>
      <c r="KF615" s="294"/>
      <c r="KG615" s="294"/>
      <c r="KH615" s="294"/>
      <c r="KI615" s="294"/>
      <c r="KJ615" s="294"/>
      <c r="KK615" s="294"/>
      <c r="KL615" s="294"/>
      <c r="KM615" s="294"/>
      <c r="KN615" s="294"/>
      <c r="KO615" s="294"/>
      <c r="KP615" s="294"/>
      <c r="KQ615" s="294"/>
      <c r="KR615" s="294"/>
      <c r="KS615" s="294"/>
      <c r="KT615" s="294"/>
      <c r="KU615" s="294"/>
      <c r="KV615" s="294"/>
      <c r="KW615" s="294"/>
      <c r="KX615" s="294"/>
      <c r="KY615" s="294"/>
      <c r="KZ615" s="294"/>
      <c r="LA615" s="294"/>
      <c r="LB615" s="294"/>
      <c r="LC615" s="294"/>
      <c r="LD615" s="294"/>
      <c r="LE615" s="294"/>
      <c r="LF615" s="294"/>
      <c r="LG615" s="294"/>
      <c r="LH615" s="294"/>
      <c r="LI615" s="294"/>
      <c r="LJ615" s="294"/>
      <c r="LK615" s="294"/>
      <c r="LL615" s="294"/>
      <c r="LM615" s="294"/>
      <c r="LN615" s="294"/>
      <c r="LO615" s="294"/>
      <c r="LP615" s="294"/>
      <c r="LQ615" s="294"/>
      <c r="LR615" s="294"/>
      <c r="LS615" s="294"/>
      <c r="LT615" s="294"/>
      <c r="LU615" s="294"/>
      <c r="LV615" s="294"/>
      <c r="LW615" s="294"/>
      <c r="LX615" s="294"/>
      <c r="LY615" s="294"/>
      <c r="LZ615" s="294"/>
      <c r="MA615" s="294"/>
      <c r="MB615" s="294"/>
      <c r="MC615" s="294"/>
      <c r="MD615" s="294"/>
      <c r="ME615" s="294"/>
      <c r="MF615" s="294"/>
      <c r="MG615" s="294"/>
      <c r="MH615" s="294"/>
      <c r="MI615" s="294"/>
      <c r="MJ615" s="294"/>
      <c r="MK615" s="294"/>
      <c r="ML615" s="294"/>
      <c r="MM615" s="294"/>
      <c r="MN615" s="294"/>
      <c r="MO615" s="294"/>
      <c r="MP615" s="294"/>
      <c r="MQ615" s="294"/>
      <c r="MR615" s="294"/>
      <c r="MS615" s="294"/>
      <c r="MT615" s="294"/>
      <c r="MU615" s="294"/>
      <c r="MV615" s="294"/>
      <c r="MW615" s="294"/>
      <c r="MX615" s="294"/>
      <c r="MY615" s="294"/>
      <c r="MZ615" s="294"/>
      <c r="NA615" s="294"/>
      <c r="NB615" s="294"/>
      <c r="NC615" s="294"/>
      <c r="ND615" s="294"/>
      <c r="NE615" s="294"/>
      <c r="NF615" s="294"/>
      <c r="NG615" s="294"/>
      <c r="NH615" s="294"/>
      <c r="NI615" s="294"/>
      <c r="NJ615" s="294"/>
      <c r="NK615" s="294"/>
      <c r="NL615" s="294"/>
      <c r="NM615" s="294"/>
      <c r="NN615" s="294"/>
      <c r="NO615" s="294"/>
      <c r="NP615" s="294"/>
      <c r="NQ615" s="294"/>
      <c r="NR615" s="294"/>
      <c r="NS615" s="294"/>
      <c r="NT615" s="294"/>
      <c r="NU615" s="294"/>
      <c r="NV615" s="294"/>
      <c r="NW615" s="294"/>
      <c r="NX615" s="294"/>
      <c r="NY615" s="294"/>
      <c r="NZ615" s="294"/>
      <c r="OA615" s="294"/>
      <c r="OB615" s="294"/>
      <c r="OC615" s="294"/>
      <c r="OD615" s="294"/>
      <c r="OE615" s="294"/>
      <c r="OF615" s="294"/>
      <c r="OG615" s="294"/>
      <c r="OH615" s="294"/>
      <c r="OI615" s="294"/>
      <c r="OJ615" s="294"/>
      <c r="OK615" s="294"/>
      <c r="OL615" s="294"/>
      <c r="OM615" s="294"/>
      <c r="ON615" s="294"/>
      <c r="OO615" s="294"/>
      <c r="OP615" s="294"/>
      <c r="OQ615" s="294"/>
      <c r="OR615" s="294"/>
      <c r="OS615" s="294"/>
      <c r="OT615" s="294"/>
      <c r="OU615" s="294"/>
      <c r="OV615" s="294"/>
      <c r="OW615" s="294"/>
      <c r="OX615" s="294"/>
      <c r="OY615" s="294"/>
      <c r="OZ615" s="294"/>
      <c r="PA615" s="294"/>
      <c r="PB615" s="294"/>
      <c r="PC615" s="294"/>
      <c r="PD615" s="294"/>
      <c r="PE615" s="294"/>
      <c r="PF615" s="294"/>
      <c r="PG615" s="294"/>
      <c r="PH615" s="294"/>
      <c r="PI615" s="294"/>
      <c r="PJ615" s="294"/>
      <c r="PK615" s="294"/>
      <c r="PL615" s="294"/>
      <c r="PM615" s="294"/>
      <c r="PN615" s="294"/>
      <c r="PO615" s="294"/>
      <c r="PP615" s="294"/>
      <c r="PQ615" s="294"/>
      <c r="PR615" s="294"/>
      <c r="PS615" s="294"/>
      <c r="PT615" s="294"/>
      <c r="PU615" s="294"/>
      <c r="PV615" s="294"/>
      <c r="PW615" s="294"/>
      <c r="PX615" s="294"/>
      <c r="PY615" s="294"/>
      <c r="PZ615" s="294"/>
      <c r="QA615" s="294"/>
      <c r="QB615" s="294"/>
      <c r="QC615" s="294"/>
      <c r="QD615" s="294"/>
      <c r="QE615" s="294"/>
      <c r="QF615" s="294"/>
      <c r="QG615" s="294"/>
      <c r="QH615" s="294"/>
      <c r="QI615" s="294"/>
      <c r="QJ615" s="294"/>
      <c r="QK615" s="294"/>
      <c r="QL615" s="294"/>
      <c r="QM615" s="294"/>
      <c r="QN615" s="294"/>
      <c r="QO615" s="294"/>
      <c r="QP615" s="294"/>
      <c r="QQ615" s="294"/>
      <c r="QR615" s="294"/>
      <c r="QS615" s="294"/>
      <c r="QT615" s="294"/>
      <c r="QU615" s="294"/>
      <c r="QV615" s="294"/>
      <c r="QW615" s="294"/>
      <c r="QX615" s="294"/>
      <c r="QY615" s="294"/>
      <c r="QZ615" s="294"/>
      <c r="RA615" s="294"/>
      <c r="RB615" s="294"/>
      <c r="RC615" s="294"/>
      <c r="RD615" s="294"/>
      <c r="RE615" s="294"/>
      <c r="RF615" s="294"/>
      <c r="RG615" s="294"/>
      <c r="RH615" s="294"/>
      <c r="RI615" s="294"/>
      <c r="RJ615" s="294"/>
      <c r="RK615" s="294"/>
      <c r="RL615" s="294"/>
      <c r="RM615" s="294"/>
      <c r="RN615" s="294"/>
      <c r="RO615" s="294"/>
      <c r="RP615" s="294"/>
      <c r="RQ615" s="294"/>
      <c r="RR615" s="294"/>
      <c r="RS615" s="294"/>
      <c r="RT615" s="294"/>
      <c r="RU615" s="294"/>
      <c r="RV615" s="294"/>
      <c r="RW615" s="294"/>
      <c r="RX615" s="294"/>
      <c r="RY615" s="294"/>
      <c r="RZ615" s="294"/>
      <c r="SA615" s="294"/>
      <c r="SB615" s="294"/>
      <c r="SC615" s="294"/>
      <c r="SD615" s="294"/>
      <c r="SE615" s="294"/>
      <c r="SF615" s="294"/>
      <c r="SG615" s="294"/>
      <c r="SH615" s="294"/>
      <c r="SI615" s="294"/>
      <c r="SJ615" s="294"/>
      <c r="SK615" s="294"/>
      <c r="SL615" s="294"/>
      <c r="SM615" s="294"/>
      <c r="SN615" s="294"/>
      <c r="SO615" s="294"/>
      <c r="SP615" s="294"/>
      <c r="SQ615" s="294"/>
      <c r="SR615" s="294"/>
      <c r="SS615" s="294"/>
      <c r="ST615" s="294"/>
      <c r="SU615" s="294"/>
      <c r="SV615" s="294"/>
      <c r="SW615" s="294"/>
      <c r="SX615" s="294"/>
      <c r="SY615" s="294"/>
      <c r="SZ615" s="294"/>
      <c r="TA615" s="294"/>
      <c r="TB615" s="294"/>
      <c r="TC615" s="294"/>
      <c r="TD615" s="294"/>
      <c r="TE615" s="294"/>
      <c r="TF615" s="294"/>
      <c r="TG615" s="294"/>
      <c r="TH615" s="294"/>
      <c r="TI615" s="294"/>
      <c r="TJ615" s="294"/>
      <c r="TK615" s="294"/>
      <c r="TL615" s="294"/>
      <c r="TM615" s="294"/>
      <c r="TN615" s="294"/>
      <c r="TO615" s="294"/>
      <c r="TP615" s="294"/>
      <c r="TQ615" s="294"/>
      <c r="TR615" s="294"/>
      <c r="TS615" s="294"/>
      <c r="TT615" s="294"/>
      <c r="TU615" s="294"/>
      <c r="TV615" s="294"/>
      <c r="TW615" s="294"/>
      <c r="TX615" s="294"/>
      <c r="TY615" s="294"/>
      <c r="TZ615" s="294"/>
      <c r="UA615" s="294"/>
      <c r="UB615" s="294"/>
      <c r="UC615" s="294"/>
      <c r="UD615" s="294"/>
      <c r="UE615" s="294"/>
      <c r="UF615" s="294"/>
      <c r="UG615" s="294"/>
      <c r="UH615" s="294"/>
      <c r="UI615" s="294"/>
      <c r="UJ615" s="294"/>
      <c r="UK615" s="294"/>
      <c r="UL615" s="294"/>
      <c r="UM615" s="294"/>
      <c r="UN615" s="294"/>
      <c r="UO615" s="294"/>
      <c r="UP615" s="294"/>
      <c r="UQ615" s="294"/>
      <c r="UR615" s="294"/>
      <c r="US615" s="294"/>
      <c r="UT615" s="294"/>
      <c r="UU615" s="294"/>
      <c r="UV615" s="294"/>
      <c r="UW615" s="294"/>
      <c r="UX615" s="294"/>
      <c r="UY615" s="294"/>
      <c r="UZ615" s="294"/>
      <c r="VA615" s="294"/>
      <c r="VB615" s="294"/>
      <c r="VC615" s="294"/>
      <c r="VD615" s="294"/>
      <c r="VE615" s="294"/>
      <c r="VF615" s="294"/>
      <c r="VG615" s="294"/>
      <c r="VH615" s="294"/>
      <c r="VI615" s="294"/>
      <c r="VJ615" s="294"/>
      <c r="VK615" s="294"/>
      <c r="VL615" s="294"/>
      <c r="VM615" s="294"/>
      <c r="VN615" s="294"/>
      <c r="VO615" s="294"/>
      <c r="VP615" s="294"/>
      <c r="VQ615" s="294"/>
      <c r="VR615" s="294"/>
      <c r="VS615" s="294"/>
      <c r="VT615" s="294"/>
      <c r="VU615" s="294"/>
      <c r="VV615" s="294"/>
      <c r="VW615" s="294"/>
      <c r="VX615" s="294"/>
      <c r="VY615" s="294"/>
      <c r="VZ615" s="294"/>
      <c r="WA615" s="294"/>
      <c r="WB615" s="294"/>
      <c r="WC615" s="294"/>
      <c r="WD615" s="294"/>
      <c r="WE615" s="294"/>
      <c r="WF615" s="294"/>
      <c r="WG615" s="294"/>
      <c r="WH615" s="294"/>
      <c r="WI615" s="294"/>
      <c r="WJ615" s="294"/>
      <c r="WK615" s="294"/>
      <c r="WL615" s="294"/>
      <c r="WM615" s="294"/>
      <c r="WN615" s="294"/>
      <c r="WO615" s="294"/>
      <c r="WP615" s="294"/>
      <c r="WQ615" s="294"/>
      <c r="WR615" s="294"/>
      <c r="WS615" s="294"/>
      <c r="WT615" s="294"/>
      <c r="WU615" s="294"/>
      <c r="WV615" s="294"/>
      <c r="WW615" s="294"/>
      <c r="WX615" s="294"/>
      <c r="WY615" s="294"/>
      <c r="WZ615" s="294"/>
      <c r="XA615" s="294"/>
      <c r="XB615" s="294"/>
      <c r="XC615" s="294"/>
      <c r="XD615" s="294"/>
      <c r="XE615" s="294"/>
      <c r="XF615" s="294"/>
      <c r="XG615" s="294"/>
      <c r="XH615" s="294"/>
      <c r="XI615" s="294"/>
      <c r="XJ615" s="294"/>
      <c r="XK615" s="294"/>
      <c r="XL615" s="294"/>
      <c r="XM615" s="294"/>
      <c r="XN615" s="294"/>
      <c r="XO615" s="294"/>
      <c r="XP615" s="294"/>
      <c r="XQ615" s="294"/>
      <c r="XR615" s="294"/>
      <c r="XS615" s="294"/>
      <c r="XT615" s="294"/>
      <c r="XU615" s="294"/>
      <c r="XV615" s="294"/>
      <c r="XW615" s="294"/>
      <c r="XX615" s="294"/>
      <c r="XY615" s="294"/>
      <c r="XZ615" s="294"/>
      <c r="YA615" s="294"/>
      <c r="YB615" s="294"/>
      <c r="YC615" s="294"/>
      <c r="YD615" s="294"/>
      <c r="YE615" s="294"/>
      <c r="YF615" s="294"/>
      <c r="YG615" s="294"/>
      <c r="YH615" s="294"/>
      <c r="YI615" s="294"/>
      <c r="YJ615" s="294"/>
      <c r="YK615" s="294"/>
      <c r="YL615" s="294"/>
      <c r="YM615" s="294"/>
      <c r="YN615" s="294"/>
      <c r="YO615" s="294"/>
      <c r="YP615" s="294"/>
      <c r="YQ615" s="294"/>
      <c r="YR615" s="294"/>
      <c r="YS615" s="294"/>
      <c r="YT615" s="294"/>
      <c r="YU615" s="294"/>
      <c r="YV615" s="294"/>
      <c r="YW615" s="294"/>
      <c r="YX615" s="294"/>
      <c r="YY615" s="294"/>
      <c r="YZ615" s="294"/>
      <c r="ZA615" s="294"/>
      <c r="ZB615" s="294"/>
      <c r="ZC615" s="294"/>
      <c r="ZD615" s="294"/>
      <c r="ZE615" s="294"/>
      <c r="ZF615" s="294"/>
      <c r="ZG615" s="294"/>
      <c r="ZH615" s="294"/>
      <c r="ZI615" s="294"/>
      <c r="ZJ615" s="294"/>
      <c r="ZK615" s="294"/>
      <c r="ZL615" s="294"/>
      <c r="ZM615" s="294"/>
      <c r="ZN615" s="294"/>
      <c r="ZO615" s="294"/>
      <c r="ZP615" s="294"/>
      <c r="ZQ615" s="294"/>
      <c r="ZR615" s="294"/>
      <c r="ZS615" s="294"/>
      <c r="ZT615" s="294"/>
      <c r="ZU615" s="294"/>
      <c r="ZV615" s="294"/>
      <c r="ZW615" s="294"/>
      <c r="ZX615" s="294"/>
      <c r="ZY615" s="294"/>
      <c r="ZZ615" s="294"/>
      <c r="AAA615" s="294"/>
      <c r="AAB615" s="294"/>
      <c r="AAC615" s="294"/>
      <c r="AAD615" s="294"/>
      <c r="AAE615" s="294"/>
      <c r="AAF615" s="294"/>
      <c r="AAG615" s="294"/>
      <c r="AAH615" s="294"/>
      <c r="AAI615" s="294"/>
      <c r="AAJ615" s="294"/>
      <c r="AAK615" s="294"/>
      <c r="AAL615" s="294"/>
      <c r="AAM615" s="294"/>
      <c r="AAN615" s="294"/>
      <c r="AAO615" s="294"/>
      <c r="AAP615" s="294"/>
      <c r="AAQ615" s="294"/>
      <c r="AAR615" s="294"/>
      <c r="AAS615" s="294"/>
      <c r="AAT615" s="294"/>
      <c r="AAU615" s="294"/>
      <c r="AAV615" s="294"/>
      <c r="AAW615" s="294"/>
      <c r="AAX615" s="294"/>
      <c r="AAY615" s="294"/>
      <c r="AAZ615" s="294"/>
      <c r="ABA615" s="294"/>
      <c r="ABB615" s="294"/>
      <c r="ABC615" s="294"/>
      <c r="ABD615" s="294"/>
      <c r="ABE615" s="294"/>
      <c r="ABF615" s="294"/>
      <c r="ABG615" s="294"/>
      <c r="ABH615" s="294"/>
      <c r="ABI615" s="294"/>
      <c r="ABJ615" s="294"/>
      <c r="ABK615" s="294"/>
      <c r="ABL615" s="294"/>
      <c r="ABM615" s="294"/>
      <c r="ABN615" s="294"/>
      <c r="ABO615" s="294"/>
      <c r="ABP615" s="294"/>
      <c r="ABQ615" s="294"/>
      <c r="ABR615" s="294"/>
      <c r="ABS615" s="294"/>
      <c r="ABT615" s="294"/>
      <c r="ABU615" s="294"/>
      <c r="ABV615" s="294"/>
      <c r="ABW615" s="294"/>
      <c r="ABX615" s="294"/>
      <c r="ABY615" s="294"/>
      <c r="ABZ615" s="294"/>
      <c r="ACA615" s="294"/>
      <c r="ACB615" s="294"/>
      <c r="ACC615" s="294"/>
      <c r="ACD615" s="294"/>
      <c r="ACE615" s="294"/>
      <c r="ACF615" s="294"/>
      <c r="ACG615" s="294"/>
      <c r="ACH615" s="294"/>
      <c r="ACI615" s="294"/>
      <c r="ACJ615" s="294"/>
      <c r="ACK615" s="294"/>
      <c r="ACL615" s="294"/>
      <c r="ACM615" s="294"/>
      <c r="ACN615" s="294"/>
      <c r="ACO615" s="294"/>
      <c r="ACP615" s="294"/>
      <c r="ACQ615" s="294"/>
      <c r="ACR615" s="294"/>
      <c r="ACS615" s="294"/>
      <c r="ACT615" s="294"/>
      <c r="ACU615" s="294"/>
      <c r="ACV615" s="294"/>
      <c r="ACW615" s="294"/>
      <c r="ACX615" s="294"/>
      <c r="ACY615" s="294"/>
      <c r="ACZ615" s="294"/>
      <c r="ADA615" s="294"/>
      <c r="ADB615" s="294"/>
      <c r="ADC615" s="294"/>
      <c r="ADD615" s="294"/>
      <c r="ADE615" s="294"/>
      <c r="ADF615" s="294"/>
      <c r="ADG615" s="294"/>
      <c r="ADH615" s="294"/>
      <c r="ADI615" s="294"/>
      <c r="ADJ615" s="294"/>
      <c r="ADK615" s="294"/>
      <c r="ADL615" s="294"/>
      <c r="ADM615" s="294"/>
      <c r="ADN615" s="294"/>
      <c r="ADO615" s="294"/>
      <c r="ADP615" s="294"/>
      <c r="ADQ615" s="294"/>
      <c r="ADR615" s="294"/>
      <c r="ADS615" s="294"/>
      <c r="ADT615" s="294"/>
      <c r="ADU615" s="294"/>
      <c r="ADV615" s="294"/>
      <c r="ADW615" s="294"/>
      <c r="ADX615" s="294"/>
      <c r="ADY615" s="294"/>
      <c r="ADZ615" s="294"/>
      <c r="AEA615" s="294"/>
      <c r="AEB615" s="294"/>
      <c r="AEC615" s="294"/>
      <c r="AED615" s="294"/>
      <c r="AEE615" s="294"/>
      <c r="AEF615" s="294"/>
      <c r="AEG615" s="294"/>
      <c r="AEH615" s="294"/>
      <c r="AEI615" s="294"/>
      <c r="AEJ615" s="294"/>
      <c r="AEK615" s="294"/>
      <c r="AEL615" s="294"/>
      <c r="AEM615" s="294"/>
      <c r="AEN615" s="294"/>
      <c r="AEO615" s="294"/>
      <c r="AEP615" s="294"/>
      <c r="AEQ615" s="294"/>
      <c r="AER615" s="294"/>
      <c r="AES615" s="294"/>
      <c r="AET615" s="294"/>
      <c r="AEU615" s="294"/>
      <c r="AEV615" s="294"/>
      <c r="AEW615" s="294"/>
      <c r="AEX615" s="294"/>
      <c r="AEY615" s="294"/>
      <c r="AEZ615" s="294"/>
      <c r="AFA615" s="294"/>
      <c r="AFB615" s="294"/>
      <c r="AFC615" s="294"/>
      <c r="AFD615" s="294"/>
      <c r="AFE615" s="294"/>
      <c r="AFF615" s="294"/>
      <c r="AFG615" s="294"/>
      <c r="AFH615" s="294"/>
      <c r="AFI615" s="294"/>
      <c r="AFJ615" s="294"/>
      <c r="AFK615" s="294"/>
      <c r="AFL615" s="294"/>
      <c r="AFM615" s="294"/>
      <c r="AFN615" s="294"/>
      <c r="AFO615" s="294"/>
      <c r="AFP615" s="294"/>
      <c r="AFQ615" s="294"/>
      <c r="AFR615" s="294"/>
      <c r="AFS615" s="294"/>
      <c r="AFT615" s="294"/>
      <c r="AFU615" s="294"/>
      <c r="AFV615" s="294"/>
      <c r="AFW615" s="294"/>
      <c r="AFX615" s="294"/>
      <c r="AFY615" s="294"/>
      <c r="AFZ615" s="294"/>
      <c r="AGA615" s="294"/>
      <c r="AGB615" s="294"/>
      <c r="AGC615" s="294"/>
      <c r="AGD615" s="294"/>
      <c r="AGE615" s="294"/>
      <c r="AGF615" s="294"/>
      <c r="AGG615" s="294"/>
      <c r="AGH615" s="294"/>
      <c r="AGI615" s="294"/>
      <c r="AGJ615" s="294"/>
      <c r="AGK615" s="294"/>
      <c r="AGL615" s="294"/>
      <c r="AGM615" s="294"/>
      <c r="AGN615" s="294"/>
      <c r="AGO615" s="294"/>
      <c r="AGP615" s="294"/>
      <c r="AGQ615" s="294"/>
      <c r="AGR615" s="294"/>
      <c r="AGS615" s="294"/>
      <c r="AGT615" s="294"/>
      <c r="AGU615" s="294"/>
      <c r="AGV615" s="294"/>
      <c r="AGW615" s="294"/>
      <c r="AGX615" s="294"/>
      <c r="AGY615" s="294"/>
      <c r="AGZ615" s="294"/>
      <c r="AHA615" s="294"/>
      <c r="AHB615" s="294"/>
      <c r="AHC615" s="294"/>
      <c r="AHD615" s="294"/>
      <c r="AHE615" s="294"/>
      <c r="AHF615" s="294"/>
      <c r="AHG615" s="294"/>
      <c r="AHH615" s="294"/>
      <c r="AHI615" s="294"/>
      <c r="AHJ615" s="294"/>
      <c r="AHK615" s="294"/>
      <c r="AHL615" s="294"/>
      <c r="AHM615" s="294"/>
      <c r="AHN615" s="294"/>
      <c r="AHO615" s="294"/>
      <c r="AHP615" s="294"/>
      <c r="AHQ615" s="294"/>
      <c r="AHR615" s="294"/>
      <c r="AHS615" s="294"/>
      <c r="AHT615" s="294"/>
      <c r="AHU615" s="294"/>
      <c r="AHV615" s="294"/>
      <c r="AHW615" s="294"/>
      <c r="AHX615" s="294"/>
      <c r="AHY615" s="294"/>
      <c r="AHZ615" s="294"/>
      <c r="AIA615" s="294"/>
      <c r="AIB615" s="294"/>
      <c r="AIC615" s="294"/>
      <c r="AID615" s="294"/>
      <c r="AIE615" s="294"/>
      <c r="AIF615" s="294"/>
      <c r="AIG615" s="294"/>
      <c r="AIH615" s="294"/>
      <c r="AII615" s="294"/>
      <c r="AIJ615" s="294"/>
      <c r="AIK615" s="294"/>
      <c r="AIL615" s="294"/>
      <c r="AIM615" s="294"/>
      <c r="AIN615" s="294"/>
      <c r="AIO615" s="294"/>
      <c r="AIP615" s="294"/>
      <c r="AIQ615" s="294"/>
      <c r="AIR615" s="294"/>
      <c r="AIS615" s="294"/>
      <c r="AIT615" s="294"/>
      <c r="AIU615" s="294"/>
      <c r="AIV615" s="294"/>
      <c r="AIW615" s="294"/>
      <c r="AIX615" s="294"/>
      <c r="AIY615" s="294"/>
      <c r="AIZ615" s="294"/>
      <c r="AJA615" s="294"/>
      <c r="AJB615" s="294"/>
      <c r="AJC615" s="294"/>
      <c r="AJD615" s="294"/>
      <c r="AJE615" s="294"/>
      <c r="AJF615" s="294"/>
      <c r="AJG615" s="294"/>
      <c r="AJH615" s="294"/>
      <c r="AJI615" s="294"/>
      <c r="AJJ615" s="294"/>
      <c r="AJK615" s="294"/>
      <c r="AJL615" s="294"/>
      <c r="AJM615" s="294"/>
      <c r="AJN615" s="294"/>
      <c r="AJO615" s="294"/>
      <c r="AJP615" s="294"/>
      <c r="AJQ615" s="294"/>
      <c r="AJR615" s="294"/>
      <c r="AJS615" s="294"/>
      <c r="AJT615" s="294"/>
      <c r="AJU615" s="294"/>
      <c r="AJV615" s="294"/>
      <c r="AJW615" s="294"/>
      <c r="AJX615" s="294"/>
      <c r="AJY615" s="294"/>
      <c r="AJZ615" s="294"/>
      <c r="AKA615" s="294"/>
      <c r="AKB615" s="294"/>
      <c r="AKC615" s="294"/>
      <c r="AKD615" s="294"/>
      <c r="AKE615" s="294"/>
      <c r="AKF615" s="294"/>
      <c r="AKG615" s="294"/>
      <c r="AKH615" s="294"/>
      <c r="AKI615" s="294"/>
      <c r="AKJ615" s="294"/>
      <c r="AKK615" s="294"/>
      <c r="AKL615" s="294"/>
      <c r="AKM615" s="294"/>
      <c r="AKN615" s="294"/>
      <c r="AKO615" s="294"/>
      <c r="AKP615" s="294"/>
      <c r="AKQ615" s="294"/>
      <c r="AKR615" s="294"/>
      <c r="AKS615" s="294"/>
      <c r="AKT615" s="294"/>
      <c r="AKU615" s="294"/>
      <c r="AKV615" s="294"/>
      <c r="AKW615" s="294"/>
      <c r="AKX615" s="294"/>
      <c r="AKY615" s="294"/>
      <c r="AKZ615" s="294"/>
      <c r="ALA615" s="294"/>
      <c r="ALB615" s="294"/>
      <c r="ALC615" s="294"/>
      <c r="ALD615" s="294"/>
      <c r="ALE615" s="294"/>
      <c r="ALF615" s="294"/>
      <c r="ALG615" s="294"/>
      <c r="ALH615" s="294"/>
      <c r="ALI615" s="294"/>
      <c r="ALJ615" s="294"/>
      <c r="ALK615" s="294"/>
      <c r="ALL615" s="294"/>
      <c r="ALM615" s="294"/>
      <c r="ALN615" s="294"/>
      <c r="ALO615" s="294"/>
      <c r="ALP615" s="294"/>
      <c r="ALQ615" s="294"/>
      <c r="ALR615" s="294"/>
      <c r="ALS615" s="294"/>
      <c r="ALT615" s="294"/>
      <c r="ALU615" s="294"/>
      <c r="ALV615" s="294"/>
      <c r="ALW615" s="294"/>
      <c r="ALX615" s="294"/>
      <c r="ALY615" s="294"/>
      <c r="ALZ615" s="294"/>
      <c r="AMA615" s="294"/>
      <c r="AMB615" s="294"/>
      <c r="AMC615" s="294"/>
      <c r="AMD615" s="294"/>
      <c r="AME615" s="294"/>
      <c r="AMF615" s="294"/>
      <c r="AMG615" s="294"/>
      <c r="AMH615" s="294"/>
      <c r="AMI615" s="294"/>
      <c r="AMJ615" s="294"/>
      <c r="AMK615" s="294"/>
      <c r="AML615" s="294"/>
      <c r="AMM615" s="294"/>
      <c r="AMN615" s="294"/>
      <c r="AMO615" s="294"/>
      <c r="AMP615" s="294"/>
      <c r="AMQ615" s="294"/>
      <c r="AMR615" s="294"/>
      <c r="AMS615" s="294"/>
      <c r="AMT615" s="294"/>
      <c r="AMU615" s="294"/>
      <c r="AMV615" s="294"/>
      <c r="AMW615" s="294"/>
      <c r="AMX615" s="294"/>
      <c r="AMY615" s="294"/>
      <c r="AMZ615" s="294"/>
      <c r="ANA615" s="294"/>
      <c r="ANB615" s="294"/>
      <c r="ANC615" s="294"/>
      <c r="AND615" s="294"/>
      <c r="ANE615" s="294"/>
      <c r="ANF615" s="294"/>
      <c r="ANG615" s="294"/>
      <c r="ANH615" s="294"/>
      <c r="ANI615" s="294"/>
      <c r="ANJ615" s="294"/>
      <c r="ANK615" s="294"/>
      <c r="ANL615" s="294"/>
      <c r="ANM615" s="294"/>
      <c r="ANN615" s="294"/>
      <c r="ANO615" s="294"/>
      <c r="ANP615" s="294"/>
      <c r="ANQ615" s="294"/>
      <c r="ANR615" s="294"/>
      <c r="ANS615" s="294"/>
      <c r="ANT615" s="294"/>
      <c r="ANU615" s="294"/>
      <c r="ANV615" s="294"/>
      <c r="ANW615" s="294"/>
      <c r="ANX615" s="294"/>
      <c r="ANY615" s="294"/>
      <c r="ANZ615" s="294"/>
      <c r="AOA615" s="294"/>
      <c r="AOB615" s="294"/>
      <c r="AOC615" s="294"/>
      <c r="AOD615" s="294"/>
      <c r="AOE615" s="294"/>
      <c r="AOF615" s="294"/>
      <c r="AOG615" s="294"/>
      <c r="AOH615" s="294"/>
      <c r="AOI615" s="294"/>
      <c r="AOJ615" s="294"/>
      <c r="AOK615" s="294"/>
      <c r="AOL615" s="294"/>
      <c r="AOM615" s="294"/>
      <c r="AON615" s="294"/>
      <c r="AOO615" s="294"/>
      <c r="AOP615" s="294"/>
      <c r="AOQ615" s="294"/>
      <c r="AOR615" s="294"/>
      <c r="AOS615" s="294"/>
      <c r="AOT615" s="294"/>
      <c r="AOU615" s="294"/>
      <c r="AOV615" s="294"/>
      <c r="AOW615" s="294"/>
      <c r="AOX615" s="294"/>
      <c r="AOY615" s="294"/>
      <c r="AOZ615" s="294"/>
      <c r="APA615" s="294"/>
      <c r="APB615" s="294"/>
      <c r="APC615" s="294"/>
      <c r="APD615" s="294"/>
      <c r="APE615" s="294"/>
      <c r="APF615" s="294"/>
      <c r="APG615" s="294"/>
      <c r="APH615" s="294"/>
      <c r="API615" s="294"/>
      <c r="APJ615" s="294"/>
      <c r="APK615" s="294"/>
      <c r="APL615" s="294"/>
      <c r="APM615" s="294"/>
      <c r="APN615" s="294"/>
      <c r="APO615" s="294"/>
      <c r="APP615" s="294"/>
      <c r="APQ615" s="294"/>
      <c r="APR615" s="294"/>
      <c r="APS615" s="294"/>
      <c r="APT615" s="294"/>
      <c r="APU615" s="294"/>
      <c r="APV615" s="294"/>
      <c r="APW615" s="294"/>
      <c r="APX615" s="294"/>
      <c r="APY615" s="294"/>
      <c r="APZ615" s="294"/>
      <c r="AQA615" s="294"/>
      <c r="AQB615" s="294"/>
      <c r="AQC615" s="294"/>
      <c r="AQD615" s="294"/>
      <c r="AQE615" s="294"/>
      <c r="AQF615" s="294"/>
      <c r="AQG615" s="294"/>
      <c r="AQH615" s="294"/>
      <c r="AQI615" s="294"/>
      <c r="AQJ615" s="294"/>
      <c r="AQK615" s="294"/>
      <c r="AQL615" s="294"/>
      <c r="AQM615" s="294"/>
      <c r="AQN615" s="294"/>
      <c r="AQO615" s="294"/>
      <c r="AQP615" s="294"/>
      <c r="AQQ615" s="294"/>
      <c r="AQR615" s="294"/>
      <c r="AQS615" s="294"/>
      <c r="AQT615" s="294"/>
      <c r="AQU615" s="294"/>
      <c r="AQV615" s="294"/>
      <c r="AQW615" s="294"/>
      <c r="AQX615" s="294"/>
      <c r="AQY615" s="294"/>
      <c r="AQZ615" s="294"/>
      <c r="ARA615" s="294"/>
      <c r="ARB615" s="294"/>
      <c r="ARC615" s="294"/>
      <c r="ARD615" s="294"/>
      <c r="ARE615" s="294"/>
      <c r="ARF615" s="294"/>
      <c r="ARG615" s="294"/>
      <c r="ARH615" s="294"/>
      <c r="ARI615" s="294"/>
      <c r="ARJ615" s="294"/>
      <c r="ARK615" s="294"/>
      <c r="ARL615" s="294"/>
      <c r="ARM615" s="294"/>
      <c r="ARN615" s="294"/>
      <c r="ARO615" s="294"/>
      <c r="ARP615" s="294"/>
      <c r="ARQ615" s="294"/>
      <c r="ARR615" s="294"/>
      <c r="ARS615" s="294"/>
      <c r="ART615" s="294"/>
      <c r="ARU615" s="294"/>
      <c r="ARV615" s="294"/>
      <c r="ARW615" s="294"/>
      <c r="ARX615" s="294"/>
      <c r="ARY615" s="294"/>
      <c r="ARZ615" s="294"/>
      <c r="ASA615" s="294"/>
      <c r="ASB615" s="294"/>
      <c r="ASC615" s="294"/>
      <c r="ASD615" s="294"/>
      <c r="ASE615" s="294"/>
      <c r="ASF615" s="294"/>
      <c r="ASG615" s="294"/>
      <c r="ASH615" s="294"/>
      <c r="ASI615" s="294"/>
      <c r="ASJ615" s="294"/>
      <c r="ASK615" s="294"/>
      <c r="ASL615" s="294"/>
      <c r="ASM615" s="294"/>
      <c r="ASN615" s="294"/>
      <c r="ASO615" s="294"/>
      <c r="ASP615" s="294"/>
      <c r="ASQ615" s="294"/>
      <c r="ASR615" s="294"/>
      <c r="ASS615" s="294"/>
      <c r="AST615" s="294"/>
      <c r="ASU615" s="294"/>
      <c r="ASV615" s="294"/>
      <c r="ASW615" s="294"/>
      <c r="ASX615" s="294"/>
      <c r="ASY615" s="294"/>
      <c r="ASZ615" s="294"/>
      <c r="ATA615" s="294"/>
      <c r="ATB615" s="294"/>
      <c r="ATC615" s="294"/>
      <c r="ATD615" s="294"/>
      <c r="ATE615" s="294"/>
      <c r="ATF615" s="294"/>
      <c r="ATG615" s="294"/>
      <c r="ATH615" s="294"/>
      <c r="ATI615" s="294"/>
      <c r="ATJ615" s="294"/>
      <c r="ATK615" s="294"/>
      <c r="ATL615" s="294"/>
      <c r="ATM615" s="294"/>
      <c r="ATN615" s="294"/>
      <c r="ATO615" s="294"/>
      <c r="ATP615" s="294"/>
      <c r="ATQ615" s="294"/>
      <c r="ATR615" s="294"/>
      <c r="ATS615" s="294"/>
      <c r="ATT615" s="294"/>
      <c r="ATU615" s="294"/>
      <c r="ATV615" s="294"/>
      <c r="ATW615" s="294"/>
      <c r="ATX615" s="294"/>
      <c r="ATY615" s="294"/>
      <c r="ATZ615" s="294"/>
      <c r="AUA615" s="294"/>
      <c r="AUB615" s="294"/>
      <c r="AUC615" s="294"/>
      <c r="AUD615" s="294"/>
      <c r="AUE615" s="294"/>
      <c r="AUF615" s="294"/>
      <c r="AUG615" s="294"/>
      <c r="AUH615" s="294"/>
      <c r="AUI615" s="294"/>
      <c r="AUJ615" s="294"/>
      <c r="AUK615" s="294"/>
      <c r="AUL615" s="294"/>
      <c r="AUM615" s="294"/>
      <c r="AUN615" s="294"/>
      <c r="AUO615" s="294"/>
      <c r="AUP615" s="294"/>
      <c r="AUQ615" s="294"/>
      <c r="AUR615" s="294"/>
      <c r="AUS615" s="294"/>
      <c r="AUT615" s="294"/>
      <c r="AUU615" s="294"/>
      <c r="AUV615" s="294"/>
      <c r="AUW615" s="294"/>
      <c r="AUX615" s="294"/>
      <c r="AUY615" s="294"/>
      <c r="AUZ615" s="294"/>
      <c r="AVA615" s="294"/>
      <c r="AVB615" s="294"/>
      <c r="AVC615" s="294"/>
      <c r="AVD615" s="294"/>
      <c r="AVE615" s="294"/>
      <c r="AVF615" s="294"/>
      <c r="AVG615" s="294"/>
      <c r="AVH615" s="294"/>
      <c r="AVI615" s="294"/>
      <c r="AVJ615" s="294"/>
      <c r="AVK615" s="294"/>
      <c r="AVL615" s="294"/>
      <c r="AVM615" s="294"/>
      <c r="AVN615" s="294"/>
      <c r="AVO615" s="294"/>
      <c r="AVP615" s="294"/>
      <c r="AVQ615" s="294"/>
      <c r="AVR615" s="294"/>
      <c r="AVS615" s="294"/>
      <c r="AVT615" s="294"/>
      <c r="AVU615" s="294"/>
      <c r="AVV615" s="294"/>
      <c r="AVW615" s="294"/>
      <c r="AVX615" s="294"/>
      <c r="AVY615" s="294"/>
      <c r="AVZ615" s="294"/>
      <c r="AWA615" s="294"/>
      <c r="AWB615" s="294"/>
      <c r="AWC615" s="294"/>
      <c r="AWD615" s="294"/>
      <c r="AWE615" s="294"/>
      <c r="AWF615" s="294"/>
      <c r="AWG615" s="294"/>
      <c r="AWH615" s="294"/>
      <c r="AWI615" s="294"/>
      <c r="AWJ615" s="294"/>
      <c r="AWK615" s="294"/>
      <c r="AWL615" s="294"/>
      <c r="AWM615" s="294"/>
      <c r="AWN615" s="294"/>
      <c r="AWO615" s="294"/>
      <c r="AWP615" s="294"/>
      <c r="AWQ615" s="294"/>
      <c r="AWR615" s="294"/>
      <c r="AWS615" s="294"/>
      <c r="AWT615" s="294"/>
      <c r="AWU615" s="294"/>
      <c r="AWV615" s="294"/>
      <c r="AWW615" s="294"/>
      <c r="AWX615" s="294"/>
      <c r="AWY615" s="294"/>
      <c r="AWZ615" s="294"/>
      <c r="AXA615" s="294"/>
      <c r="AXB615" s="294"/>
      <c r="AXC615" s="294"/>
      <c r="AXD615" s="294"/>
      <c r="AXE615" s="294"/>
      <c r="AXF615" s="294"/>
      <c r="AXG615" s="294"/>
      <c r="AXH615" s="294"/>
      <c r="AXI615" s="294"/>
      <c r="AXJ615" s="294"/>
      <c r="AXK615" s="294"/>
      <c r="AXL615" s="294"/>
      <c r="AXM615" s="294"/>
      <c r="AXN615" s="294"/>
      <c r="AXO615" s="294"/>
      <c r="AXP615" s="294"/>
      <c r="AXQ615" s="294"/>
      <c r="AXR615" s="294"/>
      <c r="AXS615" s="294"/>
      <c r="AXT615" s="294"/>
      <c r="AXU615" s="294"/>
      <c r="AXV615" s="294"/>
      <c r="AXW615" s="294"/>
      <c r="AXX615" s="294"/>
      <c r="AXY615" s="294"/>
      <c r="AXZ615" s="294"/>
      <c r="AYA615" s="294"/>
      <c r="AYB615" s="294"/>
      <c r="AYC615" s="294"/>
      <c r="AYD615" s="294"/>
      <c r="AYE615" s="294"/>
      <c r="AYF615" s="294"/>
      <c r="AYG615" s="294"/>
      <c r="AYH615" s="294"/>
      <c r="AYI615" s="294"/>
      <c r="AYJ615" s="294"/>
      <c r="AYK615" s="294"/>
      <c r="AYL615" s="294"/>
      <c r="AYM615" s="294"/>
      <c r="AYN615" s="294"/>
      <c r="AYO615" s="294"/>
      <c r="AYP615" s="294"/>
      <c r="AYQ615" s="294"/>
      <c r="AYR615" s="294"/>
      <c r="AYS615" s="294"/>
      <c r="AYT615" s="294"/>
      <c r="AYU615" s="294"/>
      <c r="AYV615" s="294"/>
      <c r="AYW615" s="294"/>
      <c r="AYX615" s="294"/>
      <c r="AYY615" s="294"/>
      <c r="AYZ615" s="294"/>
      <c r="AZA615" s="294"/>
      <c r="AZB615" s="294"/>
      <c r="AZC615" s="294"/>
      <c r="AZD615" s="294"/>
      <c r="AZE615" s="294"/>
      <c r="AZF615" s="294"/>
      <c r="AZG615" s="294"/>
      <c r="AZH615" s="294"/>
      <c r="AZI615" s="294"/>
      <c r="AZJ615" s="294"/>
      <c r="AZK615" s="294"/>
      <c r="AZL615" s="294"/>
      <c r="AZM615" s="294"/>
      <c r="AZN615" s="294"/>
      <c r="AZO615" s="294"/>
      <c r="AZP615" s="294"/>
      <c r="AZQ615" s="294"/>
      <c r="AZR615" s="294"/>
      <c r="AZS615" s="294"/>
      <c r="AZT615" s="294"/>
      <c r="AZU615" s="294"/>
      <c r="AZV615" s="294"/>
      <c r="AZW615" s="294"/>
      <c r="AZX615" s="294"/>
      <c r="AZY615" s="294"/>
      <c r="AZZ615" s="294"/>
      <c r="BAA615" s="294"/>
      <c r="BAB615" s="294"/>
      <c r="BAC615" s="294"/>
      <c r="BAD615" s="294"/>
      <c r="BAE615" s="294"/>
      <c r="BAF615" s="294"/>
      <c r="BAG615" s="294"/>
      <c r="BAH615" s="294"/>
      <c r="BAI615" s="294"/>
      <c r="BAJ615" s="294"/>
      <c r="BAK615" s="294"/>
      <c r="BAL615" s="294"/>
      <c r="BAM615" s="294"/>
      <c r="BAN615" s="294"/>
      <c r="BAO615" s="294"/>
      <c r="BAP615" s="294"/>
      <c r="BAQ615" s="294"/>
      <c r="BAR615" s="294"/>
      <c r="BAS615" s="294"/>
      <c r="BAT615" s="294"/>
      <c r="BAU615" s="294"/>
      <c r="BAV615" s="294"/>
      <c r="BAW615" s="294"/>
      <c r="BAX615" s="294"/>
      <c r="BAY615" s="294"/>
      <c r="BAZ615" s="294"/>
      <c r="BBA615" s="294"/>
      <c r="BBB615" s="294"/>
      <c r="BBC615" s="294"/>
      <c r="BBD615" s="294"/>
      <c r="BBE615" s="294"/>
      <c r="BBF615" s="294"/>
      <c r="BBG615" s="294"/>
      <c r="BBH615" s="294"/>
      <c r="BBI615" s="294"/>
      <c r="BBJ615" s="294"/>
      <c r="BBK615" s="294"/>
      <c r="BBL615" s="294"/>
      <c r="BBM615" s="294"/>
      <c r="BBN615" s="294"/>
      <c r="BBO615" s="294"/>
      <c r="BBP615" s="294"/>
      <c r="BBQ615" s="294"/>
      <c r="BBR615" s="294"/>
      <c r="BBS615" s="294"/>
      <c r="BBT615" s="294"/>
      <c r="BBU615" s="294"/>
      <c r="BBV615" s="294"/>
      <c r="BBW615" s="294"/>
      <c r="BBX615" s="294"/>
      <c r="BBY615" s="294"/>
      <c r="BBZ615" s="294"/>
      <c r="BCA615" s="294"/>
      <c r="BCB615" s="294"/>
      <c r="BCC615" s="294"/>
      <c r="BCD615" s="294"/>
      <c r="BCE615" s="294"/>
      <c r="BCF615" s="294"/>
      <c r="BCG615" s="294"/>
      <c r="BCH615" s="294"/>
      <c r="BCI615" s="294"/>
      <c r="BCJ615" s="294"/>
      <c r="BCK615" s="294"/>
      <c r="BCL615" s="294"/>
      <c r="BCM615" s="294"/>
      <c r="BCN615" s="294"/>
      <c r="BCO615" s="294"/>
      <c r="BCP615" s="294"/>
      <c r="BCQ615" s="294"/>
      <c r="BCR615" s="294"/>
      <c r="BCS615" s="294"/>
      <c r="BCT615" s="294"/>
      <c r="BCU615" s="294"/>
      <c r="BCV615" s="294"/>
      <c r="BCW615" s="294"/>
      <c r="BCX615" s="294"/>
      <c r="BCY615" s="294"/>
      <c r="BCZ615" s="294"/>
      <c r="BDA615" s="294"/>
      <c r="BDB615" s="294"/>
      <c r="BDC615" s="294"/>
      <c r="BDD615" s="294"/>
      <c r="BDE615" s="294"/>
      <c r="BDF615" s="294"/>
      <c r="BDG615" s="294"/>
      <c r="BDH615" s="294"/>
      <c r="BDI615" s="294"/>
      <c r="BDJ615" s="294"/>
      <c r="BDK615" s="294"/>
      <c r="BDL615" s="294"/>
      <c r="BDM615" s="294"/>
      <c r="BDN615" s="294"/>
      <c r="BDO615" s="294"/>
      <c r="BDP615" s="294"/>
      <c r="BDQ615" s="294"/>
      <c r="BDR615" s="294"/>
      <c r="BDS615" s="294"/>
      <c r="BDT615" s="294"/>
      <c r="BDU615" s="294"/>
      <c r="BDV615" s="294"/>
      <c r="BDW615" s="294"/>
      <c r="BDX615" s="294"/>
      <c r="BDY615" s="294"/>
      <c r="BDZ615" s="294"/>
      <c r="BEA615" s="294"/>
      <c r="BEB615" s="294"/>
      <c r="BEC615" s="294"/>
      <c r="BED615" s="294"/>
      <c r="BEE615" s="294"/>
      <c r="BEF615" s="294"/>
      <c r="BEG615" s="294"/>
      <c r="BEH615" s="294"/>
      <c r="BEI615" s="294"/>
      <c r="BEJ615" s="294"/>
      <c r="BEK615" s="294"/>
      <c r="BEL615" s="294"/>
      <c r="BEM615" s="294"/>
      <c r="BEN615" s="294"/>
      <c r="BEO615" s="294"/>
      <c r="BEP615" s="294"/>
      <c r="BEQ615" s="294"/>
      <c r="BER615" s="294"/>
      <c r="BES615" s="294"/>
      <c r="BET615" s="294"/>
      <c r="BEU615" s="294"/>
      <c r="BEV615" s="294"/>
      <c r="BEW615" s="294"/>
      <c r="BEX615" s="294"/>
      <c r="BEY615" s="294"/>
      <c r="BEZ615" s="294"/>
      <c r="BFA615" s="294"/>
      <c r="BFB615" s="294"/>
      <c r="BFC615" s="294"/>
      <c r="BFD615" s="294"/>
      <c r="BFE615" s="294"/>
      <c r="BFF615" s="294"/>
      <c r="BFG615" s="294"/>
      <c r="BFH615" s="294"/>
      <c r="BFI615" s="294"/>
      <c r="BFJ615" s="294"/>
      <c r="BFK615" s="294"/>
      <c r="BFL615" s="294"/>
      <c r="BFM615" s="294"/>
      <c r="BFN615" s="294"/>
      <c r="BFO615" s="294"/>
      <c r="BFP615" s="294"/>
      <c r="BFQ615" s="294"/>
      <c r="BFR615" s="294"/>
      <c r="BFS615" s="294"/>
      <c r="BFT615" s="294"/>
      <c r="BFU615" s="294"/>
      <c r="BFV615" s="294"/>
      <c r="BFW615" s="294"/>
      <c r="BFX615" s="294"/>
      <c r="BFY615" s="294"/>
      <c r="BFZ615" s="294"/>
      <c r="BGA615" s="294"/>
      <c r="BGB615" s="294"/>
      <c r="BGC615" s="294"/>
      <c r="BGD615" s="294"/>
      <c r="BGE615" s="294"/>
      <c r="BGF615" s="294"/>
      <c r="BGG615" s="294"/>
      <c r="BGH615" s="294"/>
      <c r="BGI615" s="294"/>
      <c r="BGJ615" s="294"/>
      <c r="BGK615" s="294"/>
      <c r="BGL615" s="294"/>
      <c r="BGM615" s="294"/>
      <c r="BGN615" s="294"/>
      <c r="BGO615" s="294"/>
      <c r="BGP615" s="294"/>
      <c r="BGQ615" s="294"/>
      <c r="BGR615" s="294"/>
      <c r="BGS615" s="294"/>
      <c r="BGT615" s="294"/>
      <c r="BGU615" s="294"/>
      <c r="BGV615" s="294"/>
      <c r="BGW615" s="294"/>
      <c r="BGX615" s="294"/>
      <c r="BGY615" s="294"/>
      <c r="BGZ615" s="294"/>
      <c r="BHA615" s="294"/>
      <c r="BHB615" s="294"/>
      <c r="BHC615" s="294"/>
      <c r="BHD615" s="294"/>
      <c r="BHE615" s="294"/>
      <c r="BHF615" s="294"/>
      <c r="BHG615" s="294"/>
      <c r="BHH615" s="294"/>
      <c r="BHI615" s="294"/>
      <c r="BHJ615" s="294"/>
      <c r="BHK615" s="294"/>
      <c r="BHL615" s="294"/>
      <c r="BHM615" s="294"/>
      <c r="BHN615" s="294"/>
      <c r="BHO615" s="294"/>
      <c r="BHP615" s="294"/>
      <c r="BHQ615" s="294"/>
      <c r="BHR615" s="294"/>
      <c r="BHS615" s="294"/>
      <c r="BHT615" s="294"/>
      <c r="BHU615" s="294"/>
      <c r="BHV615" s="294"/>
      <c r="BHW615" s="294"/>
      <c r="BHX615" s="294"/>
      <c r="BHY615" s="294"/>
      <c r="BHZ615" s="294"/>
      <c r="BIA615" s="294"/>
      <c r="BIB615" s="294"/>
      <c r="BIC615" s="294"/>
      <c r="BID615" s="294"/>
      <c r="BIE615" s="294"/>
      <c r="BIF615" s="294"/>
      <c r="BIG615" s="294"/>
      <c r="BIH615" s="294"/>
      <c r="BII615" s="294"/>
      <c r="BIJ615" s="294"/>
      <c r="BIK615" s="294"/>
      <c r="BIL615" s="294"/>
      <c r="BIM615" s="294"/>
      <c r="BIN615" s="294"/>
      <c r="BIO615" s="294"/>
      <c r="BIP615" s="294"/>
      <c r="BIQ615" s="294"/>
      <c r="BIR615" s="294"/>
      <c r="BIS615" s="294"/>
      <c r="BIT615" s="294"/>
      <c r="BIU615" s="294"/>
      <c r="BIV615" s="294"/>
      <c r="BIW615" s="294"/>
      <c r="BIX615" s="294"/>
      <c r="BIY615" s="294"/>
      <c r="BIZ615" s="294"/>
      <c r="BJA615" s="294"/>
      <c r="BJB615" s="294"/>
      <c r="BJC615" s="294"/>
      <c r="BJD615" s="294"/>
      <c r="BJE615" s="294"/>
      <c r="BJF615" s="294"/>
      <c r="BJG615" s="294"/>
      <c r="BJH615" s="294"/>
      <c r="BJI615" s="294"/>
      <c r="BJJ615" s="294"/>
      <c r="BJK615" s="294"/>
      <c r="BJL615" s="294"/>
      <c r="BJM615" s="294"/>
      <c r="BJN615" s="294"/>
      <c r="BJO615" s="294"/>
      <c r="BJP615" s="294"/>
      <c r="BJQ615" s="294"/>
      <c r="BJR615" s="294"/>
      <c r="BJS615" s="294"/>
      <c r="BJT615" s="294"/>
      <c r="BJU615" s="294"/>
      <c r="BJV615" s="294"/>
      <c r="BJW615" s="294"/>
      <c r="BJX615" s="294"/>
      <c r="BJY615" s="294"/>
      <c r="BJZ615" s="294"/>
      <c r="BKA615" s="294"/>
      <c r="BKB615" s="294"/>
      <c r="BKC615" s="294"/>
      <c r="BKD615" s="294"/>
      <c r="BKE615" s="294"/>
      <c r="BKF615" s="294"/>
      <c r="BKG615" s="294"/>
      <c r="BKH615" s="294"/>
      <c r="BKI615" s="294"/>
      <c r="BKJ615" s="294"/>
      <c r="BKK615" s="294"/>
      <c r="BKL615" s="294"/>
      <c r="BKM615" s="294"/>
      <c r="BKN615" s="294"/>
      <c r="BKO615" s="294"/>
      <c r="BKP615" s="294"/>
      <c r="BKQ615" s="294"/>
      <c r="BKR615" s="294"/>
      <c r="BKS615" s="294"/>
      <c r="BKT615" s="294"/>
      <c r="BKU615" s="294"/>
      <c r="BKV615" s="294"/>
      <c r="BKW615" s="294"/>
      <c r="BKX615" s="294"/>
      <c r="BKY615" s="294"/>
      <c r="BKZ615" s="294"/>
      <c r="BLA615" s="294"/>
      <c r="BLB615" s="294"/>
      <c r="BLC615" s="294"/>
      <c r="BLD615" s="294"/>
      <c r="BLE615" s="294"/>
      <c r="BLF615" s="294"/>
      <c r="BLG615" s="294"/>
      <c r="BLH615" s="294"/>
      <c r="BLI615" s="294"/>
      <c r="BLJ615" s="294"/>
      <c r="BLK615" s="294"/>
      <c r="BLL615" s="294"/>
      <c r="BLM615" s="294"/>
      <c r="BLN615" s="294"/>
      <c r="BLO615" s="294"/>
      <c r="BLP615" s="294"/>
      <c r="BLQ615" s="294"/>
      <c r="BLR615" s="294"/>
      <c r="BLS615" s="294"/>
      <c r="BLT615" s="294"/>
      <c r="BLU615" s="294"/>
      <c r="BLV615" s="294"/>
      <c r="BLW615" s="294"/>
      <c r="BLX615" s="294"/>
      <c r="BLY615" s="294"/>
      <c r="BLZ615" s="294"/>
      <c r="BMA615" s="294"/>
      <c r="BMB615" s="294"/>
      <c r="BMC615" s="294"/>
      <c r="BMD615" s="294"/>
      <c r="BME615" s="294"/>
      <c r="BMF615" s="294"/>
      <c r="BMG615" s="294"/>
      <c r="BMH615" s="294"/>
      <c r="BMI615" s="294"/>
      <c r="BMJ615" s="294"/>
      <c r="BMK615" s="294"/>
      <c r="BML615" s="294"/>
      <c r="BMM615" s="294"/>
      <c r="BMN615" s="294"/>
      <c r="BMO615" s="294"/>
      <c r="BMP615" s="294"/>
      <c r="BMQ615" s="294"/>
      <c r="BMR615" s="294"/>
      <c r="BMS615" s="294"/>
      <c r="BMT615" s="294"/>
      <c r="BMU615" s="294"/>
      <c r="BMV615" s="294"/>
      <c r="BMW615" s="294"/>
      <c r="BMX615" s="294"/>
      <c r="BMY615" s="294"/>
      <c r="BMZ615" s="294"/>
      <c r="BNA615" s="294"/>
      <c r="BNB615" s="294"/>
      <c r="BNC615" s="294"/>
      <c r="BND615" s="294"/>
      <c r="BNE615" s="294"/>
      <c r="BNF615" s="294"/>
      <c r="BNG615" s="294"/>
      <c r="BNH615" s="294"/>
      <c r="BNI615" s="294"/>
      <c r="BNJ615" s="294"/>
      <c r="BNK615" s="294"/>
      <c r="BNL615" s="294"/>
      <c r="BNM615" s="294"/>
      <c r="BNN615" s="294"/>
      <c r="BNO615" s="294"/>
      <c r="BNP615" s="294"/>
      <c r="BNQ615" s="294"/>
      <c r="BNR615" s="294"/>
      <c r="BNS615" s="294"/>
      <c r="BNT615" s="294"/>
      <c r="BNU615" s="294"/>
      <c r="BNV615" s="294"/>
      <c r="BNW615" s="294"/>
      <c r="BNX615" s="294"/>
      <c r="BNY615" s="294"/>
      <c r="BNZ615" s="294"/>
      <c r="BOA615" s="294"/>
      <c r="BOB615" s="294"/>
      <c r="BOC615" s="294"/>
      <c r="BOD615" s="294"/>
      <c r="BOE615" s="294"/>
      <c r="BOF615" s="294"/>
      <c r="BOG615" s="294"/>
      <c r="BOH615" s="294"/>
      <c r="BOI615" s="294"/>
      <c r="BOJ615" s="294"/>
      <c r="BOK615" s="294"/>
      <c r="BOL615" s="294"/>
      <c r="BOM615" s="294"/>
      <c r="BON615" s="294"/>
      <c r="BOO615" s="294"/>
      <c r="BOP615" s="294"/>
      <c r="BOQ615" s="294"/>
      <c r="BOR615" s="294"/>
      <c r="BOS615" s="294"/>
      <c r="BOT615" s="294"/>
      <c r="BOU615" s="294"/>
      <c r="BOV615" s="294"/>
      <c r="BOW615" s="294"/>
      <c r="BOX615" s="294"/>
      <c r="BOY615" s="294"/>
      <c r="BOZ615" s="294"/>
      <c r="BPA615" s="294"/>
      <c r="BPB615" s="294"/>
      <c r="BPC615" s="294"/>
      <c r="BPD615" s="294"/>
      <c r="BPE615" s="294"/>
      <c r="BPF615" s="294"/>
      <c r="BPG615" s="294"/>
      <c r="BPH615" s="294"/>
      <c r="BPI615" s="294"/>
      <c r="BPJ615" s="294"/>
      <c r="BPK615" s="294"/>
      <c r="BPL615" s="294"/>
      <c r="BPM615" s="294"/>
      <c r="BPN615" s="294"/>
      <c r="BPO615" s="294"/>
      <c r="BPP615" s="294"/>
      <c r="BPQ615" s="294"/>
      <c r="BPR615" s="294"/>
      <c r="BPS615" s="294"/>
      <c r="BPT615" s="294"/>
      <c r="BPU615" s="294"/>
      <c r="BPV615" s="294"/>
      <c r="BPW615" s="294"/>
      <c r="BPX615" s="294"/>
      <c r="BPY615" s="294"/>
      <c r="BPZ615" s="294"/>
      <c r="BQA615" s="294"/>
      <c r="BQB615" s="294"/>
      <c r="BQC615" s="294"/>
      <c r="BQD615" s="294"/>
      <c r="BQE615" s="294"/>
      <c r="BQF615" s="294"/>
      <c r="BQG615" s="294"/>
      <c r="BQH615" s="294"/>
      <c r="BQI615" s="294"/>
      <c r="BQJ615" s="294"/>
      <c r="BQK615" s="294"/>
      <c r="BQL615" s="294"/>
      <c r="BQM615" s="294"/>
      <c r="BQN615" s="294"/>
      <c r="BQO615" s="294"/>
      <c r="BQP615" s="294"/>
      <c r="BQQ615" s="294"/>
      <c r="BQR615" s="294"/>
      <c r="BQS615" s="294"/>
      <c r="BQT615" s="294"/>
      <c r="BQU615" s="294"/>
      <c r="BQV615" s="294"/>
      <c r="BQW615" s="294"/>
      <c r="BQX615" s="294"/>
      <c r="BQY615" s="294"/>
      <c r="BQZ615" s="294"/>
      <c r="BRA615" s="294"/>
      <c r="BRB615" s="294"/>
      <c r="BRC615" s="294"/>
      <c r="BRD615" s="294"/>
      <c r="BRE615" s="294"/>
      <c r="BRF615" s="294"/>
      <c r="BRG615" s="294"/>
      <c r="BRH615" s="294"/>
      <c r="BRI615" s="294"/>
      <c r="BRJ615" s="294"/>
      <c r="BRK615" s="294"/>
      <c r="BRL615" s="294"/>
      <c r="BRM615" s="294"/>
      <c r="BRN615" s="294"/>
      <c r="BRO615" s="294"/>
      <c r="BRP615" s="294"/>
      <c r="BRQ615" s="294"/>
      <c r="BRR615" s="294"/>
      <c r="BRS615" s="294"/>
      <c r="BRT615" s="294"/>
      <c r="BRU615" s="294"/>
      <c r="BRV615" s="294"/>
      <c r="BRW615" s="294"/>
      <c r="BRX615" s="294"/>
      <c r="BRY615" s="294"/>
      <c r="BRZ615" s="294"/>
      <c r="BSA615" s="294"/>
      <c r="BSB615" s="294"/>
      <c r="BSC615" s="294"/>
      <c r="BSD615" s="294"/>
      <c r="BSE615" s="294"/>
      <c r="BSF615" s="294"/>
      <c r="BSG615" s="294"/>
      <c r="BSH615" s="294"/>
      <c r="BSI615" s="294"/>
      <c r="BSJ615" s="294"/>
      <c r="BSK615" s="294"/>
      <c r="BSL615" s="294"/>
      <c r="BSM615" s="294"/>
      <c r="BSN615" s="294"/>
      <c r="BSO615" s="294"/>
      <c r="BSP615" s="294"/>
      <c r="BSQ615" s="294"/>
      <c r="BSR615" s="294"/>
      <c r="BSS615" s="294"/>
      <c r="BST615" s="294"/>
      <c r="BSU615" s="294"/>
      <c r="BSV615" s="294"/>
      <c r="BSW615" s="294"/>
      <c r="BSX615" s="294"/>
      <c r="BSY615" s="294"/>
      <c r="BSZ615" s="294"/>
      <c r="BTA615" s="294"/>
      <c r="BTB615" s="294"/>
      <c r="BTC615" s="294"/>
      <c r="BTD615" s="294"/>
      <c r="BTE615" s="294"/>
      <c r="BTF615" s="294"/>
      <c r="BTG615" s="294"/>
      <c r="BTH615" s="294"/>
      <c r="BTI615" s="294"/>
      <c r="BTJ615" s="294"/>
      <c r="BTK615" s="294"/>
      <c r="BTL615" s="294"/>
      <c r="BTM615" s="294"/>
      <c r="BTN615" s="294"/>
      <c r="BTO615" s="294"/>
      <c r="BTP615" s="294"/>
      <c r="BTQ615" s="294"/>
      <c r="BTR615" s="294"/>
      <c r="BTS615" s="294"/>
      <c r="BTT615" s="294"/>
      <c r="BTU615" s="294"/>
      <c r="BTV615" s="294"/>
      <c r="BTW615" s="294"/>
      <c r="BTX615" s="294"/>
      <c r="BTY615" s="294"/>
      <c r="BTZ615" s="294"/>
      <c r="BUA615" s="294"/>
      <c r="BUB615" s="294"/>
      <c r="BUC615" s="294"/>
      <c r="BUD615" s="294"/>
      <c r="BUE615" s="294"/>
      <c r="BUF615" s="294"/>
      <c r="BUG615" s="294"/>
      <c r="BUH615" s="294"/>
      <c r="BUI615" s="294"/>
      <c r="BUJ615" s="294"/>
      <c r="BUK615" s="294"/>
      <c r="BUL615" s="294"/>
      <c r="BUM615" s="294"/>
      <c r="BUN615" s="294"/>
      <c r="BUO615" s="294"/>
      <c r="BUP615" s="294"/>
      <c r="BUQ615" s="294"/>
      <c r="BUR615" s="294"/>
      <c r="BUS615" s="294"/>
      <c r="BUT615" s="294"/>
      <c r="BUU615" s="294"/>
      <c r="BUV615" s="294"/>
      <c r="BUW615" s="294"/>
      <c r="BUX615" s="294"/>
      <c r="BUY615" s="294"/>
      <c r="BUZ615" s="294"/>
      <c r="BVA615" s="294"/>
      <c r="BVB615" s="294"/>
      <c r="BVC615" s="294"/>
      <c r="BVD615" s="294"/>
      <c r="BVE615" s="294"/>
      <c r="BVF615" s="294"/>
      <c r="BVG615" s="294"/>
      <c r="BVH615" s="294"/>
      <c r="BVI615" s="294"/>
      <c r="BVJ615" s="294"/>
      <c r="BVK615" s="294"/>
      <c r="BVL615" s="294"/>
      <c r="BVM615" s="294"/>
      <c r="BVN615" s="294"/>
      <c r="BVO615" s="294"/>
      <c r="BVP615" s="294"/>
      <c r="BVQ615" s="294"/>
      <c r="BVR615" s="294"/>
      <c r="BVS615" s="294"/>
      <c r="BVT615" s="294"/>
      <c r="BVU615" s="294"/>
      <c r="BVV615" s="294"/>
      <c r="BVW615" s="294"/>
      <c r="BVX615" s="294"/>
      <c r="BVY615" s="294"/>
      <c r="BVZ615" s="294"/>
      <c r="BWA615" s="294"/>
      <c r="BWB615" s="294"/>
      <c r="BWC615" s="294"/>
      <c r="BWD615" s="294"/>
      <c r="BWE615" s="294"/>
      <c r="BWF615" s="294"/>
      <c r="BWG615" s="294"/>
      <c r="BWH615" s="294"/>
      <c r="BWI615" s="294"/>
      <c r="BWJ615" s="294"/>
      <c r="BWK615" s="294"/>
      <c r="BWL615" s="294"/>
      <c r="BWM615" s="294"/>
      <c r="BWN615" s="294"/>
      <c r="BWO615" s="294"/>
      <c r="BWP615" s="294"/>
      <c r="BWQ615" s="294"/>
      <c r="BWR615" s="294"/>
      <c r="BWS615" s="294"/>
      <c r="BWT615" s="294"/>
      <c r="BWU615" s="294"/>
      <c r="BWV615" s="294"/>
      <c r="BWW615" s="294"/>
      <c r="BWX615" s="294"/>
      <c r="BWY615" s="294"/>
      <c r="BWZ615" s="294"/>
      <c r="BXA615" s="294"/>
      <c r="BXB615" s="294"/>
      <c r="BXC615" s="294"/>
      <c r="BXD615" s="294"/>
      <c r="BXE615" s="294"/>
      <c r="BXF615" s="294"/>
      <c r="BXG615" s="294"/>
      <c r="BXH615" s="294"/>
      <c r="BXI615" s="294"/>
      <c r="BXJ615" s="294"/>
      <c r="BXK615" s="294"/>
      <c r="BXL615" s="294"/>
      <c r="BXM615" s="294"/>
      <c r="BXN615" s="294"/>
      <c r="BXO615" s="294"/>
      <c r="BXP615" s="294"/>
      <c r="BXQ615" s="294"/>
      <c r="BXR615" s="294"/>
      <c r="BXS615" s="294"/>
      <c r="BXT615" s="294"/>
      <c r="BXU615" s="294"/>
      <c r="BXV615" s="294"/>
      <c r="BXW615" s="294"/>
      <c r="BXX615" s="294"/>
      <c r="BXY615" s="294"/>
      <c r="BXZ615" s="294"/>
      <c r="BYA615" s="294"/>
      <c r="BYB615" s="294"/>
      <c r="BYC615" s="294"/>
      <c r="BYD615" s="294"/>
      <c r="BYE615" s="294"/>
      <c r="BYF615" s="294"/>
      <c r="BYG615" s="294"/>
      <c r="BYH615" s="294"/>
      <c r="BYI615" s="294"/>
      <c r="BYJ615" s="294"/>
      <c r="BYK615" s="294"/>
      <c r="BYL615" s="294"/>
      <c r="BYM615" s="294"/>
      <c r="BYN615" s="294"/>
      <c r="BYO615" s="294"/>
      <c r="BYP615" s="294"/>
      <c r="BYQ615" s="294"/>
      <c r="BYR615" s="294"/>
      <c r="BYS615" s="294"/>
      <c r="BYT615" s="294"/>
      <c r="BYU615" s="294"/>
      <c r="BYV615" s="294"/>
      <c r="BYW615" s="294"/>
      <c r="BYX615" s="294"/>
      <c r="BYY615" s="294"/>
      <c r="BYZ615" s="294"/>
      <c r="BZA615" s="294"/>
      <c r="BZB615" s="294"/>
      <c r="BZC615" s="294"/>
      <c r="BZD615" s="294"/>
      <c r="BZE615" s="294"/>
      <c r="BZF615" s="294"/>
      <c r="BZG615" s="294"/>
      <c r="BZH615" s="294"/>
      <c r="BZI615" s="294"/>
      <c r="BZJ615" s="294"/>
      <c r="BZK615" s="294"/>
      <c r="BZL615" s="294"/>
      <c r="BZM615" s="294"/>
      <c r="BZN615" s="294"/>
      <c r="BZO615" s="294"/>
      <c r="BZP615" s="294"/>
      <c r="BZQ615" s="294"/>
      <c r="BZR615" s="294"/>
      <c r="BZS615" s="294"/>
      <c r="BZT615" s="294"/>
      <c r="BZU615" s="294"/>
      <c r="BZV615" s="294"/>
      <c r="BZW615" s="294"/>
      <c r="BZX615" s="294"/>
      <c r="BZY615" s="294"/>
      <c r="BZZ615" s="294"/>
      <c r="CAA615" s="294"/>
      <c r="CAB615" s="294"/>
      <c r="CAC615" s="294"/>
      <c r="CAD615" s="294"/>
      <c r="CAE615" s="294"/>
      <c r="CAF615" s="294"/>
      <c r="CAG615" s="294"/>
      <c r="CAH615" s="294"/>
      <c r="CAI615" s="294"/>
      <c r="CAJ615" s="294"/>
      <c r="CAK615" s="294"/>
      <c r="CAL615" s="294"/>
      <c r="CAM615" s="294"/>
      <c r="CAN615" s="294"/>
      <c r="CAO615" s="294"/>
      <c r="CAP615" s="294"/>
      <c r="CAQ615" s="294"/>
      <c r="CAR615" s="294"/>
      <c r="CAS615" s="294"/>
      <c r="CAT615" s="294"/>
      <c r="CAU615" s="294"/>
      <c r="CAV615" s="294"/>
      <c r="CAW615" s="294"/>
      <c r="CAX615" s="294"/>
      <c r="CAY615" s="294"/>
      <c r="CAZ615" s="294"/>
      <c r="CBA615" s="294"/>
      <c r="CBB615" s="294"/>
      <c r="CBC615" s="294"/>
      <c r="CBD615" s="294"/>
      <c r="CBE615" s="294"/>
      <c r="CBF615" s="294"/>
      <c r="CBG615" s="294"/>
      <c r="CBH615" s="294"/>
      <c r="CBI615" s="294"/>
      <c r="CBJ615" s="294"/>
      <c r="CBK615" s="294"/>
      <c r="CBL615" s="294"/>
      <c r="CBM615" s="294"/>
      <c r="CBN615" s="294"/>
      <c r="CBO615" s="294"/>
      <c r="CBP615" s="294"/>
      <c r="CBQ615" s="294"/>
      <c r="CBR615" s="294"/>
      <c r="CBS615" s="294"/>
      <c r="CBT615" s="294"/>
      <c r="CBU615" s="294"/>
      <c r="CBV615" s="294"/>
      <c r="CBW615" s="294"/>
      <c r="CBX615" s="294"/>
      <c r="CBY615" s="294"/>
      <c r="CBZ615" s="294"/>
      <c r="CCA615" s="294"/>
      <c r="CCB615" s="294"/>
      <c r="CCC615" s="294"/>
      <c r="CCD615" s="294"/>
      <c r="CCE615" s="294"/>
      <c r="CCF615" s="294"/>
      <c r="CCG615" s="294"/>
      <c r="CCH615" s="294"/>
      <c r="CCI615" s="294"/>
      <c r="CCJ615" s="294"/>
      <c r="CCK615" s="294"/>
      <c r="CCL615" s="294"/>
      <c r="CCM615" s="294"/>
      <c r="CCN615" s="294"/>
      <c r="CCO615" s="294"/>
      <c r="CCP615" s="294"/>
      <c r="CCQ615" s="294"/>
      <c r="CCR615" s="294"/>
      <c r="CCS615" s="294"/>
      <c r="CCT615" s="294"/>
      <c r="CCU615" s="294"/>
      <c r="CCV615" s="294"/>
      <c r="CCW615" s="294"/>
      <c r="CCX615" s="294"/>
      <c r="CCY615" s="294"/>
      <c r="CCZ615" s="294"/>
      <c r="CDA615" s="294"/>
      <c r="CDB615" s="294"/>
      <c r="CDC615" s="294"/>
      <c r="CDD615" s="294"/>
      <c r="CDE615" s="294"/>
      <c r="CDF615" s="294"/>
      <c r="CDG615" s="294"/>
      <c r="CDH615" s="294"/>
      <c r="CDI615" s="294"/>
      <c r="CDJ615" s="294"/>
      <c r="CDK615" s="294"/>
      <c r="CDL615" s="294"/>
      <c r="CDM615" s="294"/>
      <c r="CDN615" s="294"/>
      <c r="CDO615" s="294"/>
      <c r="CDP615" s="294"/>
      <c r="CDQ615" s="294"/>
      <c r="CDR615" s="294"/>
      <c r="CDS615" s="294"/>
      <c r="CDT615" s="294"/>
      <c r="CDU615" s="294"/>
      <c r="CDV615" s="294"/>
      <c r="CDW615" s="294"/>
      <c r="CDX615" s="294"/>
      <c r="CDY615" s="294"/>
      <c r="CDZ615" s="294"/>
      <c r="CEA615" s="294"/>
      <c r="CEB615" s="294"/>
      <c r="CEC615" s="294"/>
      <c r="CED615" s="294"/>
      <c r="CEE615" s="294"/>
      <c r="CEF615" s="294"/>
      <c r="CEG615" s="294"/>
      <c r="CEH615" s="294"/>
      <c r="CEI615" s="294"/>
      <c r="CEJ615" s="294"/>
      <c r="CEK615" s="294"/>
      <c r="CEL615" s="294"/>
      <c r="CEM615" s="294"/>
      <c r="CEN615" s="294"/>
      <c r="CEO615" s="294"/>
      <c r="CEP615" s="294"/>
      <c r="CEQ615" s="294"/>
      <c r="CER615" s="294"/>
      <c r="CES615" s="294"/>
      <c r="CET615" s="294"/>
      <c r="CEU615" s="294"/>
      <c r="CEV615" s="294"/>
      <c r="CEW615" s="294"/>
      <c r="CEX615" s="294"/>
      <c r="CEY615" s="294"/>
      <c r="CEZ615" s="294"/>
      <c r="CFA615" s="294"/>
      <c r="CFB615" s="294"/>
      <c r="CFC615" s="294"/>
      <c r="CFD615" s="294"/>
      <c r="CFE615" s="294"/>
      <c r="CFF615" s="294"/>
      <c r="CFG615" s="294"/>
      <c r="CFH615" s="294"/>
      <c r="CFI615" s="294"/>
      <c r="CFJ615" s="294"/>
      <c r="CFK615" s="294"/>
      <c r="CFL615" s="294"/>
      <c r="CFM615" s="294"/>
      <c r="CFN615" s="294"/>
      <c r="CFO615" s="294"/>
      <c r="CFP615" s="294"/>
      <c r="CFQ615" s="294"/>
      <c r="CFR615" s="294"/>
      <c r="CFS615" s="294"/>
      <c r="CFT615" s="294"/>
      <c r="CFU615" s="294"/>
      <c r="CFV615" s="294"/>
      <c r="CFW615" s="294"/>
      <c r="CFX615" s="294"/>
      <c r="CFY615" s="294"/>
      <c r="CFZ615" s="294"/>
      <c r="CGA615" s="294"/>
      <c r="CGB615" s="294"/>
      <c r="CGC615" s="294"/>
      <c r="CGD615" s="294"/>
      <c r="CGE615" s="294"/>
      <c r="CGF615" s="294"/>
      <c r="CGG615" s="294"/>
      <c r="CGH615" s="294"/>
      <c r="CGI615" s="294"/>
      <c r="CGJ615" s="294"/>
      <c r="CGK615" s="294"/>
      <c r="CGL615" s="294"/>
      <c r="CGM615" s="294"/>
      <c r="CGN615" s="294"/>
      <c r="CGO615" s="294"/>
      <c r="CGP615" s="294"/>
      <c r="CGQ615" s="294"/>
      <c r="CGR615" s="294"/>
      <c r="CGS615" s="294"/>
      <c r="CGT615" s="294"/>
      <c r="CGU615" s="294"/>
      <c r="CGV615" s="294"/>
      <c r="CGW615" s="294"/>
      <c r="CGX615" s="294"/>
      <c r="CGY615" s="294"/>
      <c r="CGZ615" s="294"/>
      <c r="CHA615" s="294"/>
      <c r="CHB615" s="294"/>
      <c r="CHC615" s="294"/>
      <c r="CHD615" s="294"/>
      <c r="CHE615" s="294"/>
      <c r="CHF615" s="294"/>
      <c r="CHG615" s="294"/>
      <c r="CHH615" s="294"/>
      <c r="CHI615" s="294"/>
      <c r="CHJ615" s="294"/>
      <c r="CHK615" s="294"/>
      <c r="CHL615" s="294"/>
      <c r="CHM615" s="294"/>
      <c r="CHN615" s="294"/>
      <c r="CHO615" s="294"/>
      <c r="CHP615" s="294"/>
      <c r="CHQ615" s="294"/>
      <c r="CHR615" s="294"/>
      <c r="CHS615" s="294"/>
      <c r="CHT615" s="294"/>
      <c r="CHU615" s="294"/>
      <c r="CHV615" s="294"/>
      <c r="CHW615" s="294"/>
      <c r="CHX615" s="294"/>
      <c r="CHY615" s="294"/>
      <c r="CHZ615" s="294"/>
      <c r="CIA615" s="294"/>
      <c r="CIB615" s="294"/>
      <c r="CIC615" s="294"/>
      <c r="CID615" s="294"/>
      <c r="CIE615" s="294"/>
      <c r="CIF615" s="294"/>
      <c r="CIG615" s="294"/>
      <c r="CIH615" s="294"/>
      <c r="CII615" s="294"/>
      <c r="CIJ615" s="294"/>
      <c r="CIK615" s="294"/>
      <c r="CIL615" s="294"/>
      <c r="CIM615" s="294"/>
      <c r="CIN615" s="294"/>
      <c r="CIO615" s="294"/>
      <c r="CIP615" s="294"/>
      <c r="CIQ615" s="294"/>
      <c r="CIR615" s="294"/>
      <c r="CIS615" s="294"/>
      <c r="CIT615" s="294"/>
      <c r="CIU615" s="294"/>
      <c r="CIV615" s="294"/>
      <c r="CIW615" s="294"/>
      <c r="CIX615" s="294"/>
      <c r="CIY615" s="294"/>
      <c r="CIZ615" s="294"/>
      <c r="CJA615" s="294"/>
      <c r="CJB615" s="294"/>
      <c r="CJC615" s="294"/>
      <c r="CJD615" s="294"/>
      <c r="CJE615" s="294"/>
      <c r="CJF615" s="294"/>
      <c r="CJG615" s="294"/>
      <c r="CJH615" s="294"/>
      <c r="CJI615" s="294"/>
      <c r="CJJ615" s="294"/>
      <c r="CJK615" s="294"/>
      <c r="CJL615" s="294"/>
      <c r="CJM615" s="294"/>
      <c r="CJN615" s="294"/>
      <c r="CJO615" s="294"/>
      <c r="CJP615" s="294"/>
      <c r="CJQ615" s="294"/>
      <c r="CJR615" s="294"/>
      <c r="CJS615" s="294"/>
      <c r="CJT615" s="294"/>
      <c r="CJU615" s="294"/>
      <c r="CJV615" s="294"/>
      <c r="CJW615" s="294"/>
      <c r="CJX615" s="294"/>
      <c r="CJY615" s="294"/>
      <c r="CJZ615" s="294"/>
      <c r="CKA615" s="294"/>
      <c r="CKB615" s="294"/>
      <c r="CKC615" s="294"/>
      <c r="CKD615" s="294"/>
      <c r="CKE615" s="294"/>
      <c r="CKF615" s="294"/>
      <c r="CKG615" s="294"/>
      <c r="CKH615" s="294"/>
      <c r="CKI615" s="294"/>
      <c r="CKJ615" s="294"/>
      <c r="CKK615" s="294"/>
      <c r="CKL615" s="294"/>
      <c r="CKM615" s="294"/>
      <c r="CKN615" s="294"/>
      <c r="CKO615" s="294"/>
      <c r="CKP615" s="294"/>
      <c r="CKQ615" s="294"/>
      <c r="CKR615" s="294"/>
      <c r="CKS615" s="294"/>
      <c r="CKT615" s="294"/>
      <c r="CKU615" s="294"/>
      <c r="CKV615" s="294"/>
      <c r="CKW615" s="294"/>
      <c r="CKX615" s="294"/>
      <c r="CKY615" s="294"/>
      <c r="CKZ615" s="294"/>
      <c r="CLA615" s="294"/>
      <c r="CLB615" s="294"/>
      <c r="CLC615" s="294"/>
      <c r="CLD615" s="294"/>
      <c r="CLE615" s="294"/>
      <c r="CLF615" s="294"/>
      <c r="CLG615" s="294"/>
      <c r="CLH615" s="294"/>
      <c r="CLI615" s="294"/>
      <c r="CLJ615" s="294"/>
      <c r="CLK615" s="294"/>
      <c r="CLL615" s="294"/>
      <c r="CLM615" s="294"/>
      <c r="CLN615" s="294"/>
      <c r="CLO615" s="294"/>
      <c r="CLP615" s="294"/>
      <c r="CLQ615" s="294"/>
      <c r="CLR615" s="294"/>
      <c r="CLS615" s="294"/>
      <c r="CLT615" s="294"/>
      <c r="CLU615" s="294"/>
      <c r="CLV615" s="294"/>
      <c r="CLW615" s="294"/>
      <c r="CLX615" s="294"/>
      <c r="CLY615" s="294"/>
      <c r="CLZ615" s="294"/>
      <c r="CMA615" s="294"/>
      <c r="CMB615" s="294"/>
      <c r="CMC615" s="294"/>
      <c r="CMD615" s="294"/>
      <c r="CME615" s="294"/>
      <c r="CMF615" s="294"/>
      <c r="CMG615" s="294"/>
      <c r="CMH615" s="294"/>
      <c r="CMI615" s="294"/>
      <c r="CMJ615" s="294"/>
      <c r="CMK615" s="294"/>
      <c r="CML615" s="294"/>
      <c r="CMM615" s="294"/>
      <c r="CMN615" s="294"/>
      <c r="CMO615" s="294"/>
      <c r="CMP615" s="294"/>
      <c r="CMQ615" s="294"/>
      <c r="CMR615" s="294"/>
      <c r="CMS615" s="294"/>
      <c r="CMT615" s="294"/>
      <c r="CMU615" s="294"/>
      <c r="CMV615" s="294"/>
      <c r="CMW615" s="294"/>
      <c r="CMX615" s="294"/>
      <c r="CMY615" s="294"/>
      <c r="CMZ615" s="294"/>
      <c r="CNA615" s="294"/>
      <c r="CNB615" s="294"/>
      <c r="CNC615" s="294"/>
      <c r="CND615" s="294"/>
      <c r="CNE615" s="294"/>
      <c r="CNF615" s="294"/>
      <c r="CNG615" s="294"/>
      <c r="CNH615" s="294"/>
      <c r="CNI615" s="294"/>
      <c r="CNJ615" s="294"/>
      <c r="CNK615" s="294"/>
      <c r="CNL615" s="294"/>
      <c r="CNM615" s="294"/>
      <c r="CNN615" s="294"/>
      <c r="CNO615" s="294"/>
      <c r="CNP615" s="294"/>
      <c r="CNQ615" s="294"/>
      <c r="CNR615" s="294"/>
      <c r="CNS615" s="294"/>
      <c r="CNT615" s="294"/>
      <c r="CNU615" s="294"/>
      <c r="CNV615" s="294"/>
      <c r="CNW615" s="294"/>
      <c r="CNX615" s="294"/>
      <c r="CNY615" s="294"/>
      <c r="CNZ615" s="294"/>
      <c r="COA615" s="294"/>
      <c r="COB615" s="294"/>
      <c r="COC615" s="294"/>
      <c r="COD615" s="294"/>
      <c r="COE615" s="294"/>
      <c r="COF615" s="294"/>
      <c r="COG615" s="294"/>
      <c r="COH615" s="294"/>
      <c r="COI615" s="294"/>
      <c r="COJ615" s="294"/>
      <c r="COK615" s="294"/>
      <c r="COL615" s="294"/>
      <c r="COM615" s="294"/>
      <c r="CON615" s="294"/>
      <c r="COO615" s="294"/>
      <c r="COP615" s="294"/>
      <c r="COQ615" s="294"/>
      <c r="COR615" s="294"/>
      <c r="COS615" s="294"/>
      <c r="COT615" s="294"/>
      <c r="COU615" s="294"/>
      <c r="COV615" s="294"/>
      <c r="COW615" s="294"/>
      <c r="COX615" s="294"/>
      <c r="COY615" s="294"/>
      <c r="COZ615" s="294"/>
      <c r="CPA615" s="294"/>
      <c r="CPB615" s="294"/>
      <c r="CPC615" s="294"/>
      <c r="CPD615" s="294"/>
      <c r="CPE615" s="294"/>
      <c r="CPF615" s="294"/>
      <c r="CPG615" s="294"/>
      <c r="CPH615" s="294"/>
      <c r="CPI615" s="294"/>
      <c r="CPJ615" s="294"/>
      <c r="CPK615" s="294"/>
      <c r="CPL615" s="294"/>
      <c r="CPM615" s="294"/>
      <c r="CPN615" s="294"/>
      <c r="CPO615" s="294"/>
      <c r="CPP615" s="294"/>
      <c r="CPQ615" s="294"/>
      <c r="CPR615" s="294"/>
      <c r="CPS615" s="294"/>
      <c r="CPT615" s="294"/>
      <c r="CPU615" s="294"/>
      <c r="CPV615" s="294"/>
      <c r="CPW615" s="294"/>
      <c r="CPX615" s="294"/>
      <c r="CPY615" s="294"/>
      <c r="CPZ615" s="294"/>
      <c r="CQA615" s="294"/>
      <c r="CQB615" s="294"/>
      <c r="CQC615" s="294"/>
      <c r="CQD615" s="294"/>
      <c r="CQE615" s="294"/>
      <c r="CQF615" s="294"/>
      <c r="CQG615" s="294"/>
      <c r="CQH615" s="294"/>
      <c r="CQI615" s="294"/>
      <c r="CQJ615" s="294"/>
      <c r="CQK615" s="294"/>
      <c r="CQL615" s="294"/>
      <c r="CQM615" s="294"/>
      <c r="CQN615" s="294"/>
      <c r="CQO615" s="294"/>
      <c r="CQP615" s="294"/>
      <c r="CQQ615" s="294"/>
      <c r="CQR615" s="294"/>
      <c r="CQS615" s="294"/>
      <c r="CQT615" s="294"/>
      <c r="CQU615" s="294"/>
      <c r="CQV615" s="294"/>
      <c r="CQW615" s="294"/>
      <c r="CQX615" s="294"/>
      <c r="CQY615" s="294"/>
      <c r="CQZ615" s="294"/>
      <c r="CRA615" s="294"/>
      <c r="CRB615" s="294"/>
      <c r="CRC615" s="294"/>
      <c r="CRD615" s="294"/>
      <c r="CRE615" s="294"/>
      <c r="CRF615" s="294"/>
      <c r="CRG615" s="294"/>
      <c r="CRH615" s="294"/>
      <c r="CRI615" s="294"/>
      <c r="CRJ615" s="294"/>
      <c r="CRK615" s="294"/>
      <c r="CRL615" s="294"/>
      <c r="CRM615" s="294"/>
      <c r="CRN615" s="294"/>
      <c r="CRO615" s="294"/>
      <c r="CRP615" s="294"/>
      <c r="CRQ615" s="294"/>
      <c r="CRR615" s="294"/>
      <c r="CRS615" s="294"/>
      <c r="CRT615" s="294"/>
      <c r="CRU615" s="294"/>
      <c r="CRV615" s="294"/>
      <c r="CRW615" s="294"/>
      <c r="CRX615" s="294"/>
      <c r="CRY615" s="294"/>
      <c r="CRZ615" s="294"/>
      <c r="CSA615" s="294"/>
      <c r="CSB615" s="294"/>
      <c r="CSC615" s="294"/>
      <c r="CSD615" s="294"/>
      <c r="CSE615" s="294"/>
      <c r="CSF615" s="294"/>
      <c r="CSG615" s="294"/>
      <c r="CSH615" s="294"/>
      <c r="CSI615" s="294"/>
      <c r="CSJ615" s="294"/>
      <c r="CSK615" s="294"/>
      <c r="CSL615" s="294"/>
      <c r="CSM615" s="294"/>
      <c r="CSN615" s="294"/>
      <c r="CSO615" s="294"/>
      <c r="CSP615" s="294"/>
      <c r="CSQ615" s="294"/>
      <c r="CSR615" s="294"/>
      <c r="CSS615" s="294"/>
      <c r="CST615" s="294"/>
      <c r="CSU615" s="294"/>
      <c r="CSV615" s="294"/>
      <c r="CSW615" s="294"/>
      <c r="CSX615" s="294"/>
      <c r="CSY615" s="294"/>
      <c r="CSZ615" s="294"/>
      <c r="CTA615" s="294"/>
      <c r="CTB615" s="294"/>
      <c r="CTC615" s="294"/>
      <c r="CTD615" s="294"/>
      <c r="CTE615" s="294"/>
      <c r="CTF615" s="294"/>
      <c r="CTG615" s="294"/>
      <c r="CTH615" s="294"/>
      <c r="CTI615" s="294"/>
      <c r="CTJ615" s="294"/>
      <c r="CTK615" s="294"/>
      <c r="CTL615" s="294"/>
      <c r="CTM615" s="294"/>
      <c r="CTN615" s="294"/>
      <c r="CTO615" s="294"/>
      <c r="CTP615" s="294"/>
      <c r="CTQ615" s="294"/>
      <c r="CTR615" s="294"/>
      <c r="CTS615" s="294"/>
      <c r="CTT615" s="294"/>
      <c r="CTU615" s="294"/>
      <c r="CTV615" s="294"/>
      <c r="CTW615" s="294"/>
      <c r="CTX615" s="294"/>
      <c r="CTY615" s="294"/>
      <c r="CTZ615" s="294"/>
      <c r="CUA615" s="294"/>
      <c r="CUB615" s="294"/>
      <c r="CUC615" s="294"/>
      <c r="CUD615" s="294"/>
      <c r="CUE615" s="294"/>
      <c r="CUF615" s="294"/>
      <c r="CUG615" s="294"/>
      <c r="CUH615" s="294"/>
      <c r="CUI615" s="294"/>
      <c r="CUJ615" s="294"/>
      <c r="CUK615" s="294"/>
      <c r="CUL615" s="294"/>
      <c r="CUM615" s="294"/>
      <c r="CUN615" s="294"/>
      <c r="CUO615" s="294"/>
      <c r="CUP615" s="294"/>
      <c r="CUQ615" s="294"/>
      <c r="CUR615" s="294"/>
      <c r="CUS615" s="294"/>
      <c r="CUT615" s="294"/>
      <c r="CUU615" s="294"/>
      <c r="CUV615" s="294"/>
      <c r="CUW615" s="294"/>
      <c r="CUX615" s="294"/>
      <c r="CUY615" s="294"/>
      <c r="CUZ615" s="294"/>
      <c r="CVA615" s="294"/>
      <c r="CVB615" s="294"/>
      <c r="CVC615" s="294"/>
      <c r="CVD615" s="294"/>
      <c r="CVE615" s="294"/>
      <c r="CVF615" s="294"/>
      <c r="CVG615" s="294"/>
      <c r="CVH615" s="294"/>
      <c r="CVI615" s="294"/>
      <c r="CVJ615" s="294"/>
      <c r="CVK615" s="294"/>
      <c r="CVL615" s="294"/>
      <c r="CVM615" s="294"/>
      <c r="CVN615" s="294"/>
      <c r="CVO615" s="294"/>
      <c r="CVP615" s="294"/>
      <c r="CVQ615" s="294"/>
      <c r="CVR615" s="294"/>
      <c r="CVS615" s="294"/>
      <c r="CVT615" s="294"/>
      <c r="CVU615" s="294"/>
      <c r="CVV615" s="294"/>
      <c r="CVW615" s="294"/>
      <c r="CVX615" s="294"/>
      <c r="CVY615" s="294"/>
      <c r="CVZ615" s="294"/>
      <c r="CWA615" s="294"/>
      <c r="CWB615" s="294"/>
      <c r="CWC615" s="294"/>
      <c r="CWD615" s="294"/>
      <c r="CWE615" s="294"/>
      <c r="CWF615" s="294"/>
      <c r="CWG615" s="294"/>
      <c r="CWH615" s="294"/>
      <c r="CWI615" s="294"/>
      <c r="CWJ615" s="294"/>
      <c r="CWK615" s="294"/>
      <c r="CWL615" s="294"/>
      <c r="CWM615" s="294"/>
      <c r="CWN615" s="294"/>
      <c r="CWO615" s="294"/>
      <c r="CWP615" s="294"/>
      <c r="CWQ615" s="294"/>
      <c r="CWR615" s="294"/>
      <c r="CWS615" s="294"/>
      <c r="CWT615" s="294"/>
      <c r="CWU615" s="294"/>
      <c r="CWV615" s="294"/>
      <c r="CWW615" s="294"/>
      <c r="CWX615" s="294"/>
      <c r="CWY615" s="294"/>
      <c r="CWZ615" s="294"/>
      <c r="CXA615" s="294"/>
      <c r="CXB615" s="294"/>
      <c r="CXC615" s="294"/>
      <c r="CXD615" s="294"/>
      <c r="CXE615" s="294"/>
      <c r="CXF615" s="294"/>
      <c r="CXG615" s="294"/>
      <c r="CXH615" s="294"/>
      <c r="CXI615" s="294"/>
      <c r="CXJ615" s="294"/>
      <c r="CXK615" s="294"/>
      <c r="CXL615" s="294"/>
      <c r="CXM615" s="294"/>
      <c r="CXN615" s="294"/>
      <c r="CXO615" s="294"/>
      <c r="CXP615" s="294"/>
      <c r="CXQ615" s="294"/>
      <c r="CXR615" s="294"/>
      <c r="CXS615" s="294"/>
      <c r="CXT615" s="294"/>
      <c r="CXU615" s="294"/>
      <c r="CXV615" s="294"/>
      <c r="CXW615" s="294"/>
      <c r="CXX615" s="294"/>
      <c r="CXY615" s="294"/>
      <c r="CXZ615" s="294"/>
      <c r="CYA615" s="294"/>
      <c r="CYB615" s="294"/>
      <c r="CYC615" s="294"/>
      <c r="CYD615" s="294"/>
      <c r="CYE615" s="294"/>
      <c r="CYF615" s="294"/>
      <c r="CYG615" s="294"/>
      <c r="CYH615" s="294"/>
      <c r="CYI615" s="294"/>
      <c r="CYJ615" s="294"/>
      <c r="CYK615" s="294"/>
      <c r="CYL615" s="294"/>
      <c r="CYM615" s="294"/>
      <c r="CYN615" s="294"/>
      <c r="CYO615" s="294"/>
      <c r="CYP615" s="294"/>
      <c r="CYQ615" s="294"/>
      <c r="CYR615" s="294"/>
      <c r="CYS615" s="294"/>
      <c r="CYT615" s="294"/>
      <c r="CYU615" s="294"/>
      <c r="CYV615" s="294"/>
      <c r="CYW615" s="294"/>
      <c r="CYX615" s="294"/>
      <c r="CYY615" s="294"/>
      <c r="CYZ615" s="294"/>
      <c r="CZA615" s="294"/>
      <c r="CZB615" s="294"/>
      <c r="CZC615" s="294"/>
      <c r="CZD615" s="294"/>
      <c r="CZE615" s="294"/>
      <c r="CZF615" s="294"/>
      <c r="CZG615" s="294"/>
      <c r="CZH615" s="294"/>
      <c r="CZI615" s="294"/>
      <c r="CZJ615" s="294"/>
      <c r="CZK615" s="294"/>
      <c r="CZL615" s="294"/>
      <c r="CZM615" s="294"/>
      <c r="CZN615" s="294"/>
      <c r="CZO615" s="294"/>
      <c r="CZP615" s="294"/>
      <c r="CZQ615" s="294"/>
      <c r="CZR615" s="294"/>
      <c r="CZS615" s="294"/>
      <c r="CZT615" s="294"/>
      <c r="CZU615" s="294"/>
      <c r="CZV615" s="294"/>
      <c r="CZW615" s="294"/>
      <c r="CZX615" s="294"/>
      <c r="CZY615" s="294"/>
      <c r="CZZ615" s="294"/>
      <c r="DAA615" s="294"/>
      <c r="DAB615" s="294"/>
      <c r="DAC615" s="294"/>
      <c r="DAD615" s="294"/>
      <c r="DAE615" s="294"/>
      <c r="DAF615" s="294"/>
      <c r="DAG615" s="294"/>
      <c r="DAH615" s="294"/>
      <c r="DAI615" s="294"/>
      <c r="DAJ615" s="294"/>
      <c r="DAK615" s="294"/>
      <c r="DAL615" s="294"/>
      <c r="DAM615" s="294"/>
      <c r="DAN615" s="294"/>
      <c r="DAO615" s="294"/>
      <c r="DAP615" s="294"/>
      <c r="DAQ615" s="294"/>
      <c r="DAR615" s="294"/>
      <c r="DAS615" s="294"/>
      <c r="DAT615" s="294"/>
      <c r="DAU615" s="294"/>
      <c r="DAV615" s="294"/>
      <c r="DAW615" s="294"/>
      <c r="DAX615" s="294"/>
      <c r="DAY615" s="294"/>
      <c r="DAZ615" s="294"/>
      <c r="DBA615" s="294"/>
      <c r="DBB615" s="294"/>
      <c r="DBC615" s="294"/>
      <c r="DBD615" s="294"/>
      <c r="DBE615" s="294"/>
      <c r="DBF615" s="294"/>
      <c r="DBG615" s="294"/>
      <c r="DBH615" s="294"/>
      <c r="DBI615" s="294"/>
      <c r="DBJ615" s="294"/>
      <c r="DBK615" s="294"/>
      <c r="DBL615" s="294"/>
      <c r="DBM615" s="294"/>
      <c r="DBN615" s="294"/>
      <c r="DBO615" s="294"/>
      <c r="DBP615" s="294"/>
      <c r="DBQ615" s="294"/>
      <c r="DBR615" s="294"/>
      <c r="DBS615" s="294"/>
      <c r="DBT615" s="294"/>
      <c r="DBU615" s="294"/>
      <c r="DBV615" s="294"/>
      <c r="DBW615" s="294"/>
      <c r="DBX615" s="294"/>
      <c r="DBY615" s="294"/>
      <c r="DBZ615" s="294"/>
      <c r="DCA615" s="294"/>
      <c r="DCB615" s="294"/>
      <c r="DCC615" s="294"/>
      <c r="DCD615" s="294"/>
      <c r="DCE615" s="294"/>
      <c r="DCF615" s="294"/>
      <c r="DCG615" s="294"/>
      <c r="DCH615" s="294"/>
      <c r="DCI615" s="294"/>
      <c r="DCJ615" s="294"/>
      <c r="DCK615" s="294"/>
      <c r="DCL615" s="294"/>
      <c r="DCM615" s="294"/>
      <c r="DCN615" s="294"/>
      <c r="DCO615" s="294"/>
      <c r="DCP615" s="294"/>
      <c r="DCQ615" s="294"/>
      <c r="DCR615" s="294"/>
      <c r="DCS615" s="294"/>
      <c r="DCT615" s="294"/>
      <c r="DCU615" s="294"/>
      <c r="DCV615" s="294"/>
      <c r="DCW615" s="294"/>
      <c r="DCX615" s="294"/>
      <c r="DCY615" s="294"/>
      <c r="DCZ615" s="294"/>
      <c r="DDA615" s="294"/>
      <c r="DDB615" s="294"/>
      <c r="DDC615" s="294"/>
      <c r="DDD615" s="294"/>
      <c r="DDE615" s="294"/>
      <c r="DDF615" s="294"/>
      <c r="DDG615" s="294"/>
      <c r="DDH615" s="294"/>
      <c r="DDI615" s="294"/>
      <c r="DDJ615" s="294"/>
      <c r="DDK615" s="294"/>
      <c r="DDL615" s="294"/>
      <c r="DDM615" s="294"/>
      <c r="DDN615" s="294"/>
      <c r="DDO615" s="294"/>
      <c r="DDP615" s="294"/>
      <c r="DDQ615" s="294"/>
      <c r="DDR615" s="294"/>
      <c r="DDS615" s="294"/>
      <c r="DDT615" s="294"/>
      <c r="DDU615" s="294"/>
      <c r="DDV615" s="294"/>
      <c r="DDW615" s="294"/>
      <c r="DDX615" s="294"/>
      <c r="DDY615" s="294"/>
      <c r="DDZ615" s="294"/>
      <c r="DEA615" s="294"/>
      <c r="DEB615" s="294"/>
      <c r="DEC615" s="294"/>
      <c r="DED615" s="294"/>
      <c r="DEE615" s="294"/>
      <c r="DEF615" s="294"/>
      <c r="DEG615" s="294"/>
      <c r="DEH615" s="294"/>
      <c r="DEI615" s="294"/>
      <c r="DEJ615" s="294"/>
      <c r="DEK615" s="294"/>
      <c r="DEL615" s="294"/>
      <c r="DEM615" s="294"/>
      <c r="DEN615" s="294"/>
      <c r="DEO615" s="294"/>
      <c r="DEP615" s="294"/>
      <c r="DEQ615" s="294"/>
      <c r="DER615" s="294"/>
      <c r="DES615" s="294"/>
      <c r="DET615" s="294"/>
      <c r="DEU615" s="294"/>
      <c r="DEV615" s="294"/>
      <c r="DEW615" s="294"/>
      <c r="DEX615" s="294"/>
      <c r="DEY615" s="294"/>
      <c r="DEZ615" s="294"/>
      <c r="DFA615" s="294"/>
      <c r="DFB615" s="294"/>
      <c r="DFC615" s="294"/>
      <c r="DFD615" s="294"/>
      <c r="DFE615" s="294"/>
      <c r="DFF615" s="294"/>
      <c r="DFG615" s="294"/>
      <c r="DFH615" s="294"/>
      <c r="DFI615" s="294"/>
      <c r="DFJ615" s="294"/>
      <c r="DFK615" s="294"/>
      <c r="DFL615" s="294"/>
      <c r="DFM615" s="294"/>
      <c r="DFN615" s="294"/>
      <c r="DFO615" s="294"/>
      <c r="DFP615" s="294"/>
      <c r="DFQ615" s="294"/>
      <c r="DFR615" s="294"/>
      <c r="DFS615" s="294"/>
      <c r="DFT615" s="294"/>
      <c r="DFU615" s="294"/>
      <c r="DFV615" s="294"/>
      <c r="DFW615" s="294"/>
      <c r="DFX615" s="294"/>
      <c r="DFY615" s="294"/>
      <c r="DFZ615" s="294"/>
      <c r="DGA615" s="294"/>
      <c r="DGB615" s="294"/>
      <c r="DGC615" s="294"/>
      <c r="DGD615" s="294"/>
      <c r="DGE615" s="294"/>
      <c r="DGF615" s="294"/>
      <c r="DGG615" s="294"/>
      <c r="DGH615" s="294"/>
      <c r="DGI615" s="294"/>
      <c r="DGJ615" s="294"/>
      <c r="DGK615" s="294"/>
      <c r="DGL615" s="294"/>
      <c r="DGM615" s="294"/>
      <c r="DGN615" s="294"/>
      <c r="DGO615" s="294"/>
      <c r="DGP615" s="294"/>
      <c r="DGQ615" s="294"/>
      <c r="DGR615" s="294"/>
      <c r="DGS615" s="294"/>
      <c r="DGT615" s="294"/>
      <c r="DGU615" s="294"/>
      <c r="DGV615" s="294"/>
      <c r="DGW615" s="294"/>
      <c r="DGX615" s="294"/>
      <c r="DGY615" s="294"/>
      <c r="DGZ615" s="294"/>
      <c r="DHA615" s="294"/>
      <c r="DHB615" s="294"/>
      <c r="DHC615" s="294"/>
      <c r="DHD615" s="294"/>
      <c r="DHE615" s="294"/>
      <c r="DHF615" s="294"/>
      <c r="DHG615" s="294"/>
      <c r="DHH615" s="294"/>
      <c r="DHI615" s="294"/>
      <c r="DHJ615" s="294"/>
      <c r="DHK615" s="294"/>
      <c r="DHL615" s="294"/>
      <c r="DHM615" s="294"/>
      <c r="DHN615" s="294"/>
      <c r="DHO615" s="294"/>
      <c r="DHP615" s="294"/>
      <c r="DHQ615" s="294"/>
      <c r="DHR615" s="294"/>
      <c r="DHS615" s="294"/>
      <c r="DHT615" s="294"/>
      <c r="DHU615" s="294"/>
      <c r="DHV615" s="294"/>
      <c r="DHW615" s="294"/>
      <c r="DHX615" s="294"/>
      <c r="DHY615" s="294"/>
      <c r="DHZ615" s="294"/>
      <c r="DIA615" s="294"/>
      <c r="DIB615" s="294"/>
      <c r="DIC615" s="294"/>
      <c r="DID615" s="294"/>
      <c r="DIE615" s="294"/>
      <c r="DIF615" s="294"/>
      <c r="DIG615" s="294"/>
      <c r="DIH615" s="294"/>
      <c r="DII615" s="294"/>
      <c r="DIJ615" s="294"/>
      <c r="DIK615" s="294"/>
      <c r="DIL615" s="294"/>
      <c r="DIM615" s="294"/>
      <c r="DIN615" s="294"/>
      <c r="DIO615" s="294"/>
      <c r="DIP615" s="294"/>
      <c r="DIQ615" s="294"/>
      <c r="DIR615" s="294"/>
      <c r="DIS615" s="294"/>
      <c r="DIT615" s="294"/>
      <c r="DIU615" s="294"/>
      <c r="DIV615" s="294"/>
      <c r="DIW615" s="294"/>
      <c r="DIX615" s="294"/>
      <c r="DIY615" s="294"/>
      <c r="DIZ615" s="294"/>
      <c r="DJA615" s="294"/>
      <c r="DJB615" s="294"/>
      <c r="DJC615" s="294"/>
      <c r="DJD615" s="294"/>
      <c r="DJE615" s="294"/>
      <c r="DJF615" s="294"/>
      <c r="DJG615" s="294"/>
      <c r="DJH615" s="294"/>
      <c r="DJI615" s="294"/>
      <c r="DJJ615" s="294"/>
      <c r="DJK615" s="294"/>
      <c r="DJL615" s="294"/>
      <c r="DJM615" s="294"/>
      <c r="DJN615" s="294"/>
      <c r="DJO615" s="294"/>
      <c r="DJP615" s="294"/>
      <c r="DJQ615" s="294"/>
      <c r="DJR615" s="294"/>
      <c r="DJS615" s="294"/>
      <c r="DJT615" s="294"/>
      <c r="DJU615" s="294"/>
      <c r="DJV615" s="294"/>
      <c r="DJW615" s="294"/>
      <c r="DJX615" s="294"/>
      <c r="DJY615" s="294"/>
      <c r="DJZ615" s="294"/>
      <c r="DKA615" s="294"/>
      <c r="DKB615" s="294"/>
      <c r="DKC615" s="294"/>
      <c r="DKD615" s="294"/>
      <c r="DKE615" s="294"/>
      <c r="DKF615" s="294"/>
      <c r="DKG615" s="294"/>
      <c r="DKH615" s="294"/>
      <c r="DKI615" s="294"/>
      <c r="DKJ615" s="294"/>
      <c r="DKK615" s="294"/>
      <c r="DKL615" s="294"/>
      <c r="DKM615" s="294"/>
      <c r="DKN615" s="294"/>
      <c r="DKO615" s="294"/>
      <c r="DKP615" s="294"/>
      <c r="DKQ615" s="294"/>
      <c r="DKR615" s="294"/>
      <c r="DKS615" s="294"/>
      <c r="DKT615" s="294"/>
      <c r="DKU615" s="294"/>
      <c r="DKV615" s="294"/>
      <c r="DKW615" s="294"/>
      <c r="DKX615" s="294"/>
      <c r="DKY615" s="294"/>
      <c r="DKZ615" s="294"/>
      <c r="DLA615" s="294"/>
      <c r="DLB615" s="294"/>
      <c r="DLC615" s="294"/>
      <c r="DLD615" s="294"/>
      <c r="DLE615" s="294"/>
      <c r="DLF615" s="294"/>
      <c r="DLG615" s="294"/>
      <c r="DLH615" s="294"/>
      <c r="DLI615" s="294"/>
      <c r="DLJ615" s="294"/>
      <c r="DLK615" s="294"/>
      <c r="DLL615" s="294"/>
      <c r="DLM615" s="294"/>
      <c r="DLN615" s="294"/>
      <c r="DLO615" s="294"/>
      <c r="DLP615" s="294"/>
      <c r="DLQ615" s="294"/>
      <c r="DLR615" s="294"/>
      <c r="DLS615" s="294"/>
      <c r="DLT615" s="294"/>
      <c r="DLU615" s="294"/>
      <c r="DLV615" s="294"/>
      <c r="DLW615" s="294"/>
      <c r="DLX615" s="294"/>
      <c r="DLY615" s="294"/>
      <c r="DLZ615" s="294"/>
      <c r="DMA615" s="294"/>
      <c r="DMB615" s="294"/>
      <c r="DMC615" s="294"/>
      <c r="DMD615" s="294"/>
      <c r="DME615" s="294"/>
      <c r="DMF615" s="294"/>
      <c r="DMG615" s="294"/>
      <c r="DMH615" s="294"/>
      <c r="DMI615" s="294"/>
      <c r="DMJ615" s="294"/>
      <c r="DMK615" s="294"/>
      <c r="DML615" s="294"/>
      <c r="DMM615" s="294"/>
      <c r="DMN615" s="294"/>
      <c r="DMO615" s="294"/>
      <c r="DMP615" s="294"/>
      <c r="DMQ615" s="294"/>
      <c r="DMR615" s="294"/>
      <c r="DMS615" s="294"/>
      <c r="DMT615" s="294"/>
      <c r="DMU615" s="294"/>
      <c r="DMV615" s="294"/>
      <c r="DMW615" s="294"/>
      <c r="DMX615" s="294"/>
      <c r="DMY615" s="294"/>
      <c r="DMZ615" s="294"/>
      <c r="DNA615" s="294"/>
      <c r="DNB615" s="294"/>
      <c r="DNC615" s="294"/>
      <c r="DND615" s="294"/>
      <c r="DNE615" s="294"/>
      <c r="DNF615" s="294"/>
      <c r="DNG615" s="294"/>
      <c r="DNH615" s="294"/>
      <c r="DNI615" s="294"/>
      <c r="DNJ615" s="294"/>
      <c r="DNK615" s="294"/>
      <c r="DNL615" s="294"/>
      <c r="DNM615" s="294"/>
      <c r="DNN615" s="294"/>
      <c r="DNO615" s="294"/>
      <c r="DNP615" s="294"/>
      <c r="DNQ615" s="294"/>
      <c r="DNR615" s="294"/>
      <c r="DNS615" s="294"/>
      <c r="DNT615" s="294"/>
      <c r="DNU615" s="294"/>
      <c r="DNV615" s="294"/>
      <c r="DNW615" s="294"/>
      <c r="DNX615" s="294"/>
      <c r="DNY615" s="294"/>
      <c r="DNZ615" s="294"/>
      <c r="DOA615" s="294"/>
      <c r="DOB615" s="294"/>
      <c r="DOC615" s="294"/>
      <c r="DOD615" s="294"/>
      <c r="DOE615" s="294"/>
      <c r="DOF615" s="294"/>
      <c r="DOG615" s="294"/>
      <c r="DOH615" s="294"/>
      <c r="DOI615" s="294"/>
      <c r="DOJ615" s="294"/>
      <c r="DOK615" s="294"/>
      <c r="DOL615" s="294"/>
      <c r="DOM615" s="294"/>
      <c r="DON615" s="294"/>
      <c r="DOO615" s="294"/>
      <c r="DOP615" s="294"/>
      <c r="DOQ615" s="294"/>
      <c r="DOR615" s="294"/>
      <c r="DOS615" s="294"/>
      <c r="DOT615" s="294"/>
      <c r="DOU615" s="294"/>
      <c r="DOV615" s="294"/>
      <c r="DOW615" s="294"/>
      <c r="DOX615" s="294"/>
      <c r="DOY615" s="294"/>
      <c r="DOZ615" s="294"/>
      <c r="DPA615" s="294"/>
      <c r="DPB615" s="294"/>
      <c r="DPC615" s="294"/>
      <c r="DPD615" s="294"/>
      <c r="DPE615" s="294"/>
      <c r="DPF615" s="294"/>
      <c r="DPG615" s="294"/>
      <c r="DPH615" s="294"/>
      <c r="DPI615" s="294"/>
      <c r="DPJ615" s="294"/>
      <c r="DPK615" s="294"/>
      <c r="DPL615" s="294"/>
      <c r="DPM615" s="294"/>
      <c r="DPN615" s="294"/>
      <c r="DPO615" s="294"/>
      <c r="DPP615" s="294"/>
      <c r="DPQ615" s="294"/>
      <c r="DPR615" s="294"/>
      <c r="DPS615" s="294"/>
      <c r="DPT615" s="294"/>
      <c r="DPU615" s="294"/>
      <c r="DPV615" s="294"/>
      <c r="DPW615" s="294"/>
      <c r="DPX615" s="294"/>
      <c r="DPY615" s="294"/>
      <c r="DPZ615" s="294"/>
      <c r="DQA615" s="294"/>
      <c r="DQB615" s="294"/>
      <c r="DQC615" s="294"/>
      <c r="DQD615" s="294"/>
      <c r="DQE615" s="294"/>
      <c r="DQF615" s="294"/>
      <c r="DQG615" s="294"/>
      <c r="DQH615" s="294"/>
      <c r="DQI615" s="294"/>
      <c r="DQJ615" s="294"/>
      <c r="DQK615" s="294"/>
      <c r="DQL615" s="294"/>
      <c r="DQM615" s="294"/>
      <c r="DQN615" s="294"/>
      <c r="DQO615" s="294"/>
      <c r="DQP615" s="294"/>
      <c r="DQQ615" s="294"/>
      <c r="DQR615" s="294"/>
      <c r="DQS615" s="294"/>
      <c r="DQT615" s="294"/>
      <c r="DQU615" s="294"/>
      <c r="DQV615" s="294"/>
      <c r="DQW615" s="294"/>
      <c r="DQX615" s="294"/>
      <c r="DQY615" s="294"/>
      <c r="DQZ615" s="294"/>
      <c r="DRA615" s="294"/>
      <c r="DRB615" s="294"/>
      <c r="DRC615" s="294"/>
      <c r="DRD615" s="294"/>
      <c r="DRE615" s="294"/>
      <c r="DRF615" s="294"/>
      <c r="DRG615" s="294"/>
      <c r="DRH615" s="294"/>
      <c r="DRI615" s="294"/>
      <c r="DRJ615" s="294"/>
      <c r="DRK615" s="294"/>
      <c r="DRL615" s="294"/>
      <c r="DRM615" s="294"/>
      <c r="DRN615" s="294"/>
      <c r="DRO615" s="294"/>
      <c r="DRP615" s="294"/>
      <c r="DRQ615" s="294"/>
      <c r="DRR615" s="294"/>
      <c r="DRS615" s="294"/>
      <c r="DRT615" s="294"/>
      <c r="DRU615" s="294"/>
      <c r="DRV615" s="294"/>
      <c r="DRW615" s="294"/>
      <c r="DRX615" s="294"/>
      <c r="DRY615" s="294"/>
      <c r="DRZ615" s="294"/>
      <c r="DSA615" s="294"/>
      <c r="DSB615" s="294"/>
      <c r="DSC615" s="294"/>
      <c r="DSD615" s="294"/>
      <c r="DSE615" s="294"/>
      <c r="DSF615" s="294"/>
      <c r="DSG615" s="294"/>
      <c r="DSH615" s="294"/>
      <c r="DSI615" s="294"/>
      <c r="DSJ615" s="294"/>
      <c r="DSK615" s="294"/>
      <c r="DSL615" s="294"/>
      <c r="DSM615" s="294"/>
      <c r="DSN615" s="294"/>
      <c r="DSO615" s="294"/>
      <c r="DSP615" s="294"/>
      <c r="DSQ615" s="294"/>
      <c r="DSR615" s="294"/>
      <c r="DSS615" s="294"/>
      <c r="DST615" s="294"/>
      <c r="DSU615" s="294"/>
      <c r="DSV615" s="294"/>
      <c r="DSW615" s="294"/>
      <c r="DSX615" s="294"/>
      <c r="DSY615" s="294"/>
      <c r="DSZ615" s="294"/>
      <c r="DTA615" s="294"/>
      <c r="DTB615" s="294"/>
      <c r="DTC615" s="294"/>
      <c r="DTD615" s="294"/>
      <c r="DTE615" s="294"/>
      <c r="DTF615" s="294"/>
      <c r="DTG615" s="294"/>
      <c r="DTH615" s="294"/>
      <c r="DTI615" s="294"/>
      <c r="DTJ615" s="294"/>
      <c r="DTK615" s="294"/>
      <c r="DTL615" s="294"/>
      <c r="DTM615" s="294"/>
      <c r="DTN615" s="294"/>
      <c r="DTO615" s="294"/>
      <c r="DTP615" s="294"/>
      <c r="DTQ615" s="294"/>
      <c r="DTR615" s="294"/>
      <c r="DTS615" s="294"/>
      <c r="DTT615" s="294"/>
      <c r="DTU615" s="294"/>
      <c r="DTV615" s="294"/>
      <c r="DTW615" s="294"/>
      <c r="DTX615" s="294"/>
      <c r="DTY615" s="294"/>
      <c r="DTZ615" s="294"/>
      <c r="DUA615" s="294"/>
      <c r="DUB615" s="294"/>
      <c r="DUC615" s="294"/>
      <c r="DUD615" s="294"/>
      <c r="DUE615" s="294"/>
      <c r="DUF615" s="294"/>
      <c r="DUG615" s="294"/>
      <c r="DUH615" s="294"/>
      <c r="DUI615" s="294"/>
      <c r="DUJ615" s="294"/>
      <c r="DUK615" s="294"/>
      <c r="DUL615" s="294"/>
      <c r="DUM615" s="294"/>
      <c r="DUN615" s="294"/>
      <c r="DUO615" s="294"/>
      <c r="DUP615" s="294"/>
      <c r="DUQ615" s="294"/>
      <c r="DUR615" s="294"/>
      <c r="DUS615" s="294"/>
      <c r="DUT615" s="294"/>
      <c r="DUU615" s="294"/>
      <c r="DUV615" s="294"/>
      <c r="DUW615" s="294"/>
      <c r="DUX615" s="294"/>
      <c r="DUY615" s="294"/>
      <c r="DUZ615" s="294"/>
      <c r="DVA615" s="294"/>
      <c r="DVB615" s="294"/>
      <c r="DVC615" s="294"/>
      <c r="DVD615" s="294"/>
      <c r="DVE615" s="294"/>
      <c r="DVF615" s="294"/>
      <c r="DVG615" s="294"/>
      <c r="DVH615" s="294"/>
      <c r="DVI615" s="294"/>
      <c r="DVJ615" s="294"/>
      <c r="DVK615" s="294"/>
      <c r="DVL615" s="294"/>
      <c r="DVM615" s="294"/>
      <c r="DVN615" s="294"/>
      <c r="DVO615" s="294"/>
      <c r="DVP615" s="294"/>
      <c r="DVQ615" s="294"/>
      <c r="DVR615" s="294"/>
      <c r="DVS615" s="294"/>
      <c r="DVT615" s="294"/>
      <c r="DVU615" s="294"/>
      <c r="DVV615" s="294"/>
      <c r="DVW615" s="294"/>
      <c r="DVX615" s="294"/>
      <c r="DVY615" s="294"/>
      <c r="DVZ615" s="294"/>
      <c r="DWA615" s="294"/>
      <c r="DWB615" s="294"/>
      <c r="DWC615" s="294"/>
      <c r="DWD615" s="294"/>
      <c r="DWE615" s="294"/>
      <c r="DWF615" s="294"/>
      <c r="DWG615" s="294"/>
      <c r="DWH615" s="294"/>
      <c r="DWI615" s="294"/>
      <c r="DWJ615" s="294"/>
      <c r="DWK615" s="294"/>
      <c r="DWL615" s="294"/>
      <c r="DWM615" s="294"/>
      <c r="DWN615" s="294"/>
      <c r="DWO615" s="294"/>
      <c r="DWP615" s="294"/>
      <c r="DWQ615" s="294"/>
      <c r="DWR615" s="294"/>
      <c r="DWS615" s="294"/>
      <c r="DWT615" s="294"/>
      <c r="DWU615" s="294"/>
      <c r="DWV615" s="294"/>
      <c r="DWW615" s="294"/>
      <c r="DWX615" s="294"/>
      <c r="DWY615" s="294"/>
      <c r="DWZ615" s="294"/>
      <c r="DXA615" s="294"/>
      <c r="DXB615" s="294"/>
      <c r="DXC615" s="294"/>
      <c r="DXD615" s="294"/>
      <c r="DXE615" s="294"/>
      <c r="DXF615" s="294"/>
      <c r="DXG615" s="294"/>
      <c r="DXH615" s="294"/>
      <c r="DXI615" s="294"/>
      <c r="DXJ615" s="294"/>
      <c r="DXK615" s="294"/>
      <c r="DXL615" s="294"/>
      <c r="DXM615" s="294"/>
      <c r="DXN615" s="294"/>
      <c r="DXO615" s="294"/>
      <c r="DXP615" s="294"/>
      <c r="DXQ615" s="294"/>
      <c r="DXR615" s="294"/>
      <c r="DXS615" s="294"/>
      <c r="DXT615" s="294"/>
      <c r="DXU615" s="294"/>
      <c r="DXV615" s="294"/>
      <c r="DXW615" s="294"/>
      <c r="DXX615" s="294"/>
      <c r="DXY615" s="294"/>
      <c r="DXZ615" s="294"/>
      <c r="DYA615" s="294"/>
      <c r="DYB615" s="294"/>
      <c r="DYC615" s="294"/>
      <c r="DYD615" s="294"/>
      <c r="DYE615" s="294"/>
      <c r="DYF615" s="294"/>
      <c r="DYG615" s="294"/>
      <c r="DYH615" s="294"/>
      <c r="DYI615" s="294"/>
      <c r="DYJ615" s="294"/>
      <c r="DYK615" s="294"/>
      <c r="DYL615" s="294"/>
      <c r="DYM615" s="294"/>
      <c r="DYN615" s="294"/>
      <c r="DYO615" s="294"/>
      <c r="DYP615" s="294"/>
      <c r="DYQ615" s="294"/>
      <c r="DYR615" s="294"/>
      <c r="DYS615" s="294"/>
      <c r="DYT615" s="294"/>
      <c r="DYU615" s="294"/>
      <c r="DYV615" s="294"/>
      <c r="DYW615" s="294"/>
      <c r="DYX615" s="294"/>
      <c r="DYY615" s="294"/>
      <c r="DYZ615" s="294"/>
      <c r="DZA615" s="294"/>
      <c r="DZB615" s="294"/>
      <c r="DZC615" s="294"/>
      <c r="DZD615" s="294"/>
      <c r="DZE615" s="294"/>
      <c r="DZF615" s="294"/>
      <c r="DZG615" s="294"/>
      <c r="DZH615" s="294"/>
      <c r="DZI615" s="294"/>
      <c r="DZJ615" s="294"/>
      <c r="DZK615" s="294"/>
      <c r="DZL615" s="294"/>
      <c r="DZM615" s="294"/>
      <c r="DZN615" s="294"/>
      <c r="DZO615" s="294"/>
      <c r="DZP615" s="294"/>
      <c r="DZQ615" s="294"/>
      <c r="DZR615" s="294"/>
      <c r="DZS615" s="294"/>
      <c r="DZT615" s="294"/>
      <c r="DZU615" s="294"/>
      <c r="DZV615" s="294"/>
      <c r="DZW615" s="294"/>
      <c r="DZX615" s="294"/>
      <c r="DZY615" s="294"/>
      <c r="DZZ615" s="294"/>
      <c r="EAA615" s="294"/>
      <c r="EAB615" s="294"/>
      <c r="EAC615" s="294"/>
      <c r="EAD615" s="294"/>
      <c r="EAE615" s="294"/>
      <c r="EAF615" s="294"/>
      <c r="EAG615" s="294"/>
      <c r="EAH615" s="294"/>
      <c r="EAI615" s="294"/>
      <c r="EAJ615" s="294"/>
      <c r="EAK615" s="294"/>
      <c r="EAL615" s="294"/>
      <c r="EAM615" s="294"/>
      <c r="EAN615" s="294"/>
      <c r="EAO615" s="294"/>
      <c r="EAP615" s="294"/>
      <c r="EAQ615" s="294"/>
      <c r="EAR615" s="294"/>
      <c r="EAS615" s="294"/>
      <c r="EAT615" s="294"/>
      <c r="EAU615" s="294"/>
      <c r="EAV615" s="294"/>
      <c r="EAW615" s="294"/>
      <c r="EAX615" s="294"/>
      <c r="EAY615" s="294"/>
      <c r="EAZ615" s="294"/>
      <c r="EBA615" s="294"/>
      <c r="EBB615" s="294"/>
      <c r="EBC615" s="294"/>
      <c r="EBD615" s="294"/>
      <c r="EBE615" s="294"/>
      <c r="EBF615" s="294"/>
      <c r="EBG615" s="294"/>
      <c r="EBH615" s="294"/>
      <c r="EBI615" s="294"/>
      <c r="EBJ615" s="294"/>
      <c r="EBK615" s="294"/>
      <c r="EBL615" s="294"/>
      <c r="EBM615" s="294"/>
      <c r="EBN615" s="294"/>
      <c r="EBO615" s="294"/>
      <c r="EBP615" s="294"/>
      <c r="EBQ615" s="294"/>
      <c r="EBR615" s="294"/>
      <c r="EBS615" s="294"/>
      <c r="EBT615" s="294"/>
      <c r="EBU615" s="294"/>
      <c r="EBV615" s="294"/>
      <c r="EBW615" s="294"/>
      <c r="EBX615" s="294"/>
      <c r="EBY615" s="294"/>
      <c r="EBZ615" s="294"/>
      <c r="ECA615" s="294"/>
      <c r="ECB615" s="294"/>
      <c r="ECC615" s="294"/>
      <c r="ECD615" s="294"/>
      <c r="ECE615" s="294"/>
      <c r="ECF615" s="294"/>
      <c r="ECG615" s="294"/>
      <c r="ECH615" s="294"/>
      <c r="ECI615" s="294"/>
      <c r="ECJ615" s="294"/>
      <c r="ECK615" s="294"/>
      <c r="ECL615" s="294"/>
      <c r="ECM615" s="294"/>
      <c r="ECN615" s="294"/>
      <c r="ECO615" s="294"/>
      <c r="ECP615" s="294"/>
      <c r="ECQ615" s="294"/>
      <c r="ECR615" s="294"/>
      <c r="ECS615" s="294"/>
      <c r="ECT615" s="294"/>
      <c r="ECU615" s="294"/>
      <c r="ECV615" s="294"/>
      <c r="ECW615" s="294"/>
      <c r="ECX615" s="294"/>
      <c r="ECY615" s="294"/>
      <c r="ECZ615" s="294"/>
      <c r="EDA615" s="294"/>
      <c r="EDB615" s="294"/>
      <c r="EDC615" s="294"/>
      <c r="EDD615" s="294"/>
      <c r="EDE615" s="294"/>
      <c r="EDF615" s="294"/>
      <c r="EDG615" s="294"/>
      <c r="EDH615" s="294"/>
      <c r="EDI615" s="294"/>
      <c r="EDJ615" s="294"/>
      <c r="EDK615" s="294"/>
      <c r="EDL615" s="294"/>
      <c r="EDM615" s="294"/>
      <c r="EDN615" s="294"/>
      <c r="EDO615" s="294"/>
      <c r="EDP615" s="294"/>
      <c r="EDQ615" s="294"/>
      <c r="EDR615" s="294"/>
      <c r="EDS615" s="294"/>
      <c r="EDT615" s="294"/>
      <c r="EDU615" s="294"/>
      <c r="EDV615" s="294"/>
      <c r="EDW615" s="294"/>
      <c r="EDX615" s="294"/>
      <c r="EDY615" s="294"/>
      <c r="EDZ615" s="294"/>
      <c r="EEA615" s="294"/>
      <c r="EEB615" s="294"/>
      <c r="EEC615" s="294"/>
      <c r="EED615" s="294"/>
      <c r="EEE615" s="294"/>
      <c r="EEF615" s="294"/>
      <c r="EEG615" s="294"/>
      <c r="EEH615" s="294"/>
      <c r="EEI615" s="294"/>
      <c r="EEJ615" s="294"/>
      <c r="EEK615" s="294"/>
      <c r="EEL615" s="294"/>
      <c r="EEM615" s="294"/>
      <c r="EEN615" s="294"/>
      <c r="EEO615" s="294"/>
      <c r="EEP615" s="294"/>
      <c r="EEQ615" s="294"/>
      <c r="EER615" s="294"/>
      <c r="EES615" s="294"/>
      <c r="EET615" s="294"/>
      <c r="EEU615" s="294"/>
      <c r="EEV615" s="294"/>
      <c r="EEW615" s="294"/>
      <c r="EEX615" s="294"/>
      <c r="EEY615" s="294"/>
      <c r="EEZ615" s="294"/>
      <c r="EFA615" s="294"/>
      <c r="EFB615" s="294"/>
      <c r="EFC615" s="294"/>
      <c r="EFD615" s="294"/>
      <c r="EFE615" s="294"/>
      <c r="EFF615" s="294"/>
      <c r="EFG615" s="294"/>
      <c r="EFH615" s="294"/>
      <c r="EFI615" s="294"/>
      <c r="EFJ615" s="294"/>
      <c r="EFK615" s="294"/>
      <c r="EFL615" s="294"/>
      <c r="EFM615" s="294"/>
      <c r="EFN615" s="294"/>
      <c r="EFO615" s="294"/>
      <c r="EFP615" s="294"/>
      <c r="EFQ615" s="294"/>
      <c r="EFR615" s="294"/>
      <c r="EFS615" s="294"/>
      <c r="EFT615" s="294"/>
      <c r="EFU615" s="294"/>
      <c r="EFV615" s="294"/>
      <c r="EFW615" s="294"/>
      <c r="EFX615" s="294"/>
      <c r="EFY615" s="294"/>
      <c r="EFZ615" s="294"/>
      <c r="EGA615" s="294"/>
      <c r="EGB615" s="294"/>
      <c r="EGC615" s="294"/>
      <c r="EGD615" s="294"/>
      <c r="EGE615" s="294"/>
      <c r="EGF615" s="294"/>
      <c r="EGG615" s="294"/>
      <c r="EGH615" s="294"/>
      <c r="EGI615" s="294"/>
      <c r="EGJ615" s="294"/>
      <c r="EGK615" s="294"/>
      <c r="EGL615" s="294"/>
      <c r="EGM615" s="294"/>
      <c r="EGN615" s="294"/>
      <c r="EGO615" s="294"/>
      <c r="EGP615" s="294"/>
      <c r="EGQ615" s="294"/>
      <c r="EGR615" s="294"/>
      <c r="EGS615" s="294"/>
      <c r="EGT615" s="294"/>
      <c r="EGU615" s="294"/>
      <c r="EGV615" s="294"/>
      <c r="EGW615" s="294"/>
      <c r="EGX615" s="294"/>
      <c r="EGY615" s="294"/>
      <c r="EGZ615" s="294"/>
      <c r="EHA615" s="294"/>
      <c r="EHB615" s="294"/>
      <c r="EHC615" s="294"/>
      <c r="EHD615" s="294"/>
      <c r="EHE615" s="294"/>
      <c r="EHF615" s="294"/>
      <c r="EHG615" s="294"/>
      <c r="EHH615" s="294"/>
      <c r="EHI615" s="294"/>
      <c r="EHJ615" s="294"/>
      <c r="EHK615" s="294"/>
      <c r="EHL615" s="294"/>
      <c r="EHM615" s="294"/>
      <c r="EHN615" s="294"/>
      <c r="EHO615" s="294"/>
      <c r="EHP615" s="294"/>
      <c r="EHQ615" s="294"/>
      <c r="EHR615" s="294"/>
      <c r="EHS615" s="294"/>
      <c r="EHT615" s="294"/>
      <c r="EHU615" s="294"/>
      <c r="EHV615" s="294"/>
      <c r="EHW615" s="294"/>
      <c r="EHX615" s="294"/>
      <c r="EHY615" s="294"/>
      <c r="EHZ615" s="294"/>
      <c r="EIA615" s="294"/>
      <c r="EIB615" s="294"/>
      <c r="EIC615" s="294"/>
      <c r="EID615" s="294"/>
      <c r="EIE615" s="294"/>
      <c r="EIF615" s="294"/>
      <c r="EIG615" s="294"/>
      <c r="EIH615" s="294"/>
      <c r="EII615" s="294"/>
      <c r="EIJ615" s="294"/>
      <c r="EIK615" s="294"/>
      <c r="EIL615" s="294"/>
      <c r="EIM615" s="294"/>
      <c r="EIN615" s="294"/>
      <c r="EIO615" s="294"/>
      <c r="EIP615" s="294"/>
      <c r="EIQ615" s="294"/>
      <c r="EIR615" s="294"/>
      <c r="EIS615" s="294"/>
      <c r="EIT615" s="294"/>
      <c r="EIU615" s="294"/>
      <c r="EIV615" s="294"/>
      <c r="EIW615" s="294"/>
      <c r="EIX615" s="294"/>
      <c r="EIY615" s="294"/>
      <c r="EIZ615" s="294"/>
      <c r="EJA615" s="294"/>
      <c r="EJB615" s="294"/>
      <c r="EJC615" s="294"/>
      <c r="EJD615" s="294"/>
      <c r="EJE615" s="294"/>
      <c r="EJF615" s="294"/>
      <c r="EJG615" s="294"/>
      <c r="EJH615" s="294"/>
      <c r="EJI615" s="294"/>
      <c r="EJJ615" s="294"/>
      <c r="EJK615" s="294"/>
      <c r="EJL615" s="294"/>
      <c r="EJM615" s="294"/>
      <c r="EJN615" s="294"/>
      <c r="EJO615" s="294"/>
      <c r="EJP615" s="294"/>
      <c r="EJQ615" s="294"/>
      <c r="EJR615" s="294"/>
      <c r="EJS615" s="294"/>
      <c r="EJT615" s="294"/>
      <c r="EJU615" s="294"/>
      <c r="EJV615" s="294"/>
      <c r="EJW615" s="294"/>
      <c r="EJX615" s="294"/>
      <c r="EJY615" s="294"/>
      <c r="EJZ615" s="294"/>
      <c r="EKA615" s="294"/>
      <c r="EKB615" s="294"/>
      <c r="EKC615" s="294"/>
      <c r="EKD615" s="294"/>
      <c r="EKE615" s="294"/>
      <c r="EKF615" s="294"/>
      <c r="EKG615" s="294"/>
      <c r="EKH615" s="294"/>
      <c r="EKI615" s="294"/>
      <c r="EKJ615" s="294"/>
      <c r="EKK615" s="294"/>
      <c r="EKL615" s="294"/>
      <c r="EKM615" s="294"/>
      <c r="EKN615" s="294"/>
      <c r="EKO615" s="294"/>
      <c r="EKP615" s="294"/>
      <c r="EKQ615" s="294"/>
      <c r="EKR615" s="294"/>
      <c r="EKS615" s="294"/>
      <c r="EKT615" s="294"/>
      <c r="EKU615" s="294"/>
      <c r="EKV615" s="294"/>
      <c r="EKW615" s="294"/>
      <c r="EKX615" s="294"/>
      <c r="EKY615" s="294"/>
      <c r="EKZ615" s="294"/>
      <c r="ELA615" s="294"/>
      <c r="ELB615" s="294"/>
      <c r="ELC615" s="294"/>
      <c r="ELD615" s="294"/>
      <c r="ELE615" s="294"/>
      <c r="ELF615" s="294"/>
      <c r="ELG615" s="294"/>
      <c r="ELH615" s="294"/>
      <c r="ELI615" s="294"/>
      <c r="ELJ615" s="294"/>
      <c r="ELK615" s="294"/>
      <c r="ELL615" s="294"/>
      <c r="ELM615" s="294"/>
      <c r="ELN615" s="294"/>
      <c r="ELO615" s="294"/>
      <c r="ELP615" s="294"/>
      <c r="ELQ615" s="294"/>
      <c r="ELR615" s="294"/>
      <c r="ELS615" s="294"/>
      <c r="ELT615" s="294"/>
      <c r="ELU615" s="294"/>
      <c r="ELV615" s="294"/>
      <c r="ELW615" s="294"/>
      <c r="ELX615" s="294"/>
      <c r="ELY615" s="294"/>
      <c r="ELZ615" s="294"/>
      <c r="EMA615" s="294"/>
      <c r="EMB615" s="294"/>
      <c r="EMC615" s="294"/>
      <c r="EMD615" s="294"/>
      <c r="EME615" s="294"/>
      <c r="EMF615" s="294"/>
      <c r="EMG615" s="294"/>
      <c r="EMH615" s="294"/>
      <c r="EMI615" s="294"/>
      <c r="EMJ615" s="294"/>
      <c r="EMK615" s="294"/>
      <c r="EML615" s="294"/>
      <c r="EMM615" s="294"/>
      <c r="EMN615" s="294"/>
      <c r="EMO615" s="294"/>
      <c r="EMP615" s="294"/>
      <c r="EMQ615" s="294"/>
      <c r="EMR615" s="294"/>
      <c r="EMS615" s="294"/>
      <c r="EMT615" s="294"/>
      <c r="EMU615" s="294"/>
      <c r="EMV615" s="294"/>
      <c r="EMW615" s="294"/>
      <c r="EMX615" s="294"/>
      <c r="EMY615" s="294"/>
      <c r="EMZ615" s="294"/>
      <c r="ENA615" s="294"/>
      <c r="ENB615" s="294"/>
      <c r="ENC615" s="294"/>
      <c r="END615" s="294"/>
      <c r="ENE615" s="294"/>
      <c r="ENF615" s="294"/>
      <c r="ENG615" s="294"/>
      <c r="ENH615" s="294"/>
      <c r="ENI615" s="294"/>
      <c r="ENJ615" s="294"/>
      <c r="ENK615" s="294"/>
      <c r="ENL615" s="294"/>
      <c r="ENM615" s="294"/>
      <c r="ENN615" s="294"/>
      <c r="ENO615" s="294"/>
      <c r="ENP615" s="294"/>
      <c r="ENQ615" s="294"/>
      <c r="ENR615" s="294"/>
      <c r="ENS615" s="294"/>
      <c r="ENT615" s="294"/>
      <c r="ENU615" s="294"/>
      <c r="ENV615" s="294"/>
      <c r="ENW615" s="294"/>
      <c r="ENX615" s="294"/>
      <c r="ENY615" s="294"/>
      <c r="ENZ615" s="294"/>
      <c r="EOA615" s="294"/>
      <c r="EOB615" s="294"/>
      <c r="EOC615" s="294"/>
      <c r="EOD615" s="294"/>
      <c r="EOE615" s="294"/>
      <c r="EOF615" s="294"/>
      <c r="EOG615" s="294"/>
      <c r="EOH615" s="294"/>
      <c r="EOI615" s="294"/>
      <c r="EOJ615" s="294"/>
      <c r="EOK615" s="294"/>
      <c r="EOL615" s="294"/>
      <c r="EOM615" s="294"/>
      <c r="EON615" s="294"/>
      <c r="EOO615" s="294"/>
      <c r="EOP615" s="294"/>
      <c r="EOQ615" s="294"/>
      <c r="EOR615" s="294"/>
      <c r="EOS615" s="294"/>
      <c r="EOT615" s="294"/>
      <c r="EOU615" s="294"/>
      <c r="EOV615" s="294"/>
      <c r="EOW615" s="294"/>
      <c r="EOX615" s="294"/>
      <c r="EOY615" s="294"/>
      <c r="EOZ615" s="294"/>
      <c r="EPA615" s="294"/>
      <c r="EPB615" s="294"/>
      <c r="EPC615" s="294"/>
      <c r="EPD615" s="294"/>
      <c r="EPE615" s="294"/>
      <c r="EPF615" s="294"/>
      <c r="EPG615" s="294"/>
      <c r="EPH615" s="294"/>
      <c r="EPI615" s="294"/>
      <c r="EPJ615" s="294"/>
      <c r="EPK615" s="294"/>
      <c r="EPL615" s="294"/>
      <c r="EPM615" s="294"/>
      <c r="EPN615" s="294"/>
      <c r="EPO615" s="294"/>
      <c r="EPP615" s="294"/>
      <c r="EPQ615" s="294"/>
      <c r="EPR615" s="294"/>
      <c r="EPS615" s="294"/>
      <c r="EPT615" s="294"/>
      <c r="EPU615" s="294"/>
      <c r="EPV615" s="294"/>
      <c r="EPW615" s="294"/>
      <c r="EPX615" s="294"/>
      <c r="EPY615" s="294"/>
      <c r="EPZ615" s="294"/>
      <c r="EQA615" s="294"/>
      <c r="EQB615" s="294"/>
      <c r="EQC615" s="294"/>
      <c r="EQD615" s="294"/>
      <c r="EQE615" s="294"/>
      <c r="EQF615" s="294"/>
      <c r="EQG615" s="294"/>
      <c r="EQH615" s="294"/>
      <c r="EQI615" s="294"/>
      <c r="EQJ615" s="294"/>
      <c r="EQK615" s="294"/>
      <c r="EQL615" s="294"/>
      <c r="EQM615" s="294"/>
      <c r="EQN615" s="294"/>
      <c r="EQO615" s="294"/>
      <c r="EQP615" s="294"/>
      <c r="EQQ615" s="294"/>
      <c r="EQR615" s="294"/>
      <c r="EQS615" s="294"/>
      <c r="EQT615" s="294"/>
      <c r="EQU615" s="294"/>
      <c r="EQV615" s="294"/>
      <c r="EQW615" s="294"/>
      <c r="EQX615" s="294"/>
      <c r="EQY615" s="294"/>
      <c r="EQZ615" s="294"/>
      <c r="ERA615" s="294"/>
      <c r="ERB615" s="294"/>
      <c r="ERC615" s="294"/>
      <c r="ERD615" s="294"/>
      <c r="ERE615" s="294"/>
      <c r="ERF615" s="294"/>
      <c r="ERG615" s="294"/>
      <c r="ERH615" s="294"/>
      <c r="ERI615" s="294"/>
      <c r="ERJ615" s="294"/>
      <c r="ERK615" s="294"/>
      <c r="ERL615" s="294"/>
      <c r="ERM615" s="294"/>
      <c r="ERN615" s="294"/>
      <c r="ERO615" s="294"/>
      <c r="ERP615" s="294"/>
      <c r="ERQ615" s="294"/>
      <c r="ERR615" s="294"/>
      <c r="ERS615" s="294"/>
      <c r="ERT615" s="294"/>
      <c r="ERU615" s="294"/>
      <c r="ERV615" s="294"/>
      <c r="ERW615" s="294"/>
      <c r="ERX615" s="294"/>
      <c r="ERY615" s="294"/>
      <c r="ERZ615" s="294"/>
      <c r="ESA615" s="294"/>
      <c r="ESB615" s="294"/>
      <c r="ESC615" s="294"/>
      <c r="ESD615" s="294"/>
      <c r="ESE615" s="294"/>
      <c r="ESF615" s="294"/>
      <c r="ESG615" s="294"/>
      <c r="ESH615" s="294"/>
      <c r="ESI615" s="294"/>
      <c r="ESJ615" s="294"/>
      <c r="ESK615" s="294"/>
      <c r="ESL615" s="294"/>
      <c r="ESM615" s="294"/>
      <c r="ESN615" s="294"/>
      <c r="ESO615" s="294"/>
      <c r="ESP615" s="294"/>
      <c r="ESQ615" s="294"/>
      <c r="ESR615" s="294"/>
      <c r="ESS615" s="294"/>
      <c r="EST615" s="294"/>
      <c r="ESU615" s="294"/>
      <c r="ESV615" s="294"/>
      <c r="ESW615" s="294"/>
      <c r="ESX615" s="294"/>
      <c r="ESY615" s="294"/>
      <c r="ESZ615" s="294"/>
      <c r="ETA615" s="294"/>
      <c r="ETB615" s="294"/>
      <c r="ETC615" s="294"/>
      <c r="ETD615" s="294"/>
      <c r="ETE615" s="294"/>
      <c r="ETF615" s="294"/>
      <c r="ETG615" s="294"/>
      <c r="ETH615" s="294"/>
      <c r="ETI615" s="294"/>
      <c r="ETJ615" s="294"/>
      <c r="ETK615" s="294"/>
      <c r="ETL615" s="294"/>
      <c r="ETM615" s="294"/>
      <c r="ETN615" s="294"/>
      <c r="ETO615" s="294"/>
      <c r="ETP615" s="294"/>
      <c r="ETQ615" s="294"/>
      <c r="ETR615" s="294"/>
      <c r="ETS615" s="294"/>
      <c r="ETT615" s="294"/>
      <c r="ETU615" s="294"/>
      <c r="ETV615" s="294"/>
      <c r="ETW615" s="294"/>
      <c r="ETX615" s="294"/>
      <c r="ETY615" s="294"/>
      <c r="ETZ615" s="294"/>
      <c r="EUA615" s="294"/>
      <c r="EUB615" s="294"/>
      <c r="EUC615" s="294"/>
      <c r="EUD615" s="294"/>
      <c r="EUE615" s="294"/>
      <c r="EUF615" s="294"/>
      <c r="EUG615" s="294"/>
      <c r="EUH615" s="294"/>
      <c r="EUI615" s="294"/>
      <c r="EUJ615" s="294"/>
      <c r="EUK615" s="294"/>
      <c r="EUL615" s="294"/>
      <c r="EUM615" s="294"/>
      <c r="EUN615" s="294"/>
      <c r="EUO615" s="294"/>
      <c r="EUP615" s="294"/>
      <c r="EUQ615" s="294"/>
      <c r="EUR615" s="294"/>
      <c r="EUS615" s="294"/>
      <c r="EUT615" s="294"/>
      <c r="EUU615" s="294"/>
      <c r="EUV615" s="294"/>
      <c r="EUW615" s="294"/>
      <c r="EUX615" s="294"/>
      <c r="EUY615" s="294"/>
      <c r="EUZ615" s="294"/>
      <c r="EVA615" s="294"/>
      <c r="EVB615" s="294"/>
      <c r="EVC615" s="294"/>
      <c r="EVD615" s="294"/>
      <c r="EVE615" s="294"/>
      <c r="EVF615" s="294"/>
      <c r="EVG615" s="294"/>
      <c r="EVH615" s="294"/>
      <c r="EVI615" s="294"/>
      <c r="EVJ615" s="294"/>
      <c r="EVK615" s="294"/>
      <c r="EVL615" s="294"/>
      <c r="EVM615" s="294"/>
      <c r="EVN615" s="294"/>
      <c r="EVO615" s="294"/>
      <c r="EVP615" s="294"/>
      <c r="EVQ615" s="294"/>
      <c r="EVR615" s="294"/>
      <c r="EVS615" s="294"/>
      <c r="EVT615" s="294"/>
      <c r="EVU615" s="294"/>
      <c r="EVV615" s="294"/>
      <c r="EVW615" s="294"/>
      <c r="EVX615" s="294"/>
      <c r="EVY615" s="294"/>
      <c r="EVZ615" s="294"/>
      <c r="EWA615" s="294"/>
      <c r="EWB615" s="294"/>
      <c r="EWC615" s="294"/>
      <c r="EWD615" s="294"/>
      <c r="EWE615" s="294"/>
      <c r="EWF615" s="294"/>
      <c r="EWG615" s="294"/>
      <c r="EWH615" s="294"/>
      <c r="EWI615" s="294"/>
      <c r="EWJ615" s="294"/>
      <c r="EWK615" s="294"/>
      <c r="EWL615" s="294"/>
      <c r="EWM615" s="294"/>
      <c r="EWN615" s="294"/>
      <c r="EWO615" s="294"/>
      <c r="EWP615" s="294"/>
      <c r="EWQ615" s="294"/>
      <c r="EWR615" s="294"/>
      <c r="EWS615" s="294"/>
      <c r="EWT615" s="294"/>
      <c r="EWU615" s="294"/>
      <c r="EWV615" s="294"/>
      <c r="EWW615" s="294"/>
      <c r="EWX615" s="294"/>
      <c r="EWY615" s="294"/>
      <c r="EWZ615" s="294"/>
      <c r="EXA615" s="294"/>
      <c r="EXB615" s="294"/>
      <c r="EXC615" s="294"/>
      <c r="EXD615" s="294"/>
      <c r="EXE615" s="294"/>
      <c r="EXF615" s="294"/>
      <c r="EXG615" s="294"/>
      <c r="EXH615" s="294"/>
      <c r="EXI615" s="294"/>
      <c r="EXJ615" s="294"/>
      <c r="EXK615" s="294"/>
      <c r="EXL615" s="294"/>
      <c r="EXM615" s="294"/>
      <c r="EXN615" s="294"/>
      <c r="EXO615" s="294"/>
      <c r="EXP615" s="294"/>
      <c r="EXQ615" s="294"/>
      <c r="EXR615" s="294"/>
      <c r="EXS615" s="294"/>
      <c r="EXT615" s="294"/>
      <c r="EXU615" s="294"/>
      <c r="EXV615" s="294"/>
      <c r="EXW615" s="294"/>
      <c r="EXX615" s="294"/>
      <c r="EXY615" s="294"/>
      <c r="EXZ615" s="294"/>
      <c r="EYA615" s="294"/>
      <c r="EYB615" s="294"/>
      <c r="EYC615" s="294"/>
      <c r="EYD615" s="294"/>
      <c r="EYE615" s="294"/>
      <c r="EYF615" s="294"/>
      <c r="EYG615" s="294"/>
      <c r="EYH615" s="294"/>
      <c r="EYI615" s="294"/>
      <c r="EYJ615" s="294"/>
      <c r="EYK615" s="294"/>
      <c r="EYL615" s="294"/>
      <c r="EYM615" s="294"/>
      <c r="EYN615" s="294"/>
      <c r="EYO615" s="294"/>
      <c r="EYP615" s="294"/>
      <c r="EYQ615" s="294"/>
      <c r="EYR615" s="294"/>
      <c r="EYS615" s="294"/>
      <c r="EYT615" s="294"/>
      <c r="EYU615" s="294"/>
      <c r="EYV615" s="294"/>
      <c r="EYW615" s="294"/>
      <c r="EYX615" s="294"/>
      <c r="EYY615" s="294"/>
      <c r="EYZ615" s="294"/>
      <c r="EZA615" s="294"/>
      <c r="EZB615" s="294"/>
      <c r="EZC615" s="294"/>
      <c r="EZD615" s="294"/>
      <c r="EZE615" s="294"/>
      <c r="EZF615" s="294"/>
      <c r="EZG615" s="294"/>
      <c r="EZH615" s="294"/>
      <c r="EZI615" s="294"/>
      <c r="EZJ615" s="294"/>
      <c r="EZK615" s="294"/>
      <c r="EZL615" s="294"/>
      <c r="EZM615" s="294"/>
      <c r="EZN615" s="294"/>
      <c r="EZO615" s="294"/>
      <c r="EZP615" s="294"/>
      <c r="EZQ615" s="294"/>
      <c r="EZR615" s="294"/>
      <c r="EZS615" s="294"/>
      <c r="EZT615" s="294"/>
      <c r="EZU615" s="294"/>
      <c r="EZV615" s="294"/>
      <c r="EZW615" s="294"/>
      <c r="EZX615" s="294"/>
      <c r="EZY615" s="294"/>
      <c r="EZZ615" s="294"/>
      <c r="FAA615" s="294"/>
      <c r="FAB615" s="294"/>
      <c r="FAC615" s="294"/>
      <c r="FAD615" s="294"/>
      <c r="FAE615" s="294"/>
      <c r="FAF615" s="294"/>
      <c r="FAG615" s="294"/>
      <c r="FAH615" s="294"/>
      <c r="FAI615" s="294"/>
      <c r="FAJ615" s="294"/>
      <c r="FAK615" s="294"/>
      <c r="FAL615" s="294"/>
      <c r="FAM615" s="294"/>
      <c r="FAN615" s="294"/>
      <c r="FAO615" s="294"/>
      <c r="FAP615" s="294"/>
      <c r="FAQ615" s="294"/>
      <c r="FAR615" s="294"/>
      <c r="FAS615" s="294"/>
      <c r="FAT615" s="294"/>
      <c r="FAU615" s="294"/>
      <c r="FAV615" s="294"/>
      <c r="FAW615" s="294"/>
      <c r="FAX615" s="294"/>
      <c r="FAY615" s="294"/>
      <c r="FAZ615" s="294"/>
      <c r="FBA615" s="294"/>
      <c r="FBB615" s="294"/>
      <c r="FBC615" s="294"/>
      <c r="FBD615" s="294"/>
      <c r="FBE615" s="294"/>
      <c r="FBF615" s="294"/>
      <c r="FBG615" s="294"/>
      <c r="FBH615" s="294"/>
      <c r="FBI615" s="294"/>
      <c r="FBJ615" s="294"/>
      <c r="FBK615" s="294"/>
      <c r="FBL615" s="294"/>
      <c r="FBM615" s="294"/>
      <c r="FBN615" s="294"/>
      <c r="FBO615" s="294"/>
      <c r="FBP615" s="294"/>
      <c r="FBQ615" s="294"/>
      <c r="FBR615" s="294"/>
      <c r="FBS615" s="294"/>
      <c r="FBT615" s="294"/>
      <c r="FBU615" s="294"/>
      <c r="FBV615" s="294"/>
      <c r="FBW615" s="294"/>
      <c r="FBX615" s="294"/>
      <c r="FBY615" s="294"/>
      <c r="FBZ615" s="294"/>
      <c r="FCA615" s="294"/>
      <c r="FCB615" s="294"/>
      <c r="FCC615" s="294"/>
      <c r="FCD615" s="294"/>
      <c r="FCE615" s="294"/>
      <c r="FCF615" s="294"/>
      <c r="FCG615" s="294"/>
      <c r="FCH615" s="294"/>
      <c r="FCI615" s="294"/>
      <c r="FCJ615" s="294"/>
      <c r="FCK615" s="294"/>
      <c r="FCL615" s="294"/>
      <c r="FCM615" s="294"/>
      <c r="FCN615" s="294"/>
      <c r="FCO615" s="294"/>
      <c r="FCP615" s="294"/>
      <c r="FCQ615" s="294"/>
      <c r="FCR615" s="294"/>
      <c r="FCS615" s="294"/>
      <c r="FCT615" s="294"/>
      <c r="FCU615" s="294"/>
      <c r="FCV615" s="294"/>
      <c r="FCW615" s="294"/>
      <c r="FCX615" s="294"/>
      <c r="FCY615" s="294"/>
      <c r="FCZ615" s="294"/>
      <c r="FDA615" s="294"/>
      <c r="FDB615" s="294"/>
      <c r="FDC615" s="294"/>
      <c r="FDD615" s="294"/>
      <c r="FDE615" s="294"/>
      <c r="FDF615" s="294"/>
      <c r="FDG615" s="294"/>
      <c r="FDH615" s="294"/>
      <c r="FDI615" s="294"/>
      <c r="FDJ615" s="294"/>
      <c r="FDK615" s="294"/>
      <c r="FDL615" s="294"/>
      <c r="FDM615" s="294"/>
      <c r="FDN615" s="294"/>
      <c r="FDO615" s="294"/>
      <c r="FDP615" s="294"/>
      <c r="FDQ615" s="294"/>
      <c r="FDR615" s="294"/>
      <c r="FDS615" s="294"/>
      <c r="FDT615" s="294"/>
      <c r="FDU615" s="294"/>
      <c r="FDV615" s="294"/>
      <c r="FDW615" s="294"/>
      <c r="FDX615" s="294"/>
      <c r="FDY615" s="294"/>
      <c r="FDZ615" s="294"/>
      <c r="FEA615" s="294"/>
      <c r="FEB615" s="294"/>
      <c r="FEC615" s="294"/>
      <c r="FED615" s="294"/>
      <c r="FEE615" s="294"/>
      <c r="FEF615" s="294"/>
      <c r="FEG615" s="294"/>
      <c r="FEH615" s="294"/>
      <c r="FEI615" s="294"/>
      <c r="FEJ615" s="294"/>
      <c r="FEK615" s="294"/>
      <c r="FEL615" s="294"/>
      <c r="FEM615" s="294"/>
      <c r="FEN615" s="294"/>
      <c r="FEO615" s="294"/>
      <c r="FEP615" s="294"/>
      <c r="FEQ615" s="294"/>
      <c r="FER615" s="294"/>
      <c r="FES615" s="294"/>
      <c r="FET615" s="294"/>
      <c r="FEU615" s="294"/>
      <c r="FEV615" s="294"/>
      <c r="FEW615" s="294"/>
      <c r="FEX615" s="294"/>
      <c r="FEY615" s="294"/>
      <c r="FEZ615" s="294"/>
      <c r="FFA615" s="294"/>
      <c r="FFB615" s="294"/>
      <c r="FFC615" s="294"/>
      <c r="FFD615" s="294"/>
      <c r="FFE615" s="294"/>
      <c r="FFF615" s="294"/>
      <c r="FFG615" s="294"/>
      <c r="FFH615" s="294"/>
      <c r="FFI615" s="294"/>
      <c r="FFJ615" s="294"/>
      <c r="FFK615" s="294"/>
      <c r="FFL615" s="294"/>
      <c r="FFM615" s="294"/>
      <c r="FFN615" s="294"/>
      <c r="FFO615" s="294"/>
      <c r="FFP615" s="294"/>
      <c r="FFQ615" s="294"/>
      <c r="FFR615" s="294"/>
      <c r="FFS615" s="294"/>
      <c r="FFT615" s="294"/>
      <c r="FFU615" s="294"/>
      <c r="FFV615" s="294"/>
      <c r="FFW615" s="294"/>
      <c r="FFX615" s="294"/>
      <c r="FFY615" s="294"/>
      <c r="FFZ615" s="294"/>
      <c r="FGA615" s="294"/>
      <c r="FGB615" s="294"/>
      <c r="FGC615" s="294"/>
      <c r="FGD615" s="294"/>
      <c r="FGE615" s="294"/>
      <c r="FGF615" s="294"/>
      <c r="FGG615" s="294"/>
      <c r="FGH615" s="294"/>
      <c r="FGI615" s="294"/>
      <c r="FGJ615" s="294"/>
      <c r="FGK615" s="294"/>
      <c r="FGL615" s="294"/>
      <c r="FGM615" s="294"/>
      <c r="FGN615" s="294"/>
      <c r="FGO615" s="294"/>
      <c r="FGP615" s="294"/>
      <c r="FGQ615" s="294"/>
      <c r="FGR615" s="294"/>
      <c r="FGS615" s="294"/>
      <c r="FGT615" s="294"/>
      <c r="FGU615" s="294"/>
      <c r="FGV615" s="294"/>
      <c r="FGW615" s="294"/>
      <c r="FGX615" s="294"/>
      <c r="FGY615" s="294"/>
      <c r="FGZ615" s="294"/>
      <c r="FHA615" s="294"/>
      <c r="FHB615" s="294"/>
      <c r="FHC615" s="294"/>
      <c r="FHD615" s="294"/>
      <c r="FHE615" s="294"/>
      <c r="FHF615" s="294"/>
      <c r="FHG615" s="294"/>
      <c r="FHH615" s="294"/>
      <c r="FHI615" s="294"/>
      <c r="FHJ615" s="294"/>
      <c r="FHK615" s="294"/>
      <c r="FHL615" s="294"/>
      <c r="FHM615" s="294"/>
      <c r="FHN615" s="294"/>
      <c r="FHO615" s="294"/>
      <c r="FHP615" s="294"/>
      <c r="FHQ615" s="294"/>
      <c r="FHR615" s="294"/>
      <c r="FHS615" s="294"/>
      <c r="FHT615" s="294"/>
      <c r="FHU615" s="294"/>
      <c r="FHV615" s="294"/>
      <c r="FHW615" s="294"/>
      <c r="FHX615" s="294"/>
      <c r="FHY615" s="294"/>
      <c r="FHZ615" s="294"/>
      <c r="FIA615" s="294"/>
      <c r="FIB615" s="294"/>
      <c r="FIC615" s="294"/>
      <c r="FID615" s="294"/>
      <c r="FIE615" s="294"/>
      <c r="FIF615" s="294"/>
      <c r="FIG615" s="294"/>
      <c r="FIH615" s="294"/>
      <c r="FII615" s="294"/>
      <c r="FIJ615" s="294"/>
      <c r="FIK615" s="294"/>
      <c r="FIL615" s="294"/>
      <c r="FIM615" s="294"/>
      <c r="FIN615" s="294"/>
      <c r="FIO615" s="294"/>
      <c r="FIP615" s="294"/>
      <c r="FIQ615" s="294"/>
      <c r="FIR615" s="294"/>
      <c r="FIS615" s="294"/>
      <c r="FIT615" s="294"/>
      <c r="FIU615" s="294"/>
      <c r="FIV615" s="294"/>
      <c r="FIW615" s="294"/>
      <c r="FIX615" s="294"/>
      <c r="FIY615" s="294"/>
      <c r="FIZ615" s="294"/>
      <c r="FJA615" s="294"/>
      <c r="FJB615" s="294"/>
      <c r="FJC615" s="294"/>
      <c r="FJD615" s="294"/>
      <c r="FJE615" s="294"/>
      <c r="FJF615" s="294"/>
      <c r="FJG615" s="294"/>
      <c r="FJH615" s="294"/>
      <c r="FJI615" s="294"/>
      <c r="FJJ615" s="294"/>
      <c r="FJK615" s="294"/>
      <c r="FJL615" s="294"/>
      <c r="FJM615" s="294"/>
      <c r="FJN615" s="294"/>
      <c r="FJO615" s="294"/>
      <c r="FJP615" s="294"/>
      <c r="FJQ615" s="294"/>
      <c r="FJR615" s="294"/>
      <c r="FJS615" s="294"/>
      <c r="FJT615" s="294"/>
      <c r="FJU615" s="294"/>
      <c r="FJV615" s="294"/>
      <c r="FJW615" s="294"/>
      <c r="FJX615" s="294"/>
      <c r="FJY615" s="294"/>
      <c r="FJZ615" s="294"/>
      <c r="FKA615" s="294"/>
      <c r="FKB615" s="294"/>
      <c r="FKC615" s="294"/>
      <c r="FKD615" s="294"/>
      <c r="FKE615" s="294"/>
      <c r="FKF615" s="294"/>
      <c r="FKG615" s="294"/>
      <c r="FKH615" s="294"/>
      <c r="FKI615" s="294"/>
      <c r="FKJ615" s="294"/>
      <c r="FKK615" s="294"/>
      <c r="FKL615" s="294"/>
      <c r="FKM615" s="294"/>
      <c r="FKN615" s="294"/>
      <c r="FKO615" s="294"/>
      <c r="FKP615" s="294"/>
      <c r="FKQ615" s="294"/>
      <c r="FKR615" s="294"/>
      <c r="FKS615" s="294"/>
      <c r="FKT615" s="294"/>
      <c r="FKU615" s="294"/>
      <c r="FKV615" s="294"/>
      <c r="FKW615" s="294"/>
      <c r="FKX615" s="294"/>
      <c r="FKY615" s="294"/>
      <c r="FKZ615" s="294"/>
      <c r="FLA615" s="294"/>
      <c r="FLB615" s="294"/>
      <c r="FLC615" s="294"/>
      <c r="FLD615" s="294"/>
      <c r="FLE615" s="294"/>
      <c r="FLF615" s="294"/>
      <c r="FLG615" s="294"/>
      <c r="FLH615" s="294"/>
      <c r="FLI615" s="294"/>
      <c r="FLJ615" s="294"/>
      <c r="FLK615" s="294"/>
      <c r="FLL615" s="294"/>
      <c r="FLM615" s="294"/>
      <c r="FLN615" s="294"/>
      <c r="FLO615" s="294"/>
      <c r="FLP615" s="294"/>
      <c r="FLQ615" s="294"/>
      <c r="FLR615" s="294"/>
      <c r="FLS615" s="294"/>
      <c r="FLT615" s="294"/>
      <c r="FLU615" s="294"/>
      <c r="FLV615" s="294"/>
      <c r="FLW615" s="294"/>
      <c r="FLX615" s="294"/>
      <c r="FLY615" s="294"/>
      <c r="FLZ615" s="294"/>
      <c r="FMA615" s="294"/>
      <c r="FMB615" s="294"/>
      <c r="FMC615" s="294"/>
      <c r="FMD615" s="294"/>
      <c r="FME615" s="294"/>
      <c r="FMF615" s="294"/>
      <c r="FMG615" s="294"/>
      <c r="FMH615" s="294"/>
      <c r="FMI615" s="294"/>
      <c r="FMJ615" s="294"/>
      <c r="FMK615" s="294"/>
      <c r="FML615" s="294"/>
      <c r="FMM615" s="294"/>
      <c r="FMN615" s="294"/>
      <c r="FMO615" s="294"/>
      <c r="FMP615" s="294"/>
      <c r="FMQ615" s="294"/>
      <c r="FMR615" s="294"/>
      <c r="FMS615" s="294"/>
      <c r="FMT615" s="294"/>
      <c r="FMU615" s="294"/>
      <c r="FMV615" s="294"/>
      <c r="FMW615" s="294"/>
      <c r="FMX615" s="294"/>
      <c r="FMY615" s="294"/>
      <c r="FMZ615" s="294"/>
      <c r="FNA615" s="294"/>
      <c r="FNB615" s="294"/>
      <c r="FNC615" s="294"/>
      <c r="FND615" s="294"/>
      <c r="FNE615" s="294"/>
      <c r="FNF615" s="294"/>
      <c r="FNG615" s="294"/>
      <c r="FNH615" s="294"/>
      <c r="FNI615" s="294"/>
      <c r="FNJ615" s="294"/>
      <c r="FNK615" s="294"/>
      <c r="FNL615" s="294"/>
      <c r="FNM615" s="294"/>
      <c r="FNN615" s="294"/>
      <c r="FNO615" s="294"/>
      <c r="FNP615" s="294"/>
      <c r="FNQ615" s="294"/>
      <c r="FNR615" s="294"/>
      <c r="FNS615" s="294"/>
      <c r="FNT615" s="294"/>
      <c r="FNU615" s="294"/>
      <c r="FNV615" s="294"/>
      <c r="FNW615" s="294"/>
      <c r="FNX615" s="294"/>
      <c r="FNY615" s="294"/>
      <c r="FNZ615" s="294"/>
      <c r="FOA615" s="294"/>
      <c r="FOB615" s="294"/>
      <c r="FOC615" s="294"/>
      <c r="FOD615" s="294"/>
      <c r="FOE615" s="294"/>
      <c r="FOF615" s="294"/>
      <c r="FOG615" s="294"/>
      <c r="FOH615" s="294"/>
      <c r="FOI615" s="294"/>
      <c r="FOJ615" s="294"/>
      <c r="FOK615" s="294"/>
      <c r="FOL615" s="294"/>
      <c r="FOM615" s="294"/>
      <c r="FON615" s="294"/>
      <c r="FOO615" s="294"/>
      <c r="FOP615" s="294"/>
      <c r="FOQ615" s="294"/>
      <c r="FOR615" s="294"/>
      <c r="FOS615" s="294"/>
      <c r="FOT615" s="294"/>
      <c r="FOU615" s="294"/>
      <c r="FOV615" s="294"/>
      <c r="FOW615" s="294"/>
      <c r="FOX615" s="294"/>
      <c r="FOY615" s="294"/>
      <c r="FOZ615" s="294"/>
      <c r="FPA615" s="294"/>
      <c r="FPB615" s="294"/>
      <c r="FPC615" s="294"/>
      <c r="FPD615" s="294"/>
      <c r="FPE615" s="294"/>
      <c r="FPF615" s="294"/>
      <c r="FPG615" s="294"/>
      <c r="FPH615" s="294"/>
      <c r="FPI615" s="294"/>
      <c r="FPJ615" s="294"/>
      <c r="FPK615" s="294"/>
      <c r="FPL615" s="294"/>
      <c r="FPM615" s="294"/>
      <c r="FPN615" s="294"/>
      <c r="FPO615" s="294"/>
      <c r="FPP615" s="294"/>
      <c r="FPQ615" s="294"/>
      <c r="FPR615" s="294"/>
      <c r="FPS615" s="294"/>
      <c r="FPT615" s="294"/>
      <c r="FPU615" s="294"/>
      <c r="FPV615" s="294"/>
      <c r="FPW615" s="294"/>
      <c r="FPX615" s="294"/>
      <c r="FPY615" s="294"/>
      <c r="FPZ615" s="294"/>
      <c r="FQA615" s="294"/>
      <c r="FQB615" s="294"/>
      <c r="FQC615" s="294"/>
      <c r="FQD615" s="294"/>
      <c r="FQE615" s="294"/>
      <c r="FQF615" s="294"/>
      <c r="FQG615" s="294"/>
      <c r="FQH615" s="294"/>
      <c r="FQI615" s="294"/>
      <c r="FQJ615" s="294"/>
      <c r="FQK615" s="294"/>
      <c r="FQL615" s="294"/>
      <c r="FQM615" s="294"/>
      <c r="FQN615" s="294"/>
      <c r="FQO615" s="294"/>
      <c r="FQP615" s="294"/>
      <c r="FQQ615" s="294"/>
      <c r="FQR615" s="294"/>
      <c r="FQS615" s="294"/>
      <c r="FQT615" s="294"/>
      <c r="FQU615" s="294"/>
      <c r="FQV615" s="294"/>
      <c r="FQW615" s="294"/>
      <c r="FQX615" s="294"/>
      <c r="FQY615" s="294"/>
      <c r="FQZ615" s="294"/>
      <c r="FRA615" s="294"/>
      <c r="FRB615" s="294"/>
      <c r="FRC615" s="294"/>
      <c r="FRD615" s="294"/>
      <c r="FRE615" s="294"/>
      <c r="FRF615" s="294"/>
      <c r="FRG615" s="294"/>
      <c r="FRH615" s="294"/>
      <c r="FRI615" s="294"/>
      <c r="FRJ615" s="294"/>
      <c r="FRK615" s="294"/>
      <c r="FRL615" s="294"/>
      <c r="FRM615" s="294"/>
      <c r="FRN615" s="294"/>
      <c r="FRO615" s="294"/>
      <c r="FRP615" s="294"/>
      <c r="FRQ615" s="294"/>
      <c r="FRR615" s="294"/>
      <c r="FRS615" s="294"/>
      <c r="FRT615" s="294"/>
      <c r="FRU615" s="294"/>
      <c r="FRV615" s="294"/>
      <c r="FRW615" s="294"/>
      <c r="FRX615" s="294"/>
      <c r="FRY615" s="294"/>
      <c r="FRZ615" s="294"/>
      <c r="FSA615" s="294"/>
      <c r="FSB615" s="294"/>
      <c r="FSC615" s="294"/>
      <c r="FSD615" s="294"/>
      <c r="FSE615" s="294"/>
      <c r="FSF615" s="294"/>
      <c r="FSG615" s="294"/>
      <c r="FSH615" s="294"/>
      <c r="FSI615" s="294"/>
      <c r="FSJ615" s="294"/>
      <c r="FSK615" s="294"/>
      <c r="FSL615" s="294"/>
      <c r="FSM615" s="294"/>
      <c r="FSN615" s="294"/>
      <c r="FSO615" s="294"/>
      <c r="FSP615" s="294"/>
      <c r="FSQ615" s="294"/>
      <c r="FSR615" s="294"/>
      <c r="FSS615" s="294"/>
      <c r="FST615" s="294"/>
      <c r="FSU615" s="294"/>
      <c r="FSV615" s="294"/>
      <c r="FSW615" s="294"/>
      <c r="FSX615" s="294"/>
      <c r="FSY615" s="294"/>
      <c r="FSZ615" s="294"/>
      <c r="FTA615" s="294"/>
      <c r="FTB615" s="294"/>
      <c r="FTC615" s="294"/>
      <c r="FTD615" s="294"/>
      <c r="FTE615" s="294"/>
      <c r="FTF615" s="294"/>
      <c r="FTG615" s="294"/>
      <c r="FTH615" s="294"/>
      <c r="FTI615" s="294"/>
      <c r="FTJ615" s="294"/>
      <c r="FTK615" s="294"/>
      <c r="FTL615" s="294"/>
      <c r="FTM615" s="294"/>
      <c r="FTN615" s="294"/>
      <c r="FTO615" s="294"/>
      <c r="FTP615" s="294"/>
      <c r="FTQ615" s="294"/>
      <c r="FTR615" s="294"/>
      <c r="FTS615" s="294"/>
      <c r="FTT615" s="294"/>
      <c r="FTU615" s="294"/>
      <c r="FTV615" s="294"/>
      <c r="FTW615" s="294"/>
      <c r="FTX615" s="294"/>
      <c r="FTY615" s="294"/>
      <c r="FTZ615" s="294"/>
      <c r="FUA615" s="294"/>
      <c r="FUB615" s="294"/>
      <c r="FUC615" s="294"/>
      <c r="FUD615" s="294"/>
      <c r="FUE615" s="294"/>
      <c r="FUF615" s="294"/>
      <c r="FUG615" s="294"/>
      <c r="FUH615" s="294"/>
      <c r="FUI615" s="294"/>
      <c r="FUJ615" s="294"/>
      <c r="FUK615" s="294"/>
      <c r="FUL615" s="294"/>
      <c r="FUM615" s="294"/>
      <c r="FUN615" s="294"/>
      <c r="FUO615" s="294"/>
      <c r="FUP615" s="294"/>
      <c r="FUQ615" s="294"/>
      <c r="FUR615" s="294"/>
      <c r="FUS615" s="294"/>
      <c r="FUT615" s="294"/>
      <c r="FUU615" s="294"/>
      <c r="FUV615" s="294"/>
      <c r="FUW615" s="294"/>
      <c r="FUX615" s="294"/>
      <c r="FUY615" s="294"/>
      <c r="FUZ615" s="294"/>
      <c r="FVA615" s="294"/>
      <c r="FVB615" s="294"/>
      <c r="FVC615" s="294"/>
      <c r="FVD615" s="294"/>
      <c r="FVE615" s="294"/>
      <c r="FVF615" s="294"/>
      <c r="FVG615" s="294"/>
      <c r="FVH615" s="294"/>
      <c r="FVI615" s="294"/>
      <c r="FVJ615" s="294"/>
      <c r="FVK615" s="294"/>
      <c r="FVL615" s="294"/>
      <c r="FVM615" s="294"/>
      <c r="FVN615" s="294"/>
      <c r="FVO615" s="294"/>
      <c r="FVP615" s="294"/>
      <c r="FVQ615" s="294"/>
      <c r="FVR615" s="294"/>
      <c r="FVS615" s="294"/>
      <c r="FVT615" s="294"/>
      <c r="FVU615" s="294"/>
      <c r="FVV615" s="294"/>
      <c r="FVW615" s="294"/>
      <c r="FVX615" s="294"/>
      <c r="FVY615" s="294"/>
      <c r="FVZ615" s="294"/>
      <c r="FWA615" s="294"/>
      <c r="FWB615" s="294"/>
      <c r="FWC615" s="294"/>
      <c r="FWD615" s="294"/>
      <c r="FWE615" s="294"/>
      <c r="FWF615" s="294"/>
      <c r="FWG615" s="294"/>
      <c r="FWH615" s="294"/>
      <c r="FWI615" s="294"/>
      <c r="FWJ615" s="294"/>
      <c r="FWK615" s="294"/>
      <c r="FWL615" s="294"/>
      <c r="FWM615" s="294"/>
      <c r="FWN615" s="294"/>
      <c r="FWO615" s="294"/>
      <c r="FWP615" s="294"/>
      <c r="FWQ615" s="294"/>
      <c r="FWR615" s="294"/>
      <c r="FWS615" s="294"/>
      <c r="FWT615" s="294"/>
      <c r="FWU615" s="294"/>
      <c r="FWV615" s="294"/>
      <c r="FWW615" s="294"/>
      <c r="FWX615" s="294"/>
      <c r="FWY615" s="294"/>
      <c r="FWZ615" s="294"/>
      <c r="FXA615" s="294"/>
      <c r="FXB615" s="294"/>
      <c r="FXC615" s="294"/>
      <c r="FXD615" s="294"/>
      <c r="FXE615" s="294"/>
      <c r="FXF615" s="294"/>
      <c r="FXG615" s="294"/>
      <c r="FXH615" s="294"/>
      <c r="FXI615" s="294"/>
      <c r="FXJ615" s="294"/>
      <c r="FXK615" s="294"/>
      <c r="FXL615" s="294"/>
      <c r="FXM615" s="294"/>
      <c r="FXN615" s="294"/>
      <c r="FXO615" s="294"/>
      <c r="FXP615" s="294"/>
      <c r="FXQ615" s="294"/>
      <c r="FXR615" s="294"/>
      <c r="FXS615" s="294"/>
      <c r="FXT615" s="294"/>
      <c r="FXU615" s="294"/>
      <c r="FXV615" s="294"/>
      <c r="FXW615" s="294"/>
      <c r="FXX615" s="294"/>
      <c r="FXY615" s="294"/>
      <c r="FXZ615" s="294"/>
      <c r="FYA615" s="294"/>
      <c r="FYB615" s="294"/>
      <c r="FYC615" s="294"/>
      <c r="FYD615" s="294"/>
      <c r="FYE615" s="294"/>
      <c r="FYF615" s="294"/>
      <c r="FYG615" s="294"/>
      <c r="FYH615" s="294"/>
      <c r="FYI615" s="294"/>
      <c r="FYJ615" s="294"/>
      <c r="FYK615" s="294"/>
      <c r="FYL615" s="294"/>
      <c r="FYM615" s="294"/>
      <c r="FYN615" s="294"/>
      <c r="FYO615" s="294"/>
      <c r="FYP615" s="294"/>
      <c r="FYQ615" s="294"/>
      <c r="FYR615" s="294"/>
      <c r="FYS615" s="294"/>
      <c r="FYT615" s="294"/>
      <c r="FYU615" s="294"/>
      <c r="FYV615" s="294"/>
      <c r="FYW615" s="294"/>
      <c r="FYX615" s="294"/>
      <c r="FYY615" s="294"/>
      <c r="FYZ615" s="294"/>
      <c r="FZA615" s="294"/>
      <c r="FZB615" s="294"/>
      <c r="FZC615" s="294"/>
      <c r="FZD615" s="294"/>
      <c r="FZE615" s="294"/>
      <c r="FZF615" s="294"/>
      <c r="FZG615" s="294"/>
      <c r="FZH615" s="294"/>
      <c r="FZI615" s="294"/>
      <c r="FZJ615" s="294"/>
      <c r="FZK615" s="294"/>
      <c r="FZL615" s="294"/>
      <c r="FZM615" s="294"/>
      <c r="FZN615" s="294"/>
      <c r="FZO615" s="294"/>
      <c r="FZP615" s="294"/>
      <c r="FZQ615" s="294"/>
      <c r="FZR615" s="294"/>
      <c r="FZS615" s="294"/>
      <c r="FZT615" s="294"/>
      <c r="FZU615" s="294"/>
      <c r="FZV615" s="294"/>
      <c r="FZW615" s="294"/>
      <c r="FZX615" s="294"/>
      <c r="FZY615" s="294"/>
      <c r="FZZ615" s="294"/>
      <c r="GAA615" s="294"/>
      <c r="GAB615" s="294"/>
      <c r="GAC615" s="294"/>
      <c r="GAD615" s="294"/>
      <c r="GAE615" s="294"/>
      <c r="GAF615" s="294"/>
      <c r="GAG615" s="294"/>
      <c r="GAH615" s="294"/>
      <c r="GAI615" s="294"/>
      <c r="GAJ615" s="294"/>
      <c r="GAK615" s="294"/>
      <c r="GAL615" s="294"/>
      <c r="GAM615" s="294"/>
      <c r="GAN615" s="294"/>
      <c r="GAO615" s="294"/>
      <c r="GAP615" s="294"/>
      <c r="GAQ615" s="294"/>
      <c r="GAR615" s="294"/>
      <c r="GAS615" s="294"/>
      <c r="GAT615" s="294"/>
      <c r="GAU615" s="294"/>
      <c r="GAV615" s="294"/>
      <c r="GAW615" s="294"/>
      <c r="GAX615" s="294"/>
      <c r="GAY615" s="294"/>
      <c r="GAZ615" s="294"/>
      <c r="GBA615" s="294"/>
      <c r="GBB615" s="294"/>
      <c r="GBC615" s="294"/>
      <c r="GBD615" s="294"/>
      <c r="GBE615" s="294"/>
      <c r="GBF615" s="294"/>
      <c r="GBG615" s="294"/>
      <c r="GBH615" s="294"/>
      <c r="GBI615" s="294"/>
      <c r="GBJ615" s="294"/>
      <c r="GBK615" s="294"/>
      <c r="GBL615" s="294"/>
      <c r="GBM615" s="294"/>
      <c r="GBN615" s="294"/>
      <c r="GBO615" s="294"/>
      <c r="GBP615" s="294"/>
      <c r="GBQ615" s="294"/>
      <c r="GBR615" s="294"/>
      <c r="GBS615" s="294"/>
      <c r="GBT615" s="294"/>
      <c r="GBU615" s="294"/>
      <c r="GBV615" s="294"/>
      <c r="GBW615" s="294"/>
      <c r="GBX615" s="294"/>
      <c r="GBY615" s="294"/>
      <c r="GBZ615" s="294"/>
      <c r="GCA615" s="294"/>
      <c r="GCB615" s="294"/>
      <c r="GCC615" s="294"/>
      <c r="GCD615" s="294"/>
      <c r="GCE615" s="294"/>
      <c r="GCF615" s="294"/>
      <c r="GCG615" s="294"/>
      <c r="GCH615" s="294"/>
      <c r="GCI615" s="294"/>
      <c r="GCJ615" s="294"/>
      <c r="GCK615" s="294"/>
      <c r="GCL615" s="294"/>
      <c r="GCM615" s="294"/>
      <c r="GCN615" s="294"/>
      <c r="GCO615" s="294"/>
      <c r="GCP615" s="294"/>
      <c r="GCQ615" s="294"/>
      <c r="GCR615" s="294"/>
      <c r="GCS615" s="294"/>
      <c r="GCT615" s="294"/>
      <c r="GCU615" s="294"/>
      <c r="GCV615" s="294"/>
      <c r="GCW615" s="294"/>
      <c r="GCX615" s="294"/>
      <c r="GCY615" s="294"/>
      <c r="GCZ615" s="294"/>
      <c r="GDA615" s="294"/>
      <c r="GDB615" s="294"/>
      <c r="GDC615" s="294"/>
      <c r="GDD615" s="294"/>
      <c r="GDE615" s="294"/>
      <c r="GDF615" s="294"/>
      <c r="GDG615" s="294"/>
      <c r="GDH615" s="294"/>
      <c r="GDI615" s="294"/>
      <c r="GDJ615" s="294"/>
      <c r="GDK615" s="294"/>
      <c r="GDL615" s="294"/>
      <c r="GDM615" s="294"/>
      <c r="GDN615" s="294"/>
      <c r="GDO615" s="294"/>
      <c r="GDP615" s="294"/>
      <c r="GDQ615" s="294"/>
      <c r="GDR615" s="294"/>
      <c r="GDS615" s="294"/>
      <c r="GDT615" s="294"/>
      <c r="GDU615" s="294"/>
      <c r="GDV615" s="294"/>
      <c r="GDW615" s="294"/>
      <c r="GDX615" s="294"/>
      <c r="GDY615" s="294"/>
      <c r="GDZ615" s="294"/>
      <c r="GEA615" s="294"/>
      <c r="GEB615" s="294"/>
      <c r="GEC615" s="294"/>
      <c r="GED615" s="294"/>
      <c r="GEE615" s="294"/>
      <c r="GEF615" s="294"/>
      <c r="GEG615" s="294"/>
      <c r="GEH615" s="294"/>
      <c r="GEI615" s="294"/>
      <c r="GEJ615" s="294"/>
      <c r="GEK615" s="294"/>
      <c r="GEL615" s="294"/>
      <c r="GEM615" s="294"/>
      <c r="GEN615" s="294"/>
      <c r="GEO615" s="294"/>
      <c r="GEP615" s="294"/>
      <c r="GEQ615" s="294"/>
      <c r="GER615" s="294"/>
      <c r="GES615" s="294"/>
      <c r="GET615" s="294"/>
      <c r="GEU615" s="294"/>
      <c r="GEV615" s="294"/>
      <c r="GEW615" s="294"/>
      <c r="GEX615" s="294"/>
      <c r="GEY615" s="294"/>
      <c r="GEZ615" s="294"/>
      <c r="GFA615" s="294"/>
      <c r="GFB615" s="294"/>
      <c r="GFC615" s="294"/>
      <c r="GFD615" s="294"/>
      <c r="GFE615" s="294"/>
      <c r="GFF615" s="294"/>
      <c r="GFG615" s="294"/>
      <c r="GFH615" s="294"/>
      <c r="GFI615" s="294"/>
      <c r="GFJ615" s="294"/>
      <c r="GFK615" s="294"/>
      <c r="GFL615" s="294"/>
      <c r="GFM615" s="294"/>
      <c r="GFN615" s="294"/>
      <c r="GFO615" s="294"/>
      <c r="GFP615" s="294"/>
      <c r="GFQ615" s="294"/>
      <c r="GFR615" s="294"/>
      <c r="GFS615" s="294"/>
      <c r="GFT615" s="294"/>
      <c r="GFU615" s="294"/>
      <c r="GFV615" s="294"/>
      <c r="GFW615" s="294"/>
      <c r="GFX615" s="294"/>
      <c r="GFY615" s="294"/>
      <c r="GFZ615" s="294"/>
      <c r="GGA615" s="294"/>
      <c r="GGB615" s="294"/>
      <c r="GGC615" s="294"/>
      <c r="GGD615" s="294"/>
      <c r="GGE615" s="294"/>
      <c r="GGF615" s="294"/>
      <c r="GGG615" s="294"/>
      <c r="GGH615" s="294"/>
      <c r="GGI615" s="294"/>
      <c r="GGJ615" s="294"/>
      <c r="GGK615" s="294"/>
      <c r="GGL615" s="294"/>
      <c r="GGM615" s="294"/>
      <c r="GGN615" s="294"/>
      <c r="GGO615" s="294"/>
      <c r="GGP615" s="294"/>
      <c r="GGQ615" s="294"/>
      <c r="GGR615" s="294"/>
      <c r="GGS615" s="294"/>
      <c r="GGT615" s="294"/>
      <c r="GGU615" s="294"/>
      <c r="GGV615" s="294"/>
      <c r="GGW615" s="294"/>
      <c r="GGX615" s="294"/>
      <c r="GGY615" s="294"/>
      <c r="GGZ615" s="294"/>
      <c r="GHA615" s="294"/>
      <c r="GHB615" s="294"/>
      <c r="GHC615" s="294"/>
      <c r="GHD615" s="294"/>
      <c r="GHE615" s="294"/>
      <c r="GHF615" s="294"/>
      <c r="GHG615" s="294"/>
      <c r="GHH615" s="294"/>
      <c r="GHI615" s="294"/>
      <c r="GHJ615" s="294"/>
      <c r="GHK615" s="294"/>
      <c r="GHL615" s="294"/>
      <c r="GHM615" s="294"/>
      <c r="GHN615" s="294"/>
      <c r="GHO615" s="294"/>
      <c r="GHP615" s="294"/>
      <c r="GHQ615" s="294"/>
      <c r="GHR615" s="294"/>
      <c r="GHS615" s="294"/>
      <c r="GHT615" s="294"/>
      <c r="GHU615" s="294"/>
      <c r="GHV615" s="294"/>
      <c r="GHW615" s="294"/>
      <c r="GHX615" s="294"/>
      <c r="GHY615" s="294"/>
      <c r="GHZ615" s="294"/>
      <c r="GIA615" s="294"/>
      <c r="GIB615" s="294"/>
      <c r="GIC615" s="294"/>
      <c r="GID615" s="294"/>
      <c r="GIE615" s="294"/>
      <c r="GIF615" s="294"/>
      <c r="GIG615" s="294"/>
      <c r="GIH615" s="294"/>
      <c r="GII615" s="294"/>
      <c r="GIJ615" s="294"/>
      <c r="GIK615" s="294"/>
      <c r="GIL615" s="294"/>
      <c r="GIM615" s="294"/>
      <c r="GIN615" s="294"/>
      <c r="GIO615" s="294"/>
      <c r="GIP615" s="294"/>
      <c r="GIQ615" s="294"/>
      <c r="GIR615" s="294"/>
      <c r="GIS615" s="294"/>
      <c r="GIT615" s="294"/>
      <c r="GIU615" s="294"/>
      <c r="GIV615" s="294"/>
      <c r="GIW615" s="294"/>
      <c r="GIX615" s="294"/>
      <c r="GIY615" s="294"/>
      <c r="GIZ615" s="294"/>
      <c r="GJA615" s="294"/>
      <c r="GJB615" s="294"/>
      <c r="GJC615" s="294"/>
      <c r="GJD615" s="294"/>
      <c r="GJE615" s="294"/>
      <c r="GJF615" s="294"/>
      <c r="GJG615" s="294"/>
      <c r="GJH615" s="294"/>
      <c r="GJI615" s="294"/>
      <c r="GJJ615" s="294"/>
      <c r="GJK615" s="294"/>
      <c r="GJL615" s="294"/>
      <c r="GJM615" s="294"/>
      <c r="GJN615" s="294"/>
      <c r="GJO615" s="294"/>
      <c r="GJP615" s="294"/>
      <c r="GJQ615" s="294"/>
      <c r="GJR615" s="294"/>
      <c r="GJS615" s="294"/>
      <c r="GJT615" s="294"/>
      <c r="GJU615" s="294"/>
      <c r="GJV615" s="294"/>
      <c r="GJW615" s="294"/>
      <c r="GJX615" s="294"/>
      <c r="GJY615" s="294"/>
      <c r="GJZ615" s="294"/>
      <c r="GKA615" s="294"/>
      <c r="GKB615" s="294"/>
      <c r="GKC615" s="294"/>
      <c r="GKD615" s="294"/>
      <c r="GKE615" s="294"/>
      <c r="GKF615" s="294"/>
      <c r="GKG615" s="294"/>
      <c r="GKH615" s="294"/>
      <c r="GKI615" s="294"/>
      <c r="GKJ615" s="294"/>
      <c r="GKK615" s="294"/>
      <c r="GKL615" s="294"/>
      <c r="GKM615" s="294"/>
      <c r="GKN615" s="294"/>
      <c r="GKO615" s="294"/>
      <c r="GKP615" s="294"/>
      <c r="GKQ615" s="294"/>
      <c r="GKR615" s="294"/>
      <c r="GKS615" s="294"/>
      <c r="GKT615" s="294"/>
      <c r="GKU615" s="294"/>
      <c r="GKV615" s="294"/>
      <c r="GKW615" s="294"/>
      <c r="GKX615" s="294"/>
      <c r="GKY615" s="294"/>
      <c r="GKZ615" s="294"/>
      <c r="GLA615" s="294"/>
      <c r="GLB615" s="294"/>
      <c r="GLC615" s="294"/>
      <c r="GLD615" s="294"/>
      <c r="GLE615" s="294"/>
      <c r="GLF615" s="294"/>
      <c r="GLG615" s="294"/>
      <c r="GLH615" s="294"/>
      <c r="GLI615" s="294"/>
      <c r="GLJ615" s="294"/>
      <c r="GLK615" s="294"/>
      <c r="GLL615" s="294"/>
      <c r="GLM615" s="294"/>
      <c r="GLN615" s="294"/>
      <c r="GLO615" s="294"/>
      <c r="GLP615" s="294"/>
      <c r="GLQ615" s="294"/>
      <c r="GLR615" s="294"/>
      <c r="GLS615" s="294"/>
      <c r="GLT615" s="294"/>
      <c r="GLU615" s="294"/>
      <c r="GLV615" s="294"/>
      <c r="GLW615" s="294"/>
      <c r="GLX615" s="294"/>
      <c r="GLY615" s="294"/>
      <c r="GLZ615" s="294"/>
      <c r="GMA615" s="294"/>
      <c r="GMB615" s="294"/>
      <c r="GMC615" s="294"/>
      <c r="GMD615" s="294"/>
      <c r="GME615" s="294"/>
      <c r="GMF615" s="294"/>
      <c r="GMG615" s="294"/>
      <c r="GMH615" s="294"/>
      <c r="GMI615" s="294"/>
      <c r="GMJ615" s="294"/>
      <c r="GMK615" s="294"/>
      <c r="GML615" s="294"/>
      <c r="GMM615" s="294"/>
      <c r="GMN615" s="294"/>
      <c r="GMO615" s="294"/>
      <c r="GMP615" s="294"/>
      <c r="GMQ615" s="294"/>
      <c r="GMR615" s="294"/>
      <c r="GMS615" s="294"/>
      <c r="GMT615" s="294"/>
      <c r="GMU615" s="294"/>
      <c r="GMV615" s="294"/>
      <c r="GMW615" s="294"/>
      <c r="GMX615" s="294"/>
      <c r="GMY615" s="294"/>
      <c r="GMZ615" s="294"/>
      <c r="GNA615" s="294"/>
      <c r="GNB615" s="294"/>
      <c r="GNC615" s="294"/>
      <c r="GND615" s="294"/>
      <c r="GNE615" s="294"/>
      <c r="GNF615" s="294"/>
      <c r="GNG615" s="294"/>
      <c r="GNH615" s="294"/>
      <c r="GNI615" s="294"/>
      <c r="GNJ615" s="294"/>
      <c r="GNK615" s="294"/>
      <c r="GNL615" s="294"/>
      <c r="GNM615" s="294"/>
      <c r="GNN615" s="294"/>
      <c r="GNO615" s="294"/>
      <c r="GNP615" s="294"/>
      <c r="GNQ615" s="294"/>
      <c r="GNR615" s="294"/>
      <c r="GNS615" s="294"/>
      <c r="GNT615" s="294"/>
      <c r="GNU615" s="294"/>
      <c r="GNV615" s="294"/>
      <c r="GNW615" s="294"/>
      <c r="GNX615" s="294"/>
      <c r="GNY615" s="294"/>
      <c r="GNZ615" s="294"/>
      <c r="GOA615" s="294"/>
      <c r="GOB615" s="294"/>
      <c r="GOC615" s="294"/>
      <c r="GOD615" s="294"/>
      <c r="GOE615" s="294"/>
      <c r="GOF615" s="294"/>
      <c r="GOG615" s="294"/>
      <c r="GOH615" s="294"/>
      <c r="GOI615" s="294"/>
      <c r="GOJ615" s="294"/>
      <c r="GOK615" s="294"/>
      <c r="GOL615" s="294"/>
      <c r="GOM615" s="294"/>
      <c r="GON615" s="294"/>
      <c r="GOO615" s="294"/>
      <c r="GOP615" s="294"/>
      <c r="GOQ615" s="294"/>
      <c r="GOR615" s="294"/>
      <c r="GOS615" s="294"/>
      <c r="GOT615" s="294"/>
      <c r="GOU615" s="294"/>
      <c r="GOV615" s="294"/>
      <c r="GOW615" s="294"/>
      <c r="GOX615" s="294"/>
      <c r="GOY615" s="294"/>
      <c r="GOZ615" s="294"/>
      <c r="GPA615" s="294"/>
      <c r="GPB615" s="294"/>
      <c r="GPC615" s="294"/>
      <c r="GPD615" s="294"/>
      <c r="GPE615" s="294"/>
      <c r="GPF615" s="294"/>
      <c r="GPG615" s="294"/>
      <c r="GPH615" s="294"/>
      <c r="GPI615" s="294"/>
      <c r="GPJ615" s="294"/>
      <c r="GPK615" s="294"/>
      <c r="GPL615" s="294"/>
      <c r="GPM615" s="294"/>
      <c r="GPN615" s="294"/>
      <c r="GPO615" s="294"/>
      <c r="GPP615" s="294"/>
      <c r="GPQ615" s="294"/>
      <c r="GPR615" s="294"/>
      <c r="GPS615" s="294"/>
      <c r="GPT615" s="294"/>
      <c r="GPU615" s="294"/>
      <c r="GPV615" s="294"/>
      <c r="GPW615" s="294"/>
      <c r="GPX615" s="294"/>
      <c r="GPY615" s="294"/>
      <c r="GPZ615" s="294"/>
      <c r="GQA615" s="294"/>
      <c r="GQB615" s="294"/>
      <c r="GQC615" s="294"/>
      <c r="GQD615" s="294"/>
      <c r="GQE615" s="294"/>
      <c r="GQF615" s="294"/>
      <c r="GQG615" s="294"/>
      <c r="GQH615" s="294"/>
      <c r="GQI615" s="294"/>
      <c r="GQJ615" s="294"/>
      <c r="GQK615" s="294"/>
      <c r="GQL615" s="294"/>
      <c r="GQM615" s="294"/>
      <c r="GQN615" s="294"/>
      <c r="GQO615" s="294"/>
      <c r="GQP615" s="294"/>
      <c r="GQQ615" s="294"/>
      <c r="GQR615" s="294"/>
      <c r="GQS615" s="294"/>
      <c r="GQT615" s="294"/>
      <c r="GQU615" s="294"/>
      <c r="GQV615" s="294"/>
      <c r="GQW615" s="294"/>
      <c r="GQX615" s="294"/>
      <c r="GQY615" s="294"/>
      <c r="GQZ615" s="294"/>
      <c r="GRA615" s="294"/>
      <c r="GRB615" s="294"/>
      <c r="GRC615" s="294"/>
      <c r="GRD615" s="294"/>
      <c r="GRE615" s="294"/>
      <c r="GRF615" s="294"/>
      <c r="GRG615" s="294"/>
      <c r="GRH615" s="294"/>
      <c r="GRI615" s="294"/>
      <c r="GRJ615" s="294"/>
      <c r="GRK615" s="294"/>
      <c r="GRL615" s="294"/>
      <c r="GRM615" s="294"/>
      <c r="GRN615" s="294"/>
      <c r="GRO615" s="294"/>
      <c r="GRP615" s="294"/>
      <c r="GRQ615" s="294"/>
      <c r="GRR615" s="294"/>
      <c r="GRS615" s="294"/>
      <c r="GRT615" s="294"/>
      <c r="GRU615" s="294"/>
      <c r="GRV615" s="294"/>
      <c r="GRW615" s="294"/>
      <c r="GRX615" s="294"/>
      <c r="GRY615" s="294"/>
      <c r="GRZ615" s="294"/>
      <c r="GSA615" s="294"/>
      <c r="GSB615" s="294"/>
      <c r="GSC615" s="294"/>
      <c r="GSD615" s="294"/>
      <c r="GSE615" s="294"/>
      <c r="GSF615" s="294"/>
      <c r="GSG615" s="294"/>
      <c r="GSH615" s="294"/>
      <c r="GSI615" s="294"/>
      <c r="GSJ615" s="294"/>
      <c r="GSK615" s="294"/>
      <c r="GSL615" s="294"/>
      <c r="GSM615" s="294"/>
      <c r="GSN615" s="294"/>
      <c r="GSO615" s="294"/>
      <c r="GSP615" s="294"/>
      <c r="GSQ615" s="294"/>
      <c r="GSR615" s="294"/>
      <c r="GSS615" s="294"/>
      <c r="GST615" s="294"/>
      <c r="GSU615" s="294"/>
      <c r="GSV615" s="294"/>
      <c r="GSW615" s="294"/>
      <c r="GSX615" s="294"/>
      <c r="GSY615" s="294"/>
      <c r="GSZ615" s="294"/>
      <c r="GTA615" s="294"/>
      <c r="GTB615" s="294"/>
      <c r="GTC615" s="294"/>
      <c r="GTD615" s="294"/>
      <c r="GTE615" s="294"/>
      <c r="GTF615" s="294"/>
      <c r="GTG615" s="294"/>
      <c r="GTH615" s="294"/>
      <c r="GTI615" s="294"/>
      <c r="GTJ615" s="294"/>
      <c r="GTK615" s="294"/>
      <c r="GTL615" s="294"/>
      <c r="GTM615" s="294"/>
      <c r="GTN615" s="294"/>
      <c r="GTO615" s="294"/>
      <c r="GTP615" s="294"/>
      <c r="GTQ615" s="294"/>
      <c r="GTR615" s="294"/>
      <c r="GTS615" s="294"/>
      <c r="GTT615" s="294"/>
      <c r="GTU615" s="294"/>
      <c r="GTV615" s="294"/>
      <c r="GTW615" s="294"/>
      <c r="GTX615" s="294"/>
      <c r="GTY615" s="294"/>
      <c r="GTZ615" s="294"/>
      <c r="GUA615" s="294"/>
      <c r="GUB615" s="294"/>
      <c r="GUC615" s="294"/>
      <c r="GUD615" s="294"/>
      <c r="GUE615" s="294"/>
      <c r="GUF615" s="294"/>
      <c r="GUG615" s="294"/>
      <c r="GUH615" s="294"/>
      <c r="GUI615" s="294"/>
      <c r="GUJ615" s="294"/>
      <c r="GUK615" s="294"/>
      <c r="GUL615" s="294"/>
      <c r="GUM615" s="294"/>
      <c r="GUN615" s="294"/>
      <c r="GUO615" s="294"/>
      <c r="GUP615" s="294"/>
      <c r="GUQ615" s="294"/>
      <c r="GUR615" s="294"/>
      <c r="GUS615" s="294"/>
      <c r="GUT615" s="294"/>
      <c r="GUU615" s="294"/>
      <c r="GUV615" s="294"/>
      <c r="GUW615" s="294"/>
      <c r="GUX615" s="294"/>
      <c r="GUY615" s="294"/>
      <c r="GUZ615" s="294"/>
      <c r="GVA615" s="294"/>
      <c r="GVB615" s="294"/>
      <c r="GVC615" s="294"/>
      <c r="GVD615" s="294"/>
      <c r="GVE615" s="294"/>
      <c r="GVF615" s="294"/>
      <c r="GVG615" s="294"/>
      <c r="GVH615" s="294"/>
      <c r="GVI615" s="294"/>
      <c r="GVJ615" s="294"/>
      <c r="GVK615" s="294"/>
      <c r="GVL615" s="294"/>
      <c r="GVM615" s="294"/>
      <c r="GVN615" s="294"/>
      <c r="GVO615" s="294"/>
      <c r="GVP615" s="294"/>
      <c r="GVQ615" s="294"/>
      <c r="GVR615" s="294"/>
      <c r="GVS615" s="294"/>
      <c r="GVT615" s="294"/>
      <c r="GVU615" s="294"/>
      <c r="GVV615" s="294"/>
      <c r="GVW615" s="294"/>
      <c r="GVX615" s="294"/>
      <c r="GVY615" s="294"/>
      <c r="GVZ615" s="294"/>
      <c r="GWA615" s="294"/>
      <c r="GWB615" s="294"/>
      <c r="GWC615" s="294"/>
      <c r="GWD615" s="294"/>
      <c r="GWE615" s="294"/>
      <c r="GWF615" s="294"/>
      <c r="GWG615" s="294"/>
      <c r="GWH615" s="294"/>
      <c r="GWI615" s="294"/>
      <c r="GWJ615" s="294"/>
      <c r="GWK615" s="294"/>
      <c r="GWL615" s="294"/>
      <c r="GWM615" s="294"/>
      <c r="GWN615" s="294"/>
      <c r="GWO615" s="294"/>
      <c r="GWP615" s="294"/>
      <c r="GWQ615" s="294"/>
      <c r="GWR615" s="294"/>
      <c r="GWS615" s="294"/>
      <c r="GWT615" s="294"/>
      <c r="GWU615" s="294"/>
      <c r="GWV615" s="294"/>
      <c r="GWW615" s="294"/>
      <c r="GWX615" s="294"/>
      <c r="GWY615" s="294"/>
      <c r="GWZ615" s="294"/>
      <c r="GXA615" s="294"/>
      <c r="GXB615" s="294"/>
      <c r="GXC615" s="294"/>
      <c r="GXD615" s="294"/>
      <c r="GXE615" s="294"/>
      <c r="GXF615" s="294"/>
      <c r="GXG615" s="294"/>
      <c r="GXH615" s="294"/>
      <c r="GXI615" s="294"/>
      <c r="GXJ615" s="294"/>
      <c r="GXK615" s="294"/>
      <c r="GXL615" s="294"/>
      <c r="GXM615" s="294"/>
      <c r="GXN615" s="294"/>
      <c r="GXO615" s="294"/>
      <c r="GXP615" s="294"/>
      <c r="GXQ615" s="294"/>
      <c r="GXR615" s="294"/>
      <c r="GXS615" s="294"/>
      <c r="GXT615" s="294"/>
      <c r="GXU615" s="294"/>
      <c r="GXV615" s="294"/>
      <c r="GXW615" s="294"/>
      <c r="GXX615" s="294"/>
      <c r="GXY615" s="294"/>
      <c r="GXZ615" s="294"/>
      <c r="GYA615" s="294"/>
      <c r="GYB615" s="294"/>
      <c r="GYC615" s="294"/>
      <c r="GYD615" s="294"/>
      <c r="GYE615" s="294"/>
      <c r="GYF615" s="294"/>
      <c r="GYG615" s="294"/>
      <c r="GYH615" s="294"/>
      <c r="GYI615" s="294"/>
      <c r="GYJ615" s="294"/>
      <c r="GYK615" s="294"/>
      <c r="GYL615" s="294"/>
      <c r="GYM615" s="294"/>
      <c r="GYN615" s="294"/>
      <c r="GYO615" s="294"/>
      <c r="GYP615" s="294"/>
      <c r="GYQ615" s="294"/>
      <c r="GYR615" s="294"/>
      <c r="GYS615" s="294"/>
      <c r="GYT615" s="294"/>
      <c r="GYU615" s="294"/>
      <c r="GYV615" s="294"/>
      <c r="GYW615" s="294"/>
      <c r="GYX615" s="294"/>
      <c r="GYY615" s="294"/>
      <c r="GYZ615" s="294"/>
      <c r="GZA615" s="294"/>
      <c r="GZB615" s="294"/>
      <c r="GZC615" s="294"/>
      <c r="GZD615" s="294"/>
      <c r="GZE615" s="294"/>
      <c r="GZF615" s="294"/>
      <c r="GZG615" s="294"/>
      <c r="GZH615" s="294"/>
      <c r="GZI615" s="294"/>
      <c r="GZJ615" s="294"/>
      <c r="GZK615" s="294"/>
      <c r="GZL615" s="294"/>
      <c r="GZM615" s="294"/>
      <c r="GZN615" s="294"/>
      <c r="GZO615" s="294"/>
      <c r="GZP615" s="294"/>
      <c r="GZQ615" s="294"/>
      <c r="GZR615" s="294"/>
      <c r="GZS615" s="294"/>
      <c r="GZT615" s="294"/>
      <c r="GZU615" s="294"/>
      <c r="GZV615" s="294"/>
      <c r="GZW615" s="294"/>
      <c r="GZX615" s="294"/>
      <c r="GZY615" s="294"/>
      <c r="GZZ615" s="294"/>
      <c r="HAA615" s="294"/>
      <c r="HAB615" s="294"/>
      <c r="HAC615" s="294"/>
      <c r="HAD615" s="294"/>
      <c r="HAE615" s="294"/>
      <c r="HAF615" s="294"/>
      <c r="HAG615" s="294"/>
      <c r="HAH615" s="294"/>
      <c r="HAI615" s="294"/>
      <c r="HAJ615" s="294"/>
      <c r="HAK615" s="294"/>
      <c r="HAL615" s="294"/>
      <c r="HAM615" s="294"/>
      <c r="HAN615" s="294"/>
      <c r="HAO615" s="294"/>
      <c r="HAP615" s="294"/>
      <c r="HAQ615" s="294"/>
      <c r="HAR615" s="294"/>
      <c r="HAS615" s="294"/>
      <c r="HAT615" s="294"/>
      <c r="HAU615" s="294"/>
      <c r="HAV615" s="294"/>
      <c r="HAW615" s="294"/>
      <c r="HAX615" s="294"/>
      <c r="HAY615" s="294"/>
      <c r="HAZ615" s="294"/>
      <c r="HBA615" s="294"/>
      <c r="HBB615" s="294"/>
      <c r="HBC615" s="294"/>
      <c r="HBD615" s="294"/>
      <c r="HBE615" s="294"/>
      <c r="HBF615" s="294"/>
      <c r="HBG615" s="294"/>
      <c r="HBH615" s="294"/>
      <c r="HBI615" s="294"/>
      <c r="HBJ615" s="294"/>
      <c r="HBK615" s="294"/>
      <c r="HBL615" s="294"/>
      <c r="HBM615" s="294"/>
      <c r="HBN615" s="294"/>
      <c r="HBO615" s="294"/>
      <c r="HBP615" s="294"/>
      <c r="HBQ615" s="294"/>
      <c r="HBR615" s="294"/>
      <c r="HBS615" s="294"/>
      <c r="HBT615" s="294"/>
      <c r="HBU615" s="294"/>
      <c r="HBV615" s="294"/>
      <c r="HBW615" s="294"/>
      <c r="HBX615" s="294"/>
      <c r="HBY615" s="294"/>
      <c r="HBZ615" s="294"/>
      <c r="HCA615" s="294"/>
      <c r="HCB615" s="294"/>
      <c r="HCC615" s="294"/>
      <c r="HCD615" s="294"/>
      <c r="HCE615" s="294"/>
      <c r="HCF615" s="294"/>
      <c r="HCG615" s="294"/>
      <c r="HCH615" s="294"/>
      <c r="HCI615" s="294"/>
      <c r="HCJ615" s="294"/>
      <c r="HCK615" s="294"/>
      <c r="HCL615" s="294"/>
      <c r="HCM615" s="294"/>
      <c r="HCN615" s="294"/>
      <c r="HCO615" s="294"/>
      <c r="HCP615" s="294"/>
      <c r="HCQ615" s="294"/>
      <c r="HCR615" s="294"/>
      <c r="HCS615" s="294"/>
      <c r="HCT615" s="294"/>
      <c r="HCU615" s="294"/>
      <c r="HCV615" s="294"/>
      <c r="HCW615" s="294"/>
      <c r="HCX615" s="294"/>
      <c r="HCY615" s="294"/>
      <c r="HCZ615" s="294"/>
      <c r="HDA615" s="294"/>
      <c r="HDB615" s="294"/>
      <c r="HDC615" s="294"/>
      <c r="HDD615" s="294"/>
      <c r="HDE615" s="294"/>
      <c r="HDF615" s="294"/>
      <c r="HDG615" s="294"/>
      <c r="HDH615" s="294"/>
      <c r="HDI615" s="294"/>
      <c r="HDJ615" s="294"/>
      <c r="HDK615" s="294"/>
      <c r="HDL615" s="294"/>
      <c r="HDM615" s="294"/>
      <c r="HDN615" s="294"/>
      <c r="HDO615" s="294"/>
      <c r="HDP615" s="294"/>
      <c r="HDQ615" s="294"/>
      <c r="HDR615" s="294"/>
      <c r="HDS615" s="294"/>
      <c r="HDT615" s="294"/>
      <c r="HDU615" s="294"/>
      <c r="HDV615" s="294"/>
      <c r="HDW615" s="294"/>
      <c r="HDX615" s="294"/>
      <c r="HDY615" s="294"/>
      <c r="HDZ615" s="294"/>
      <c r="HEA615" s="294"/>
      <c r="HEB615" s="294"/>
      <c r="HEC615" s="294"/>
      <c r="HED615" s="294"/>
      <c r="HEE615" s="294"/>
      <c r="HEF615" s="294"/>
      <c r="HEG615" s="294"/>
      <c r="HEH615" s="294"/>
      <c r="HEI615" s="294"/>
      <c r="HEJ615" s="294"/>
      <c r="HEK615" s="294"/>
      <c r="HEL615" s="294"/>
      <c r="HEM615" s="294"/>
      <c r="HEN615" s="294"/>
      <c r="HEO615" s="294"/>
      <c r="HEP615" s="294"/>
      <c r="HEQ615" s="294"/>
      <c r="HER615" s="294"/>
      <c r="HES615" s="294"/>
      <c r="HET615" s="294"/>
      <c r="HEU615" s="294"/>
      <c r="HEV615" s="294"/>
      <c r="HEW615" s="294"/>
      <c r="HEX615" s="294"/>
      <c r="HEY615" s="294"/>
      <c r="HEZ615" s="294"/>
      <c r="HFA615" s="294"/>
      <c r="HFB615" s="294"/>
      <c r="HFC615" s="294"/>
      <c r="HFD615" s="294"/>
      <c r="HFE615" s="294"/>
      <c r="HFF615" s="294"/>
      <c r="HFG615" s="294"/>
      <c r="HFH615" s="294"/>
      <c r="HFI615" s="294"/>
      <c r="HFJ615" s="294"/>
      <c r="HFK615" s="294"/>
      <c r="HFL615" s="294"/>
      <c r="HFM615" s="294"/>
      <c r="HFN615" s="294"/>
      <c r="HFO615" s="294"/>
      <c r="HFP615" s="294"/>
      <c r="HFQ615" s="294"/>
      <c r="HFR615" s="294"/>
      <c r="HFS615" s="294"/>
      <c r="HFT615" s="294"/>
      <c r="HFU615" s="294"/>
      <c r="HFV615" s="294"/>
      <c r="HFW615" s="294"/>
      <c r="HFX615" s="294"/>
      <c r="HFY615" s="294"/>
      <c r="HFZ615" s="294"/>
      <c r="HGA615" s="294"/>
      <c r="HGB615" s="294"/>
      <c r="HGC615" s="294"/>
      <c r="HGD615" s="294"/>
      <c r="HGE615" s="294"/>
      <c r="HGF615" s="294"/>
      <c r="HGG615" s="294"/>
      <c r="HGH615" s="294"/>
      <c r="HGI615" s="294"/>
      <c r="HGJ615" s="294"/>
      <c r="HGK615" s="294"/>
      <c r="HGL615" s="294"/>
      <c r="HGM615" s="294"/>
      <c r="HGN615" s="294"/>
      <c r="HGO615" s="294"/>
      <c r="HGP615" s="294"/>
      <c r="HGQ615" s="294"/>
      <c r="HGR615" s="294"/>
      <c r="HGS615" s="294"/>
      <c r="HGT615" s="294"/>
      <c r="HGU615" s="294"/>
      <c r="HGV615" s="294"/>
      <c r="HGW615" s="294"/>
      <c r="HGX615" s="294"/>
      <c r="HGY615" s="294"/>
      <c r="HGZ615" s="294"/>
      <c r="HHA615" s="294"/>
      <c r="HHB615" s="294"/>
      <c r="HHC615" s="294"/>
      <c r="HHD615" s="294"/>
      <c r="HHE615" s="294"/>
      <c r="HHF615" s="294"/>
      <c r="HHG615" s="294"/>
      <c r="HHH615" s="294"/>
      <c r="HHI615" s="294"/>
      <c r="HHJ615" s="294"/>
      <c r="HHK615" s="294"/>
      <c r="HHL615" s="294"/>
      <c r="HHM615" s="294"/>
      <c r="HHN615" s="294"/>
      <c r="HHO615" s="294"/>
      <c r="HHP615" s="294"/>
      <c r="HHQ615" s="294"/>
      <c r="HHR615" s="294"/>
      <c r="HHS615" s="294"/>
      <c r="HHT615" s="294"/>
      <c r="HHU615" s="294"/>
      <c r="HHV615" s="294"/>
      <c r="HHW615" s="294"/>
      <c r="HHX615" s="294"/>
      <c r="HHY615" s="294"/>
      <c r="HHZ615" s="294"/>
      <c r="HIA615" s="294"/>
      <c r="HIB615" s="294"/>
      <c r="HIC615" s="294"/>
      <c r="HID615" s="294"/>
      <c r="HIE615" s="294"/>
      <c r="HIF615" s="294"/>
      <c r="HIG615" s="294"/>
      <c r="HIH615" s="294"/>
      <c r="HII615" s="294"/>
      <c r="HIJ615" s="294"/>
      <c r="HIK615" s="294"/>
      <c r="HIL615" s="294"/>
      <c r="HIM615" s="294"/>
      <c r="HIN615" s="294"/>
      <c r="HIO615" s="294"/>
      <c r="HIP615" s="294"/>
      <c r="HIQ615" s="294"/>
      <c r="HIR615" s="294"/>
      <c r="HIS615" s="294"/>
      <c r="HIT615" s="294"/>
      <c r="HIU615" s="294"/>
      <c r="HIV615" s="294"/>
      <c r="HIW615" s="294"/>
      <c r="HIX615" s="294"/>
      <c r="HIY615" s="294"/>
      <c r="HIZ615" s="294"/>
      <c r="HJA615" s="294"/>
      <c r="HJB615" s="294"/>
      <c r="HJC615" s="294"/>
      <c r="HJD615" s="294"/>
      <c r="HJE615" s="294"/>
      <c r="HJF615" s="294"/>
      <c r="HJG615" s="294"/>
      <c r="HJH615" s="294"/>
      <c r="HJI615" s="294"/>
      <c r="HJJ615" s="294"/>
      <c r="HJK615" s="294"/>
      <c r="HJL615" s="294"/>
      <c r="HJM615" s="294"/>
      <c r="HJN615" s="294"/>
      <c r="HJO615" s="294"/>
      <c r="HJP615" s="294"/>
      <c r="HJQ615" s="294"/>
      <c r="HJR615" s="294"/>
      <c r="HJS615" s="294"/>
      <c r="HJT615" s="294"/>
      <c r="HJU615" s="294"/>
      <c r="HJV615" s="294"/>
      <c r="HJW615" s="294"/>
      <c r="HJX615" s="294"/>
      <c r="HJY615" s="294"/>
      <c r="HJZ615" s="294"/>
      <c r="HKA615" s="294"/>
      <c r="HKB615" s="294"/>
      <c r="HKC615" s="294"/>
      <c r="HKD615" s="294"/>
      <c r="HKE615" s="294"/>
      <c r="HKF615" s="294"/>
      <c r="HKG615" s="294"/>
      <c r="HKH615" s="294"/>
      <c r="HKI615" s="294"/>
      <c r="HKJ615" s="294"/>
      <c r="HKK615" s="294"/>
      <c r="HKL615" s="294"/>
      <c r="HKM615" s="294"/>
      <c r="HKN615" s="294"/>
      <c r="HKO615" s="294"/>
      <c r="HKP615" s="294"/>
      <c r="HKQ615" s="294"/>
      <c r="HKR615" s="294"/>
      <c r="HKS615" s="294"/>
      <c r="HKT615" s="294"/>
      <c r="HKU615" s="294"/>
      <c r="HKV615" s="294"/>
      <c r="HKW615" s="294"/>
      <c r="HKX615" s="294"/>
      <c r="HKY615" s="294"/>
      <c r="HKZ615" s="294"/>
      <c r="HLA615" s="294"/>
      <c r="HLB615" s="294"/>
      <c r="HLC615" s="294"/>
      <c r="HLD615" s="294"/>
      <c r="HLE615" s="294"/>
      <c r="HLF615" s="294"/>
      <c r="HLG615" s="294"/>
      <c r="HLH615" s="294"/>
      <c r="HLI615" s="294"/>
      <c r="HLJ615" s="294"/>
      <c r="HLK615" s="294"/>
      <c r="HLL615" s="294"/>
      <c r="HLM615" s="294"/>
      <c r="HLN615" s="294"/>
      <c r="HLO615" s="294"/>
      <c r="HLP615" s="294"/>
      <c r="HLQ615" s="294"/>
      <c r="HLR615" s="294"/>
      <c r="HLS615" s="294"/>
      <c r="HLT615" s="294"/>
      <c r="HLU615" s="294"/>
      <c r="HLV615" s="294"/>
      <c r="HLW615" s="294"/>
      <c r="HLX615" s="294"/>
      <c r="HLY615" s="294"/>
      <c r="HLZ615" s="294"/>
      <c r="HMA615" s="294"/>
      <c r="HMB615" s="294"/>
      <c r="HMC615" s="294"/>
      <c r="HMD615" s="294"/>
      <c r="HME615" s="294"/>
      <c r="HMF615" s="294"/>
      <c r="HMG615" s="294"/>
      <c r="HMH615" s="294"/>
      <c r="HMI615" s="294"/>
      <c r="HMJ615" s="294"/>
      <c r="HMK615" s="294"/>
      <c r="HML615" s="294"/>
      <c r="HMM615" s="294"/>
      <c r="HMN615" s="294"/>
      <c r="HMO615" s="294"/>
      <c r="HMP615" s="294"/>
      <c r="HMQ615" s="294"/>
      <c r="HMR615" s="294"/>
      <c r="HMS615" s="294"/>
      <c r="HMT615" s="294"/>
      <c r="HMU615" s="294"/>
      <c r="HMV615" s="294"/>
      <c r="HMW615" s="294"/>
      <c r="HMX615" s="294"/>
      <c r="HMY615" s="294"/>
      <c r="HMZ615" s="294"/>
      <c r="HNA615" s="294"/>
      <c r="HNB615" s="294"/>
      <c r="HNC615" s="294"/>
      <c r="HND615" s="294"/>
      <c r="HNE615" s="294"/>
      <c r="HNF615" s="294"/>
      <c r="HNG615" s="294"/>
      <c r="HNH615" s="294"/>
      <c r="HNI615" s="294"/>
      <c r="HNJ615" s="294"/>
      <c r="HNK615" s="294"/>
      <c r="HNL615" s="294"/>
      <c r="HNM615" s="294"/>
      <c r="HNN615" s="294"/>
      <c r="HNO615" s="294"/>
      <c r="HNP615" s="294"/>
      <c r="HNQ615" s="294"/>
      <c r="HNR615" s="294"/>
      <c r="HNS615" s="294"/>
      <c r="HNT615" s="294"/>
      <c r="HNU615" s="294"/>
      <c r="HNV615" s="294"/>
      <c r="HNW615" s="294"/>
      <c r="HNX615" s="294"/>
      <c r="HNY615" s="294"/>
      <c r="HNZ615" s="294"/>
      <c r="HOA615" s="294"/>
      <c r="HOB615" s="294"/>
      <c r="HOC615" s="294"/>
      <c r="HOD615" s="294"/>
      <c r="HOE615" s="294"/>
      <c r="HOF615" s="294"/>
      <c r="HOG615" s="294"/>
      <c r="HOH615" s="294"/>
      <c r="HOI615" s="294"/>
      <c r="HOJ615" s="294"/>
      <c r="HOK615" s="294"/>
      <c r="HOL615" s="294"/>
      <c r="HOM615" s="294"/>
      <c r="HON615" s="294"/>
      <c r="HOO615" s="294"/>
      <c r="HOP615" s="294"/>
      <c r="HOQ615" s="294"/>
      <c r="HOR615" s="294"/>
      <c r="HOS615" s="294"/>
      <c r="HOT615" s="294"/>
      <c r="HOU615" s="294"/>
      <c r="HOV615" s="294"/>
      <c r="HOW615" s="294"/>
      <c r="HOX615" s="294"/>
      <c r="HOY615" s="294"/>
      <c r="HOZ615" s="294"/>
      <c r="HPA615" s="294"/>
      <c r="HPB615" s="294"/>
      <c r="HPC615" s="294"/>
      <c r="HPD615" s="294"/>
      <c r="HPE615" s="294"/>
      <c r="HPF615" s="294"/>
      <c r="HPG615" s="294"/>
      <c r="HPH615" s="294"/>
      <c r="HPI615" s="294"/>
      <c r="HPJ615" s="294"/>
      <c r="HPK615" s="294"/>
      <c r="HPL615" s="294"/>
      <c r="HPM615" s="294"/>
      <c r="HPN615" s="294"/>
      <c r="HPO615" s="294"/>
      <c r="HPP615" s="294"/>
      <c r="HPQ615" s="294"/>
      <c r="HPR615" s="294"/>
      <c r="HPS615" s="294"/>
      <c r="HPT615" s="294"/>
      <c r="HPU615" s="294"/>
      <c r="HPV615" s="294"/>
      <c r="HPW615" s="294"/>
      <c r="HPX615" s="294"/>
      <c r="HPY615" s="294"/>
      <c r="HPZ615" s="294"/>
      <c r="HQA615" s="294"/>
      <c r="HQB615" s="294"/>
      <c r="HQC615" s="294"/>
      <c r="HQD615" s="294"/>
      <c r="HQE615" s="294"/>
      <c r="HQF615" s="294"/>
      <c r="HQG615" s="294"/>
      <c r="HQH615" s="294"/>
      <c r="HQI615" s="294"/>
      <c r="HQJ615" s="294"/>
      <c r="HQK615" s="294"/>
      <c r="HQL615" s="294"/>
      <c r="HQM615" s="294"/>
      <c r="HQN615" s="294"/>
      <c r="HQO615" s="294"/>
      <c r="HQP615" s="294"/>
      <c r="HQQ615" s="294"/>
      <c r="HQR615" s="294"/>
      <c r="HQS615" s="294"/>
      <c r="HQT615" s="294"/>
      <c r="HQU615" s="294"/>
      <c r="HQV615" s="294"/>
      <c r="HQW615" s="294"/>
      <c r="HQX615" s="294"/>
      <c r="HQY615" s="294"/>
      <c r="HQZ615" s="294"/>
      <c r="HRA615" s="294"/>
      <c r="HRB615" s="294"/>
      <c r="HRC615" s="294"/>
      <c r="HRD615" s="294"/>
      <c r="HRE615" s="294"/>
      <c r="HRF615" s="294"/>
      <c r="HRG615" s="294"/>
      <c r="HRH615" s="294"/>
      <c r="HRI615" s="294"/>
      <c r="HRJ615" s="294"/>
      <c r="HRK615" s="294"/>
      <c r="HRL615" s="294"/>
      <c r="HRM615" s="294"/>
      <c r="HRN615" s="294"/>
      <c r="HRO615" s="294"/>
      <c r="HRP615" s="294"/>
      <c r="HRQ615" s="294"/>
      <c r="HRR615" s="294"/>
      <c r="HRS615" s="294"/>
      <c r="HRT615" s="294"/>
      <c r="HRU615" s="294"/>
      <c r="HRV615" s="294"/>
      <c r="HRW615" s="294"/>
      <c r="HRX615" s="294"/>
      <c r="HRY615" s="294"/>
      <c r="HRZ615" s="294"/>
      <c r="HSA615" s="294"/>
      <c r="HSB615" s="294"/>
      <c r="HSC615" s="294"/>
      <c r="HSD615" s="294"/>
      <c r="HSE615" s="294"/>
      <c r="HSF615" s="294"/>
      <c r="HSG615" s="294"/>
      <c r="HSH615" s="294"/>
      <c r="HSI615" s="294"/>
      <c r="HSJ615" s="294"/>
      <c r="HSK615" s="294"/>
      <c r="HSL615" s="294"/>
      <c r="HSM615" s="294"/>
      <c r="HSN615" s="294"/>
      <c r="HSO615" s="294"/>
      <c r="HSP615" s="294"/>
      <c r="HSQ615" s="294"/>
      <c r="HSR615" s="294"/>
      <c r="HSS615" s="294"/>
      <c r="HST615" s="294"/>
      <c r="HSU615" s="294"/>
      <c r="HSV615" s="294"/>
      <c r="HSW615" s="294"/>
      <c r="HSX615" s="294"/>
      <c r="HSY615" s="294"/>
      <c r="HSZ615" s="294"/>
      <c r="HTA615" s="294"/>
      <c r="HTB615" s="294"/>
      <c r="HTC615" s="294"/>
      <c r="HTD615" s="294"/>
      <c r="HTE615" s="294"/>
      <c r="HTF615" s="294"/>
      <c r="HTG615" s="294"/>
      <c r="HTH615" s="294"/>
      <c r="HTI615" s="294"/>
      <c r="HTJ615" s="294"/>
      <c r="HTK615" s="294"/>
      <c r="HTL615" s="294"/>
      <c r="HTM615" s="294"/>
      <c r="HTN615" s="294"/>
      <c r="HTO615" s="294"/>
      <c r="HTP615" s="294"/>
      <c r="HTQ615" s="294"/>
      <c r="HTR615" s="294"/>
      <c r="HTS615" s="294"/>
      <c r="HTT615" s="294"/>
      <c r="HTU615" s="294"/>
      <c r="HTV615" s="294"/>
      <c r="HTW615" s="294"/>
      <c r="HTX615" s="294"/>
      <c r="HTY615" s="294"/>
      <c r="HTZ615" s="294"/>
      <c r="HUA615" s="294"/>
      <c r="HUB615" s="294"/>
      <c r="HUC615" s="294"/>
      <c r="HUD615" s="294"/>
      <c r="HUE615" s="294"/>
      <c r="HUF615" s="294"/>
      <c r="HUG615" s="294"/>
      <c r="HUH615" s="294"/>
      <c r="HUI615" s="294"/>
      <c r="HUJ615" s="294"/>
      <c r="HUK615" s="294"/>
      <c r="HUL615" s="294"/>
      <c r="HUM615" s="294"/>
      <c r="HUN615" s="294"/>
      <c r="HUO615" s="294"/>
      <c r="HUP615" s="294"/>
      <c r="HUQ615" s="294"/>
      <c r="HUR615" s="294"/>
      <c r="HUS615" s="294"/>
      <c r="HUT615" s="294"/>
      <c r="HUU615" s="294"/>
      <c r="HUV615" s="294"/>
      <c r="HUW615" s="294"/>
      <c r="HUX615" s="294"/>
      <c r="HUY615" s="294"/>
      <c r="HUZ615" s="294"/>
      <c r="HVA615" s="294"/>
      <c r="HVB615" s="294"/>
      <c r="HVC615" s="294"/>
      <c r="HVD615" s="294"/>
      <c r="HVE615" s="294"/>
      <c r="HVF615" s="294"/>
      <c r="HVG615" s="294"/>
      <c r="HVH615" s="294"/>
      <c r="HVI615" s="294"/>
      <c r="HVJ615" s="294"/>
      <c r="HVK615" s="294"/>
      <c r="HVL615" s="294"/>
      <c r="HVM615" s="294"/>
      <c r="HVN615" s="294"/>
      <c r="HVO615" s="294"/>
      <c r="HVP615" s="294"/>
      <c r="HVQ615" s="294"/>
      <c r="HVR615" s="294"/>
      <c r="HVS615" s="294"/>
      <c r="HVT615" s="294"/>
      <c r="HVU615" s="294"/>
      <c r="HVV615" s="294"/>
      <c r="HVW615" s="294"/>
      <c r="HVX615" s="294"/>
      <c r="HVY615" s="294"/>
      <c r="HVZ615" s="294"/>
      <c r="HWA615" s="294"/>
      <c r="HWB615" s="294"/>
      <c r="HWC615" s="294"/>
      <c r="HWD615" s="294"/>
      <c r="HWE615" s="294"/>
      <c r="HWF615" s="294"/>
      <c r="HWG615" s="294"/>
      <c r="HWH615" s="294"/>
      <c r="HWI615" s="294"/>
      <c r="HWJ615" s="294"/>
      <c r="HWK615" s="294"/>
      <c r="HWL615" s="294"/>
      <c r="HWM615" s="294"/>
      <c r="HWN615" s="294"/>
      <c r="HWO615" s="294"/>
      <c r="HWP615" s="294"/>
      <c r="HWQ615" s="294"/>
      <c r="HWR615" s="294"/>
      <c r="HWS615" s="294"/>
      <c r="HWT615" s="294"/>
      <c r="HWU615" s="294"/>
      <c r="HWV615" s="294"/>
      <c r="HWW615" s="294"/>
      <c r="HWX615" s="294"/>
      <c r="HWY615" s="294"/>
      <c r="HWZ615" s="294"/>
      <c r="HXA615" s="294"/>
      <c r="HXB615" s="294"/>
      <c r="HXC615" s="294"/>
      <c r="HXD615" s="294"/>
      <c r="HXE615" s="294"/>
      <c r="HXF615" s="294"/>
      <c r="HXG615" s="294"/>
      <c r="HXH615" s="294"/>
      <c r="HXI615" s="294"/>
      <c r="HXJ615" s="294"/>
      <c r="HXK615" s="294"/>
      <c r="HXL615" s="294"/>
      <c r="HXM615" s="294"/>
      <c r="HXN615" s="294"/>
      <c r="HXO615" s="294"/>
      <c r="HXP615" s="294"/>
      <c r="HXQ615" s="294"/>
      <c r="HXR615" s="294"/>
      <c r="HXS615" s="294"/>
      <c r="HXT615" s="294"/>
      <c r="HXU615" s="294"/>
      <c r="HXV615" s="294"/>
      <c r="HXW615" s="294"/>
      <c r="HXX615" s="294"/>
      <c r="HXY615" s="294"/>
      <c r="HXZ615" s="294"/>
      <c r="HYA615" s="294"/>
      <c r="HYB615" s="294"/>
      <c r="HYC615" s="294"/>
      <c r="HYD615" s="294"/>
      <c r="HYE615" s="294"/>
      <c r="HYF615" s="294"/>
      <c r="HYG615" s="294"/>
      <c r="HYH615" s="294"/>
      <c r="HYI615" s="294"/>
      <c r="HYJ615" s="294"/>
      <c r="HYK615" s="294"/>
      <c r="HYL615" s="294"/>
      <c r="HYM615" s="294"/>
      <c r="HYN615" s="294"/>
      <c r="HYO615" s="294"/>
      <c r="HYP615" s="294"/>
      <c r="HYQ615" s="294"/>
      <c r="HYR615" s="294"/>
      <c r="HYS615" s="294"/>
      <c r="HYT615" s="294"/>
      <c r="HYU615" s="294"/>
      <c r="HYV615" s="294"/>
      <c r="HYW615" s="294"/>
      <c r="HYX615" s="294"/>
      <c r="HYY615" s="294"/>
      <c r="HYZ615" s="294"/>
      <c r="HZA615" s="294"/>
      <c r="HZB615" s="294"/>
      <c r="HZC615" s="294"/>
      <c r="HZD615" s="294"/>
      <c r="HZE615" s="294"/>
      <c r="HZF615" s="294"/>
      <c r="HZG615" s="294"/>
      <c r="HZH615" s="294"/>
      <c r="HZI615" s="294"/>
      <c r="HZJ615" s="294"/>
      <c r="HZK615" s="294"/>
      <c r="HZL615" s="294"/>
      <c r="HZM615" s="294"/>
      <c r="HZN615" s="294"/>
      <c r="HZO615" s="294"/>
      <c r="HZP615" s="294"/>
      <c r="HZQ615" s="294"/>
      <c r="HZR615" s="294"/>
      <c r="HZS615" s="294"/>
      <c r="HZT615" s="294"/>
      <c r="HZU615" s="294"/>
      <c r="HZV615" s="294"/>
      <c r="HZW615" s="294"/>
      <c r="HZX615" s="294"/>
      <c r="HZY615" s="294"/>
      <c r="HZZ615" s="294"/>
      <c r="IAA615" s="294"/>
      <c r="IAB615" s="294"/>
      <c r="IAC615" s="294"/>
      <c r="IAD615" s="294"/>
      <c r="IAE615" s="294"/>
      <c r="IAF615" s="294"/>
      <c r="IAG615" s="294"/>
      <c r="IAH615" s="294"/>
      <c r="IAI615" s="294"/>
      <c r="IAJ615" s="294"/>
      <c r="IAK615" s="294"/>
      <c r="IAL615" s="294"/>
      <c r="IAM615" s="294"/>
      <c r="IAN615" s="294"/>
      <c r="IAO615" s="294"/>
      <c r="IAP615" s="294"/>
      <c r="IAQ615" s="294"/>
      <c r="IAR615" s="294"/>
      <c r="IAS615" s="294"/>
      <c r="IAT615" s="294"/>
      <c r="IAU615" s="294"/>
      <c r="IAV615" s="294"/>
      <c r="IAW615" s="294"/>
      <c r="IAX615" s="294"/>
      <c r="IAY615" s="294"/>
      <c r="IAZ615" s="294"/>
      <c r="IBA615" s="294"/>
      <c r="IBB615" s="294"/>
      <c r="IBC615" s="294"/>
      <c r="IBD615" s="294"/>
      <c r="IBE615" s="294"/>
      <c r="IBF615" s="294"/>
      <c r="IBG615" s="294"/>
      <c r="IBH615" s="294"/>
      <c r="IBI615" s="294"/>
      <c r="IBJ615" s="294"/>
      <c r="IBK615" s="294"/>
      <c r="IBL615" s="294"/>
      <c r="IBM615" s="294"/>
      <c r="IBN615" s="294"/>
      <c r="IBO615" s="294"/>
      <c r="IBP615" s="294"/>
      <c r="IBQ615" s="294"/>
      <c r="IBR615" s="294"/>
      <c r="IBS615" s="294"/>
      <c r="IBT615" s="294"/>
      <c r="IBU615" s="294"/>
      <c r="IBV615" s="294"/>
      <c r="IBW615" s="294"/>
      <c r="IBX615" s="294"/>
      <c r="IBY615" s="294"/>
      <c r="IBZ615" s="294"/>
      <c r="ICA615" s="294"/>
      <c r="ICB615" s="294"/>
      <c r="ICC615" s="294"/>
      <c r="ICD615" s="294"/>
      <c r="ICE615" s="294"/>
      <c r="ICF615" s="294"/>
      <c r="ICG615" s="294"/>
      <c r="ICH615" s="294"/>
      <c r="ICI615" s="294"/>
      <c r="ICJ615" s="294"/>
      <c r="ICK615" s="294"/>
      <c r="ICL615" s="294"/>
      <c r="ICM615" s="294"/>
      <c r="ICN615" s="294"/>
      <c r="ICO615" s="294"/>
      <c r="ICP615" s="294"/>
      <c r="ICQ615" s="294"/>
      <c r="ICR615" s="294"/>
      <c r="ICS615" s="294"/>
      <c r="ICT615" s="294"/>
      <c r="ICU615" s="294"/>
      <c r="ICV615" s="294"/>
      <c r="ICW615" s="294"/>
      <c r="ICX615" s="294"/>
      <c r="ICY615" s="294"/>
      <c r="ICZ615" s="294"/>
      <c r="IDA615" s="294"/>
      <c r="IDB615" s="294"/>
      <c r="IDC615" s="294"/>
      <c r="IDD615" s="294"/>
      <c r="IDE615" s="294"/>
      <c r="IDF615" s="294"/>
      <c r="IDG615" s="294"/>
      <c r="IDH615" s="294"/>
      <c r="IDI615" s="294"/>
      <c r="IDJ615" s="294"/>
      <c r="IDK615" s="294"/>
      <c r="IDL615" s="294"/>
      <c r="IDM615" s="294"/>
      <c r="IDN615" s="294"/>
      <c r="IDO615" s="294"/>
      <c r="IDP615" s="294"/>
      <c r="IDQ615" s="294"/>
      <c r="IDR615" s="294"/>
      <c r="IDS615" s="294"/>
      <c r="IDT615" s="294"/>
      <c r="IDU615" s="294"/>
      <c r="IDV615" s="294"/>
      <c r="IDW615" s="294"/>
      <c r="IDX615" s="294"/>
      <c r="IDY615" s="294"/>
      <c r="IDZ615" s="294"/>
      <c r="IEA615" s="294"/>
      <c r="IEB615" s="294"/>
      <c r="IEC615" s="294"/>
      <c r="IED615" s="294"/>
      <c r="IEE615" s="294"/>
      <c r="IEF615" s="294"/>
      <c r="IEG615" s="294"/>
      <c r="IEH615" s="294"/>
      <c r="IEI615" s="294"/>
      <c r="IEJ615" s="294"/>
      <c r="IEK615" s="294"/>
      <c r="IEL615" s="294"/>
      <c r="IEM615" s="294"/>
      <c r="IEN615" s="294"/>
      <c r="IEO615" s="294"/>
      <c r="IEP615" s="294"/>
      <c r="IEQ615" s="294"/>
      <c r="IER615" s="294"/>
      <c r="IES615" s="294"/>
      <c r="IET615" s="294"/>
      <c r="IEU615" s="294"/>
      <c r="IEV615" s="294"/>
      <c r="IEW615" s="294"/>
      <c r="IEX615" s="294"/>
      <c r="IEY615" s="294"/>
      <c r="IEZ615" s="294"/>
      <c r="IFA615" s="294"/>
      <c r="IFB615" s="294"/>
      <c r="IFC615" s="294"/>
      <c r="IFD615" s="294"/>
      <c r="IFE615" s="294"/>
      <c r="IFF615" s="294"/>
      <c r="IFG615" s="294"/>
      <c r="IFH615" s="294"/>
      <c r="IFI615" s="294"/>
      <c r="IFJ615" s="294"/>
      <c r="IFK615" s="294"/>
      <c r="IFL615" s="294"/>
      <c r="IFM615" s="294"/>
      <c r="IFN615" s="294"/>
      <c r="IFO615" s="294"/>
      <c r="IFP615" s="294"/>
      <c r="IFQ615" s="294"/>
      <c r="IFR615" s="294"/>
      <c r="IFS615" s="294"/>
      <c r="IFT615" s="294"/>
      <c r="IFU615" s="294"/>
      <c r="IFV615" s="294"/>
      <c r="IFW615" s="294"/>
      <c r="IFX615" s="294"/>
      <c r="IFY615" s="294"/>
      <c r="IFZ615" s="294"/>
      <c r="IGA615" s="294"/>
      <c r="IGB615" s="294"/>
      <c r="IGC615" s="294"/>
      <c r="IGD615" s="294"/>
      <c r="IGE615" s="294"/>
      <c r="IGF615" s="294"/>
      <c r="IGG615" s="294"/>
      <c r="IGH615" s="294"/>
      <c r="IGI615" s="294"/>
      <c r="IGJ615" s="294"/>
      <c r="IGK615" s="294"/>
      <c r="IGL615" s="294"/>
      <c r="IGM615" s="294"/>
      <c r="IGN615" s="294"/>
      <c r="IGO615" s="294"/>
      <c r="IGP615" s="294"/>
      <c r="IGQ615" s="294"/>
      <c r="IGR615" s="294"/>
      <c r="IGS615" s="294"/>
      <c r="IGT615" s="294"/>
      <c r="IGU615" s="294"/>
      <c r="IGV615" s="294"/>
      <c r="IGW615" s="294"/>
      <c r="IGX615" s="294"/>
      <c r="IGY615" s="294"/>
      <c r="IGZ615" s="294"/>
      <c r="IHA615" s="294"/>
      <c r="IHB615" s="294"/>
      <c r="IHC615" s="294"/>
      <c r="IHD615" s="294"/>
      <c r="IHE615" s="294"/>
      <c r="IHF615" s="294"/>
      <c r="IHG615" s="294"/>
      <c r="IHH615" s="294"/>
      <c r="IHI615" s="294"/>
      <c r="IHJ615" s="294"/>
      <c r="IHK615" s="294"/>
      <c r="IHL615" s="294"/>
      <c r="IHM615" s="294"/>
      <c r="IHN615" s="294"/>
      <c r="IHO615" s="294"/>
      <c r="IHP615" s="294"/>
      <c r="IHQ615" s="294"/>
      <c r="IHR615" s="294"/>
      <c r="IHS615" s="294"/>
      <c r="IHT615" s="294"/>
      <c r="IHU615" s="294"/>
      <c r="IHV615" s="294"/>
      <c r="IHW615" s="294"/>
      <c r="IHX615" s="294"/>
      <c r="IHY615" s="294"/>
      <c r="IHZ615" s="294"/>
      <c r="IIA615" s="294"/>
      <c r="IIB615" s="294"/>
      <c r="IIC615" s="294"/>
      <c r="IID615" s="294"/>
      <c r="IIE615" s="294"/>
      <c r="IIF615" s="294"/>
      <c r="IIG615" s="294"/>
      <c r="IIH615" s="294"/>
      <c r="III615" s="294"/>
      <c r="IIJ615" s="294"/>
      <c r="IIK615" s="294"/>
      <c r="IIL615" s="294"/>
      <c r="IIM615" s="294"/>
      <c r="IIN615" s="294"/>
      <c r="IIO615" s="294"/>
      <c r="IIP615" s="294"/>
      <c r="IIQ615" s="294"/>
      <c r="IIR615" s="294"/>
      <c r="IIS615" s="294"/>
      <c r="IIT615" s="294"/>
      <c r="IIU615" s="294"/>
      <c r="IIV615" s="294"/>
      <c r="IIW615" s="294"/>
      <c r="IIX615" s="294"/>
      <c r="IIY615" s="294"/>
      <c r="IIZ615" s="294"/>
      <c r="IJA615" s="294"/>
      <c r="IJB615" s="294"/>
      <c r="IJC615" s="294"/>
      <c r="IJD615" s="294"/>
      <c r="IJE615" s="294"/>
      <c r="IJF615" s="294"/>
      <c r="IJG615" s="294"/>
      <c r="IJH615" s="294"/>
      <c r="IJI615" s="294"/>
      <c r="IJJ615" s="294"/>
      <c r="IJK615" s="294"/>
      <c r="IJL615" s="294"/>
      <c r="IJM615" s="294"/>
      <c r="IJN615" s="294"/>
      <c r="IJO615" s="294"/>
      <c r="IJP615" s="294"/>
      <c r="IJQ615" s="294"/>
      <c r="IJR615" s="294"/>
      <c r="IJS615" s="294"/>
      <c r="IJT615" s="294"/>
      <c r="IJU615" s="294"/>
      <c r="IJV615" s="294"/>
      <c r="IJW615" s="294"/>
      <c r="IJX615" s="294"/>
      <c r="IJY615" s="294"/>
      <c r="IJZ615" s="294"/>
      <c r="IKA615" s="294"/>
      <c r="IKB615" s="294"/>
      <c r="IKC615" s="294"/>
      <c r="IKD615" s="294"/>
      <c r="IKE615" s="294"/>
      <c r="IKF615" s="294"/>
      <c r="IKG615" s="294"/>
      <c r="IKH615" s="294"/>
      <c r="IKI615" s="294"/>
      <c r="IKJ615" s="294"/>
      <c r="IKK615" s="294"/>
      <c r="IKL615" s="294"/>
      <c r="IKM615" s="294"/>
      <c r="IKN615" s="294"/>
      <c r="IKO615" s="294"/>
      <c r="IKP615" s="294"/>
      <c r="IKQ615" s="294"/>
      <c r="IKR615" s="294"/>
      <c r="IKS615" s="294"/>
      <c r="IKT615" s="294"/>
      <c r="IKU615" s="294"/>
      <c r="IKV615" s="294"/>
      <c r="IKW615" s="294"/>
      <c r="IKX615" s="294"/>
      <c r="IKY615" s="294"/>
      <c r="IKZ615" s="294"/>
      <c r="ILA615" s="294"/>
      <c r="ILB615" s="294"/>
      <c r="ILC615" s="294"/>
      <c r="ILD615" s="294"/>
      <c r="ILE615" s="294"/>
      <c r="ILF615" s="294"/>
      <c r="ILG615" s="294"/>
      <c r="ILH615" s="294"/>
      <c r="ILI615" s="294"/>
      <c r="ILJ615" s="294"/>
      <c r="ILK615" s="294"/>
      <c r="ILL615" s="294"/>
      <c r="ILM615" s="294"/>
      <c r="ILN615" s="294"/>
      <c r="ILO615" s="294"/>
      <c r="ILP615" s="294"/>
      <c r="ILQ615" s="294"/>
      <c r="ILR615" s="294"/>
      <c r="ILS615" s="294"/>
      <c r="ILT615" s="294"/>
      <c r="ILU615" s="294"/>
      <c r="ILV615" s="294"/>
      <c r="ILW615" s="294"/>
      <c r="ILX615" s="294"/>
      <c r="ILY615" s="294"/>
      <c r="ILZ615" s="294"/>
      <c r="IMA615" s="294"/>
      <c r="IMB615" s="294"/>
      <c r="IMC615" s="294"/>
      <c r="IMD615" s="294"/>
      <c r="IME615" s="294"/>
      <c r="IMF615" s="294"/>
      <c r="IMG615" s="294"/>
      <c r="IMH615" s="294"/>
      <c r="IMI615" s="294"/>
      <c r="IMJ615" s="294"/>
      <c r="IMK615" s="294"/>
      <c r="IML615" s="294"/>
      <c r="IMM615" s="294"/>
      <c r="IMN615" s="294"/>
      <c r="IMO615" s="294"/>
      <c r="IMP615" s="294"/>
      <c r="IMQ615" s="294"/>
      <c r="IMR615" s="294"/>
      <c r="IMS615" s="294"/>
      <c r="IMT615" s="294"/>
      <c r="IMU615" s="294"/>
      <c r="IMV615" s="294"/>
      <c r="IMW615" s="294"/>
      <c r="IMX615" s="294"/>
      <c r="IMY615" s="294"/>
      <c r="IMZ615" s="294"/>
      <c r="INA615" s="294"/>
      <c r="INB615" s="294"/>
      <c r="INC615" s="294"/>
      <c r="IND615" s="294"/>
      <c r="INE615" s="294"/>
      <c r="INF615" s="294"/>
      <c r="ING615" s="294"/>
      <c r="INH615" s="294"/>
      <c r="INI615" s="294"/>
      <c r="INJ615" s="294"/>
      <c r="INK615" s="294"/>
      <c r="INL615" s="294"/>
      <c r="INM615" s="294"/>
      <c r="INN615" s="294"/>
      <c r="INO615" s="294"/>
      <c r="INP615" s="294"/>
      <c r="INQ615" s="294"/>
      <c r="INR615" s="294"/>
      <c r="INS615" s="294"/>
      <c r="INT615" s="294"/>
      <c r="INU615" s="294"/>
      <c r="INV615" s="294"/>
      <c r="INW615" s="294"/>
      <c r="INX615" s="294"/>
      <c r="INY615" s="294"/>
      <c r="INZ615" s="294"/>
      <c r="IOA615" s="294"/>
      <c r="IOB615" s="294"/>
      <c r="IOC615" s="294"/>
      <c r="IOD615" s="294"/>
      <c r="IOE615" s="294"/>
      <c r="IOF615" s="294"/>
      <c r="IOG615" s="294"/>
      <c r="IOH615" s="294"/>
      <c r="IOI615" s="294"/>
      <c r="IOJ615" s="294"/>
      <c r="IOK615" s="294"/>
      <c r="IOL615" s="294"/>
      <c r="IOM615" s="294"/>
      <c r="ION615" s="294"/>
      <c r="IOO615" s="294"/>
      <c r="IOP615" s="294"/>
      <c r="IOQ615" s="294"/>
      <c r="IOR615" s="294"/>
      <c r="IOS615" s="294"/>
      <c r="IOT615" s="294"/>
      <c r="IOU615" s="294"/>
      <c r="IOV615" s="294"/>
      <c r="IOW615" s="294"/>
      <c r="IOX615" s="294"/>
      <c r="IOY615" s="294"/>
      <c r="IOZ615" s="294"/>
      <c r="IPA615" s="294"/>
      <c r="IPB615" s="294"/>
      <c r="IPC615" s="294"/>
      <c r="IPD615" s="294"/>
      <c r="IPE615" s="294"/>
      <c r="IPF615" s="294"/>
      <c r="IPG615" s="294"/>
      <c r="IPH615" s="294"/>
      <c r="IPI615" s="294"/>
      <c r="IPJ615" s="294"/>
      <c r="IPK615" s="294"/>
      <c r="IPL615" s="294"/>
      <c r="IPM615" s="294"/>
      <c r="IPN615" s="294"/>
      <c r="IPO615" s="294"/>
      <c r="IPP615" s="294"/>
      <c r="IPQ615" s="294"/>
      <c r="IPR615" s="294"/>
      <c r="IPS615" s="294"/>
      <c r="IPT615" s="294"/>
      <c r="IPU615" s="294"/>
      <c r="IPV615" s="294"/>
      <c r="IPW615" s="294"/>
      <c r="IPX615" s="294"/>
      <c r="IPY615" s="294"/>
      <c r="IPZ615" s="294"/>
      <c r="IQA615" s="294"/>
      <c r="IQB615" s="294"/>
      <c r="IQC615" s="294"/>
      <c r="IQD615" s="294"/>
      <c r="IQE615" s="294"/>
      <c r="IQF615" s="294"/>
      <c r="IQG615" s="294"/>
      <c r="IQH615" s="294"/>
      <c r="IQI615" s="294"/>
      <c r="IQJ615" s="294"/>
      <c r="IQK615" s="294"/>
      <c r="IQL615" s="294"/>
      <c r="IQM615" s="294"/>
      <c r="IQN615" s="294"/>
      <c r="IQO615" s="294"/>
      <c r="IQP615" s="294"/>
      <c r="IQQ615" s="294"/>
      <c r="IQR615" s="294"/>
      <c r="IQS615" s="294"/>
      <c r="IQT615" s="294"/>
      <c r="IQU615" s="294"/>
      <c r="IQV615" s="294"/>
      <c r="IQW615" s="294"/>
      <c r="IQX615" s="294"/>
      <c r="IQY615" s="294"/>
      <c r="IQZ615" s="294"/>
      <c r="IRA615" s="294"/>
      <c r="IRB615" s="294"/>
      <c r="IRC615" s="294"/>
      <c r="IRD615" s="294"/>
      <c r="IRE615" s="294"/>
      <c r="IRF615" s="294"/>
      <c r="IRG615" s="294"/>
      <c r="IRH615" s="294"/>
      <c r="IRI615" s="294"/>
      <c r="IRJ615" s="294"/>
      <c r="IRK615" s="294"/>
      <c r="IRL615" s="294"/>
      <c r="IRM615" s="294"/>
      <c r="IRN615" s="294"/>
      <c r="IRO615" s="294"/>
      <c r="IRP615" s="294"/>
      <c r="IRQ615" s="294"/>
      <c r="IRR615" s="294"/>
      <c r="IRS615" s="294"/>
      <c r="IRT615" s="294"/>
      <c r="IRU615" s="294"/>
      <c r="IRV615" s="294"/>
      <c r="IRW615" s="294"/>
      <c r="IRX615" s="294"/>
      <c r="IRY615" s="294"/>
      <c r="IRZ615" s="294"/>
      <c r="ISA615" s="294"/>
      <c r="ISB615" s="294"/>
      <c r="ISC615" s="294"/>
      <c r="ISD615" s="294"/>
      <c r="ISE615" s="294"/>
      <c r="ISF615" s="294"/>
      <c r="ISG615" s="294"/>
      <c r="ISH615" s="294"/>
      <c r="ISI615" s="294"/>
      <c r="ISJ615" s="294"/>
      <c r="ISK615" s="294"/>
      <c r="ISL615" s="294"/>
      <c r="ISM615" s="294"/>
      <c r="ISN615" s="294"/>
      <c r="ISO615" s="294"/>
      <c r="ISP615" s="294"/>
      <c r="ISQ615" s="294"/>
      <c r="ISR615" s="294"/>
      <c r="ISS615" s="294"/>
      <c r="IST615" s="294"/>
      <c r="ISU615" s="294"/>
      <c r="ISV615" s="294"/>
      <c r="ISW615" s="294"/>
      <c r="ISX615" s="294"/>
      <c r="ISY615" s="294"/>
      <c r="ISZ615" s="294"/>
      <c r="ITA615" s="294"/>
      <c r="ITB615" s="294"/>
      <c r="ITC615" s="294"/>
      <c r="ITD615" s="294"/>
      <c r="ITE615" s="294"/>
      <c r="ITF615" s="294"/>
      <c r="ITG615" s="294"/>
      <c r="ITH615" s="294"/>
      <c r="ITI615" s="294"/>
      <c r="ITJ615" s="294"/>
      <c r="ITK615" s="294"/>
      <c r="ITL615" s="294"/>
      <c r="ITM615" s="294"/>
      <c r="ITN615" s="294"/>
      <c r="ITO615" s="294"/>
      <c r="ITP615" s="294"/>
      <c r="ITQ615" s="294"/>
      <c r="ITR615" s="294"/>
      <c r="ITS615" s="294"/>
      <c r="ITT615" s="294"/>
      <c r="ITU615" s="294"/>
      <c r="ITV615" s="294"/>
      <c r="ITW615" s="294"/>
      <c r="ITX615" s="294"/>
      <c r="ITY615" s="294"/>
      <c r="ITZ615" s="294"/>
      <c r="IUA615" s="294"/>
      <c r="IUB615" s="294"/>
      <c r="IUC615" s="294"/>
      <c r="IUD615" s="294"/>
      <c r="IUE615" s="294"/>
      <c r="IUF615" s="294"/>
      <c r="IUG615" s="294"/>
      <c r="IUH615" s="294"/>
      <c r="IUI615" s="294"/>
      <c r="IUJ615" s="294"/>
      <c r="IUK615" s="294"/>
      <c r="IUL615" s="294"/>
      <c r="IUM615" s="294"/>
      <c r="IUN615" s="294"/>
      <c r="IUO615" s="294"/>
      <c r="IUP615" s="294"/>
      <c r="IUQ615" s="294"/>
      <c r="IUR615" s="294"/>
      <c r="IUS615" s="294"/>
      <c r="IUT615" s="294"/>
      <c r="IUU615" s="294"/>
      <c r="IUV615" s="294"/>
      <c r="IUW615" s="294"/>
      <c r="IUX615" s="294"/>
      <c r="IUY615" s="294"/>
      <c r="IUZ615" s="294"/>
      <c r="IVA615" s="294"/>
      <c r="IVB615" s="294"/>
      <c r="IVC615" s="294"/>
      <c r="IVD615" s="294"/>
      <c r="IVE615" s="294"/>
      <c r="IVF615" s="294"/>
      <c r="IVG615" s="294"/>
      <c r="IVH615" s="294"/>
      <c r="IVI615" s="294"/>
      <c r="IVJ615" s="294"/>
      <c r="IVK615" s="294"/>
      <c r="IVL615" s="294"/>
      <c r="IVM615" s="294"/>
      <c r="IVN615" s="294"/>
      <c r="IVO615" s="294"/>
      <c r="IVP615" s="294"/>
      <c r="IVQ615" s="294"/>
      <c r="IVR615" s="294"/>
      <c r="IVS615" s="294"/>
      <c r="IVT615" s="294"/>
      <c r="IVU615" s="294"/>
      <c r="IVV615" s="294"/>
      <c r="IVW615" s="294"/>
      <c r="IVX615" s="294"/>
      <c r="IVY615" s="294"/>
      <c r="IVZ615" s="294"/>
      <c r="IWA615" s="294"/>
      <c r="IWB615" s="294"/>
      <c r="IWC615" s="294"/>
      <c r="IWD615" s="294"/>
      <c r="IWE615" s="294"/>
      <c r="IWF615" s="294"/>
      <c r="IWG615" s="294"/>
      <c r="IWH615" s="294"/>
      <c r="IWI615" s="294"/>
      <c r="IWJ615" s="294"/>
      <c r="IWK615" s="294"/>
      <c r="IWL615" s="294"/>
      <c r="IWM615" s="294"/>
      <c r="IWN615" s="294"/>
      <c r="IWO615" s="294"/>
      <c r="IWP615" s="294"/>
      <c r="IWQ615" s="294"/>
      <c r="IWR615" s="294"/>
      <c r="IWS615" s="294"/>
      <c r="IWT615" s="294"/>
      <c r="IWU615" s="294"/>
      <c r="IWV615" s="294"/>
      <c r="IWW615" s="294"/>
      <c r="IWX615" s="294"/>
      <c r="IWY615" s="294"/>
      <c r="IWZ615" s="294"/>
      <c r="IXA615" s="294"/>
      <c r="IXB615" s="294"/>
      <c r="IXC615" s="294"/>
      <c r="IXD615" s="294"/>
      <c r="IXE615" s="294"/>
      <c r="IXF615" s="294"/>
      <c r="IXG615" s="294"/>
      <c r="IXH615" s="294"/>
      <c r="IXI615" s="294"/>
      <c r="IXJ615" s="294"/>
      <c r="IXK615" s="294"/>
      <c r="IXL615" s="294"/>
      <c r="IXM615" s="294"/>
      <c r="IXN615" s="294"/>
      <c r="IXO615" s="294"/>
      <c r="IXP615" s="294"/>
      <c r="IXQ615" s="294"/>
      <c r="IXR615" s="294"/>
      <c r="IXS615" s="294"/>
      <c r="IXT615" s="294"/>
      <c r="IXU615" s="294"/>
      <c r="IXV615" s="294"/>
      <c r="IXW615" s="294"/>
      <c r="IXX615" s="294"/>
      <c r="IXY615" s="294"/>
      <c r="IXZ615" s="294"/>
      <c r="IYA615" s="294"/>
      <c r="IYB615" s="294"/>
      <c r="IYC615" s="294"/>
      <c r="IYD615" s="294"/>
      <c r="IYE615" s="294"/>
      <c r="IYF615" s="294"/>
      <c r="IYG615" s="294"/>
      <c r="IYH615" s="294"/>
      <c r="IYI615" s="294"/>
      <c r="IYJ615" s="294"/>
      <c r="IYK615" s="294"/>
      <c r="IYL615" s="294"/>
      <c r="IYM615" s="294"/>
      <c r="IYN615" s="294"/>
      <c r="IYO615" s="294"/>
      <c r="IYP615" s="294"/>
      <c r="IYQ615" s="294"/>
      <c r="IYR615" s="294"/>
      <c r="IYS615" s="294"/>
      <c r="IYT615" s="294"/>
      <c r="IYU615" s="294"/>
      <c r="IYV615" s="294"/>
      <c r="IYW615" s="294"/>
      <c r="IYX615" s="294"/>
      <c r="IYY615" s="294"/>
      <c r="IYZ615" s="294"/>
      <c r="IZA615" s="294"/>
      <c r="IZB615" s="294"/>
      <c r="IZC615" s="294"/>
      <c r="IZD615" s="294"/>
      <c r="IZE615" s="294"/>
      <c r="IZF615" s="294"/>
      <c r="IZG615" s="294"/>
      <c r="IZH615" s="294"/>
      <c r="IZI615" s="294"/>
      <c r="IZJ615" s="294"/>
      <c r="IZK615" s="294"/>
      <c r="IZL615" s="294"/>
      <c r="IZM615" s="294"/>
      <c r="IZN615" s="294"/>
      <c r="IZO615" s="294"/>
      <c r="IZP615" s="294"/>
      <c r="IZQ615" s="294"/>
      <c r="IZR615" s="294"/>
      <c r="IZS615" s="294"/>
      <c r="IZT615" s="294"/>
      <c r="IZU615" s="294"/>
      <c r="IZV615" s="294"/>
      <c r="IZW615" s="294"/>
      <c r="IZX615" s="294"/>
      <c r="IZY615" s="294"/>
      <c r="IZZ615" s="294"/>
      <c r="JAA615" s="294"/>
      <c r="JAB615" s="294"/>
      <c r="JAC615" s="294"/>
      <c r="JAD615" s="294"/>
      <c r="JAE615" s="294"/>
      <c r="JAF615" s="294"/>
      <c r="JAG615" s="294"/>
      <c r="JAH615" s="294"/>
      <c r="JAI615" s="294"/>
      <c r="JAJ615" s="294"/>
      <c r="JAK615" s="294"/>
      <c r="JAL615" s="294"/>
      <c r="JAM615" s="294"/>
      <c r="JAN615" s="294"/>
      <c r="JAO615" s="294"/>
      <c r="JAP615" s="294"/>
      <c r="JAQ615" s="294"/>
      <c r="JAR615" s="294"/>
      <c r="JAS615" s="294"/>
      <c r="JAT615" s="294"/>
      <c r="JAU615" s="294"/>
      <c r="JAV615" s="294"/>
      <c r="JAW615" s="294"/>
      <c r="JAX615" s="294"/>
      <c r="JAY615" s="294"/>
      <c r="JAZ615" s="294"/>
      <c r="JBA615" s="294"/>
      <c r="JBB615" s="294"/>
      <c r="JBC615" s="294"/>
      <c r="JBD615" s="294"/>
      <c r="JBE615" s="294"/>
      <c r="JBF615" s="294"/>
      <c r="JBG615" s="294"/>
      <c r="JBH615" s="294"/>
      <c r="JBI615" s="294"/>
      <c r="JBJ615" s="294"/>
      <c r="JBK615" s="294"/>
      <c r="JBL615" s="294"/>
      <c r="JBM615" s="294"/>
      <c r="JBN615" s="294"/>
      <c r="JBO615" s="294"/>
      <c r="JBP615" s="294"/>
      <c r="JBQ615" s="294"/>
      <c r="JBR615" s="294"/>
      <c r="JBS615" s="294"/>
      <c r="JBT615" s="294"/>
      <c r="JBU615" s="294"/>
      <c r="JBV615" s="294"/>
      <c r="JBW615" s="294"/>
      <c r="JBX615" s="294"/>
      <c r="JBY615" s="294"/>
      <c r="JBZ615" s="294"/>
      <c r="JCA615" s="294"/>
      <c r="JCB615" s="294"/>
      <c r="JCC615" s="294"/>
      <c r="JCD615" s="294"/>
      <c r="JCE615" s="294"/>
      <c r="JCF615" s="294"/>
      <c r="JCG615" s="294"/>
      <c r="JCH615" s="294"/>
      <c r="JCI615" s="294"/>
      <c r="JCJ615" s="294"/>
      <c r="JCK615" s="294"/>
      <c r="JCL615" s="294"/>
      <c r="JCM615" s="294"/>
      <c r="JCN615" s="294"/>
      <c r="JCO615" s="294"/>
      <c r="JCP615" s="294"/>
      <c r="JCQ615" s="294"/>
      <c r="JCR615" s="294"/>
      <c r="JCS615" s="294"/>
      <c r="JCT615" s="294"/>
      <c r="JCU615" s="294"/>
      <c r="JCV615" s="294"/>
      <c r="JCW615" s="294"/>
      <c r="JCX615" s="294"/>
      <c r="JCY615" s="294"/>
      <c r="JCZ615" s="294"/>
      <c r="JDA615" s="294"/>
      <c r="JDB615" s="294"/>
      <c r="JDC615" s="294"/>
      <c r="JDD615" s="294"/>
      <c r="JDE615" s="294"/>
      <c r="JDF615" s="294"/>
      <c r="JDG615" s="294"/>
      <c r="JDH615" s="294"/>
      <c r="JDI615" s="294"/>
      <c r="JDJ615" s="294"/>
      <c r="JDK615" s="294"/>
      <c r="JDL615" s="294"/>
      <c r="JDM615" s="294"/>
      <c r="JDN615" s="294"/>
      <c r="JDO615" s="294"/>
      <c r="JDP615" s="294"/>
      <c r="JDQ615" s="294"/>
      <c r="JDR615" s="294"/>
      <c r="JDS615" s="294"/>
      <c r="JDT615" s="294"/>
      <c r="JDU615" s="294"/>
      <c r="JDV615" s="294"/>
      <c r="JDW615" s="294"/>
      <c r="JDX615" s="294"/>
      <c r="JDY615" s="294"/>
      <c r="JDZ615" s="294"/>
      <c r="JEA615" s="294"/>
      <c r="JEB615" s="294"/>
      <c r="JEC615" s="294"/>
      <c r="JED615" s="294"/>
      <c r="JEE615" s="294"/>
      <c r="JEF615" s="294"/>
      <c r="JEG615" s="294"/>
      <c r="JEH615" s="294"/>
      <c r="JEI615" s="294"/>
      <c r="JEJ615" s="294"/>
      <c r="JEK615" s="294"/>
      <c r="JEL615" s="294"/>
      <c r="JEM615" s="294"/>
      <c r="JEN615" s="294"/>
      <c r="JEO615" s="294"/>
      <c r="JEP615" s="294"/>
      <c r="JEQ615" s="294"/>
      <c r="JER615" s="294"/>
      <c r="JES615" s="294"/>
      <c r="JET615" s="294"/>
      <c r="JEU615" s="294"/>
      <c r="JEV615" s="294"/>
      <c r="JEW615" s="294"/>
      <c r="JEX615" s="294"/>
      <c r="JEY615" s="294"/>
      <c r="JEZ615" s="294"/>
      <c r="JFA615" s="294"/>
      <c r="JFB615" s="294"/>
      <c r="JFC615" s="294"/>
      <c r="JFD615" s="294"/>
      <c r="JFE615" s="294"/>
      <c r="JFF615" s="294"/>
      <c r="JFG615" s="294"/>
      <c r="JFH615" s="294"/>
      <c r="JFI615" s="294"/>
      <c r="JFJ615" s="294"/>
      <c r="JFK615" s="294"/>
      <c r="JFL615" s="294"/>
      <c r="JFM615" s="294"/>
      <c r="JFN615" s="294"/>
      <c r="JFO615" s="294"/>
      <c r="JFP615" s="294"/>
      <c r="JFQ615" s="294"/>
      <c r="JFR615" s="294"/>
      <c r="JFS615" s="294"/>
      <c r="JFT615" s="294"/>
      <c r="JFU615" s="294"/>
      <c r="JFV615" s="294"/>
      <c r="JFW615" s="294"/>
      <c r="JFX615" s="294"/>
      <c r="JFY615" s="294"/>
      <c r="JFZ615" s="294"/>
      <c r="JGA615" s="294"/>
      <c r="JGB615" s="294"/>
      <c r="JGC615" s="294"/>
      <c r="JGD615" s="294"/>
      <c r="JGE615" s="294"/>
      <c r="JGF615" s="294"/>
      <c r="JGG615" s="294"/>
      <c r="JGH615" s="294"/>
      <c r="JGI615" s="294"/>
      <c r="JGJ615" s="294"/>
      <c r="JGK615" s="294"/>
      <c r="JGL615" s="294"/>
      <c r="JGM615" s="294"/>
      <c r="JGN615" s="294"/>
      <c r="JGO615" s="294"/>
      <c r="JGP615" s="294"/>
      <c r="JGQ615" s="294"/>
      <c r="JGR615" s="294"/>
      <c r="JGS615" s="294"/>
      <c r="JGT615" s="294"/>
      <c r="JGU615" s="294"/>
      <c r="JGV615" s="294"/>
      <c r="JGW615" s="294"/>
      <c r="JGX615" s="294"/>
      <c r="JGY615" s="294"/>
      <c r="JGZ615" s="294"/>
      <c r="JHA615" s="294"/>
      <c r="JHB615" s="294"/>
      <c r="JHC615" s="294"/>
      <c r="JHD615" s="294"/>
      <c r="JHE615" s="294"/>
      <c r="JHF615" s="294"/>
      <c r="JHG615" s="294"/>
      <c r="JHH615" s="294"/>
      <c r="JHI615" s="294"/>
      <c r="JHJ615" s="294"/>
      <c r="JHK615" s="294"/>
      <c r="JHL615" s="294"/>
      <c r="JHM615" s="294"/>
      <c r="JHN615" s="294"/>
      <c r="JHO615" s="294"/>
      <c r="JHP615" s="294"/>
      <c r="JHQ615" s="294"/>
      <c r="JHR615" s="294"/>
      <c r="JHS615" s="294"/>
      <c r="JHT615" s="294"/>
      <c r="JHU615" s="294"/>
      <c r="JHV615" s="294"/>
      <c r="JHW615" s="294"/>
      <c r="JHX615" s="294"/>
      <c r="JHY615" s="294"/>
      <c r="JHZ615" s="294"/>
      <c r="JIA615" s="294"/>
      <c r="JIB615" s="294"/>
      <c r="JIC615" s="294"/>
      <c r="JID615" s="294"/>
      <c r="JIE615" s="294"/>
      <c r="JIF615" s="294"/>
      <c r="JIG615" s="294"/>
      <c r="JIH615" s="294"/>
      <c r="JII615" s="294"/>
      <c r="JIJ615" s="294"/>
      <c r="JIK615" s="294"/>
      <c r="JIL615" s="294"/>
      <c r="JIM615" s="294"/>
      <c r="JIN615" s="294"/>
      <c r="JIO615" s="294"/>
      <c r="JIP615" s="294"/>
      <c r="JIQ615" s="294"/>
      <c r="JIR615" s="294"/>
      <c r="JIS615" s="294"/>
      <c r="JIT615" s="294"/>
      <c r="JIU615" s="294"/>
      <c r="JIV615" s="294"/>
      <c r="JIW615" s="294"/>
      <c r="JIX615" s="294"/>
      <c r="JIY615" s="294"/>
      <c r="JIZ615" s="294"/>
      <c r="JJA615" s="294"/>
      <c r="JJB615" s="294"/>
      <c r="JJC615" s="294"/>
      <c r="JJD615" s="294"/>
      <c r="JJE615" s="294"/>
      <c r="JJF615" s="294"/>
      <c r="JJG615" s="294"/>
      <c r="JJH615" s="294"/>
      <c r="JJI615" s="294"/>
      <c r="JJJ615" s="294"/>
      <c r="JJK615" s="294"/>
      <c r="JJL615" s="294"/>
      <c r="JJM615" s="294"/>
      <c r="JJN615" s="294"/>
      <c r="JJO615" s="294"/>
      <c r="JJP615" s="294"/>
      <c r="JJQ615" s="294"/>
      <c r="JJR615" s="294"/>
      <c r="JJS615" s="294"/>
      <c r="JJT615" s="294"/>
      <c r="JJU615" s="294"/>
      <c r="JJV615" s="294"/>
      <c r="JJW615" s="294"/>
      <c r="JJX615" s="294"/>
      <c r="JJY615" s="294"/>
      <c r="JJZ615" s="294"/>
      <c r="JKA615" s="294"/>
      <c r="JKB615" s="294"/>
      <c r="JKC615" s="294"/>
      <c r="JKD615" s="294"/>
      <c r="JKE615" s="294"/>
      <c r="JKF615" s="294"/>
      <c r="JKG615" s="294"/>
      <c r="JKH615" s="294"/>
      <c r="JKI615" s="294"/>
      <c r="JKJ615" s="294"/>
      <c r="JKK615" s="294"/>
      <c r="JKL615" s="294"/>
      <c r="JKM615" s="294"/>
      <c r="JKN615" s="294"/>
      <c r="JKO615" s="294"/>
      <c r="JKP615" s="294"/>
      <c r="JKQ615" s="294"/>
      <c r="JKR615" s="294"/>
      <c r="JKS615" s="294"/>
      <c r="JKT615" s="294"/>
      <c r="JKU615" s="294"/>
      <c r="JKV615" s="294"/>
      <c r="JKW615" s="294"/>
      <c r="JKX615" s="294"/>
      <c r="JKY615" s="294"/>
      <c r="JKZ615" s="294"/>
      <c r="JLA615" s="294"/>
      <c r="JLB615" s="294"/>
      <c r="JLC615" s="294"/>
      <c r="JLD615" s="294"/>
      <c r="JLE615" s="294"/>
      <c r="JLF615" s="294"/>
      <c r="JLG615" s="294"/>
      <c r="JLH615" s="294"/>
      <c r="JLI615" s="294"/>
      <c r="JLJ615" s="294"/>
      <c r="JLK615" s="294"/>
      <c r="JLL615" s="294"/>
      <c r="JLM615" s="294"/>
      <c r="JLN615" s="294"/>
      <c r="JLO615" s="294"/>
      <c r="JLP615" s="294"/>
      <c r="JLQ615" s="294"/>
      <c r="JLR615" s="294"/>
      <c r="JLS615" s="294"/>
      <c r="JLT615" s="294"/>
      <c r="JLU615" s="294"/>
      <c r="JLV615" s="294"/>
      <c r="JLW615" s="294"/>
      <c r="JLX615" s="294"/>
      <c r="JLY615" s="294"/>
      <c r="JLZ615" s="294"/>
      <c r="JMA615" s="294"/>
      <c r="JMB615" s="294"/>
      <c r="JMC615" s="294"/>
      <c r="JMD615" s="294"/>
      <c r="JME615" s="294"/>
      <c r="JMF615" s="294"/>
      <c r="JMG615" s="294"/>
      <c r="JMH615" s="294"/>
      <c r="JMI615" s="294"/>
      <c r="JMJ615" s="294"/>
      <c r="JMK615" s="294"/>
      <c r="JML615" s="294"/>
      <c r="JMM615" s="294"/>
      <c r="JMN615" s="294"/>
      <c r="JMO615" s="294"/>
      <c r="JMP615" s="294"/>
      <c r="JMQ615" s="294"/>
      <c r="JMR615" s="294"/>
      <c r="JMS615" s="294"/>
      <c r="JMT615" s="294"/>
      <c r="JMU615" s="294"/>
      <c r="JMV615" s="294"/>
      <c r="JMW615" s="294"/>
      <c r="JMX615" s="294"/>
      <c r="JMY615" s="294"/>
      <c r="JMZ615" s="294"/>
      <c r="JNA615" s="294"/>
      <c r="JNB615" s="294"/>
      <c r="JNC615" s="294"/>
      <c r="JND615" s="294"/>
      <c r="JNE615" s="294"/>
      <c r="JNF615" s="294"/>
      <c r="JNG615" s="294"/>
      <c r="JNH615" s="294"/>
      <c r="JNI615" s="294"/>
      <c r="JNJ615" s="294"/>
      <c r="JNK615" s="294"/>
      <c r="JNL615" s="294"/>
      <c r="JNM615" s="294"/>
      <c r="JNN615" s="294"/>
      <c r="JNO615" s="294"/>
      <c r="JNP615" s="294"/>
      <c r="JNQ615" s="294"/>
      <c r="JNR615" s="294"/>
      <c r="JNS615" s="294"/>
      <c r="JNT615" s="294"/>
      <c r="JNU615" s="294"/>
      <c r="JNV615" s="294"/>
      <c r="JNW615" s="294"/>
      <c r="JNX615" s="294"/>
      <c r="JNY615" s="294"/>
      <c r="JNZ615" s="294"/>
      <c r="JOA615" s="294"/>
      <c r="JOB615" s="294"/>
      <c r="JOC615" s="294"/>
      <c r="JOD615" s="294"/>
      <c r="JOE615" s="294"/>
      <c r="JOF615" s="294"/>
      <c r="JOG615" s="294"/>
      <c r="JOH615" s="294"/>
      <c r="JOI615" s="294"/>
      <c r="JOJ615" s="294"/>
      <c r="JOK615" s="294"/>
      <c r="JOL615" s="294"/>
      <c r="JOM615" s="294"/>
      <c r="JON615" s="294"/>
      <c r="JOO615" s="294"/>
      <c r="JOP615" s="294"/>
      <c r="JOQ615" s="294"/>
      <c r="JOR615" s="294"/>
      <c r="JOS615" s="294"/>
      <c r="JOT615" s="294"/>
      <c r="JOU615" s="294"/>
      <c r="JOV615" s="294"/>
      <c r="JOW615" s="294"/>
      <c r="JOX615" s="294"/>
      <c r="JOY615" s="294"/>
      <c r="JOZ615" s="294"/>
      <c r="JPA615" s="294"/>
      <c r="JPB615" s="294"/>
      <c r="JPC615" s="294"/>
      <c r="JPD615" s="294"/>
      <c r="JPE615" s="294"/>
      <c r="JPF615" s="294"/>
      <c r="JPG615" s="294"/>
      <c r="JPH615" s="294"/>
      <c r="JPI615" s="294"/>
      <c r="JPJ615" s="294"/>
      <c r="JPK615" s="294"/>
      <c r="JPL615" s="294"/>
      <c r="JPM615" s="294"/>
      <c r="JPN615" s="294"/>
      <c r="JPO615" s="294"/>
      <c r="JPP615" s="294"/>
      <c r="JPQ615" s="294"/>
      <c r="JPR615" s="294"/>
      <c r="JPS615" s="294"/>
      <c r="JPT615" s="294"/>
      <c r="JPU615" s="294"/>
      <c r="JPV615" s="294"/>
      <c r="JPW615" s="294"/>
      <c r="JPX615" s="294"/>
      <c r="JPY615" s="294"/>
      <c r="JPZ615" s="294"/>
      <c r="JQA615" s="294"/>
      <c r="JQB615" s="294"/>
      <c r="JQC615" s="294"/>
      <c r="JQD615" s="294"/>
      <c r="JQE615" s="294"/>
      <c r="JQF615" s="294"/>
      <c r="JQG615" s="294"/>
      <c r="JQH615" s="294"/>
      <c r="JQI615" s="294"/>
      <c r="JQJ615" s="294"/>
      <c r="JQK615" s="294"/>
      <c r="JQL615" s="294"/>
      <c r="JQM615" s="294"/>
      <c r="JQN615" s="294"/>
      <c r="JQO615" s="294"/>
      <c r="JQP615" s="294"/>
      <c r="JQQ615" s="294"/>
      <c r="JQR615" s="294"/>
      <c r="JQS615" s="294"/>
      <c r="JQT615" s="294"/>
      <c r="JQU615" s="294"/>
      <c r="JQV615" s="294"/>
      <c r="JQW615" s="294"/>
      <c r="JQX615" s="294"/>
      <c r="JQY615" s="294"/>
      <c r="JQZ615" s="294"/>
      <c r="JRA615" s="294"/>
      <c r="JRB615" s="294"/>
      <c r="JRC615" s="294"/>
      <c r="JRD615" s="294"/>
      <c r="JRE615" s="294"/>
      <c r="JRF615" s="294"/>
      <c r="JRG615" s="294"/>
      <c r="JRH615" s="294"/>
      <c r="JRI615" s="294"/>
      <c r="JRJ615" s="294"/>
      <c r="JRK615" s="294"/>
      <c r="JRL615" s="294"/>
      <c r="JRM615" s="294"/>
      <c r="JRN615" s="294"/>
      <c r="JRO615" s="294"/>
      <c r="JRP615" s="294"/>
      <c r="JRQ615" s="294"/>
      <c r="JRR615" s="294"/>
      <c r="JRS615" s="294"/>
      <c r="JRT615" s="294"/>
      <c r="JRU615" s="294"/>
      <c r="JRV615" s="294"/>
      <c r="JRW615" s="294"/>
      <c r="JRX615" s="294"/>
      <c r="JRY615" s="294"/>
      <c r="JRZ615" s="294"/>
      <c r="JSA615" s="294"/>
      <c r="JSB615" s="294"/>
      <c r="JSC615" s="294"/>
      <c r="JSD615" s="294"/>
      <c r="JSE615" s="294"/>
      <c r="JSF615" s="294"/>
      <c r="JSG615" s="294"/>
      <c r="JSH615" s="294"/>
      <c r="JSI615" s="294"/>
      <c r="JSJ615" s="294"/>
      <c r="JSK615" s="294"/>
      <c r="JSL615" s="294"/>
      <c r="JSM615" s="294"/>
      <c r="JSN615" s="294"/>
      <c r="JSO615" s="294"/>
      <c r="JSP615" s="294"/>
      <c r="JSQ615" s="294"/>
      <c r="JSR615" s="294"/>
      <c r="JSS615" s="294"/>
      <c r="JST615" s="294"/>
      <c r="JSU615" s="294"/>
      <c r="JSV615" s="294"/>
      <c r="JSW615" s="294"/>
      <c r="JSX615" s="294"/>
      <c r="JSY615" s="294"/>
      <c r="JSZ615" s="294"/>
      <c r="JTA615" s="294"/>
      <c r="JTB615" s="294"/>
      <c r="JTC615" s="294"/>
      <c r="JTD615" s="294"/>
      <c r="JTE615" s="294"/>
      <c r="JTF615" s="294"/>
      <c r="JTG615" s="294"/>
      <c r="JTH615" s="294"/>
      <c r="JTI615" s="294"/>
      <c r="JTJ615" s="294"/>
      <c r="JTK615" s="294"/>
      <c r="JTL615" s="294"/>
      <c r="JTM615" s="294"/>
      <c r="JTN615" s="294"/>
      <c r="JTO615" s="294"/>
      <c r="JTP615" s="294"/>
      <c r="JTQ615" s="294"/>
      <c r="JTR615" s="294"/>
      <c r="JTS615" s="294"/>
      <c r="JTT615" s="294"/>
      <c r="JTU615" s="294"/>
      <c r="JTV615" s="294"/>
      <c r="JTW615" s="294"/>
      <c r="JTX615" s="294"/>
      <c r="JTY615" s="294"/>
      <c r="JTZ615" s="294"/>
      <c r="JUA615" s="294"/>
      <c r="JUB615" s="294"/>
      <c r="JUC615" s="294"/>
      <c r="JUD615" s="294"/>
      <c r="JUE615" s="294"/>
      <c r="JUF615" s="294"/>
      <c r="JUG615" s="294"/>
      <c r="JUH615" s="294"/>
      <c r="JUI615" s="294"/>
      <c r="JUJ615" s="294"/>
      <c r="JUK615" s="294"/>
      <c r="JUL615" s="294"/>
      <c r="JUM615" s="294"/>
      <c r="JUN615" s="294"/>
      <c r="JUO615" s="294"/>
      <c r="JUP615" s="294"/>
      <c r="JUQ615" s="294"/>
      <c r="JUR615" s="294"/>
      <c r="JUS615" s="294"/>
      <c r="JUT615" s="294"/>
      <c r="JUU615" s="294"/>
      <c r="JUV615" s="294"/>
      <c r="JUW615" s="294"/>
      <c r="JUX615" s="294"/>
      <c r="JUY615" s="294"/>
      <c r="JUZ615" s="294"/>
      <c r="JVA615" s="294"/>
      <c r="JVB615" s="294"/>
      <c r="JVC615" s="294"/>
      <c r="JVD615" s="294"/>
      <c r="JVE615" s="294"/>
      <c r="JVF615" s="294"/>
      <c r="JVG615" s="294"/>
      <c r="JVH615" s="294"/>
      <c r="JVI615" s="294"/>
      <c r="JVJ615" s="294"/>
      <c r="JVK615" s="294"/>
      <c r="JVL615" s="294"/>
      <c r="JVM615" s="294"/>
      <c r="JVN615" s="294"/>
      <c r="JVO615" s="294"/>
      <c r="JVP615" s="294"/>
      <c r="JVQ615" s="294"/>
      <c r="JVR615" s="294"/>
      <c r="JVS615" s="294"/>
      <c r="JVT615" s="294"/>
      <c r="JVU615" s="294"/>
      <c r="JVV615" s="294"/>
      <c r="JVW615" s="294"/>
      <c r="JVX615" s="294"/>
      <c r="JVY615" s="294"/>
      <c r="JVZ615" s="294"/>
      <c r="JWA615" s="294"/>
      <c r="JWB615" s="294"/>
      <c r="JWC615" s="294"/>
      <c r="JWD615" s="294"/>
      <c r="JWE615" s="294"/>
      <c r="JWF615" s="294"/>
      <c r="JWG615" s="294"/>
      <c r="JWH615" s="294"/>
      <c r="JWI615" s="294"/>
      <c r="JWJ615" s="294"/>
      <c r="JWK615" s="294"/>
      <c r="JWL615" s="294"/>
      <c r="JWM615" s="294"/>
      <c r="JWN615" s="294"/>
      <c r="JWO615" s="294"/>
      <c r="JWP615" s="294"/>
      <c r="JWQ615" s="294"/>
      <c r="JWR615" s="294"/>
      <c r="JWS615" s="294"/>
      <c r="JWT615" s="294"/>
      <c r="JWU615" s="294"/>
      <c r="JWV615" s="294"/>
      <c r="JWW615" s="294"/>
      <c r="JWX615" s="294"/>
      <c r="JWY615" s="294"/>
      <c r="JWZ615" s="294"/>
      <c r="JXA615" s="294"/>
      <c r="JXB615" s="294"/>
      <c r="JXC615" s="294"/>
      <c r="JXD615" s="294"/>
      <c r="JXE615" s="294"/>
      <c r="JXF615" s="294"/>
      <c r="JXG615" s="294"/>
      <c r="JXH615" s="294"/>
      <c r="JXI615" s="294"/>
      <c r="JXJ615" s="294"/>
      <c r="JXK615" s="294"/>
      <c r="JXL615" s="294"/>
      <c r="JXM615" s="294"/>
      <c r="JXN615" s="294"/>
      <c r="JXO615" s="294"/>
      <c r="JXP615" s="294"/>
      <c r="JXQ615" s="294"/>
      <c r="JXR615" s="294"/>
      <c r="JXS615" s="294"/>
      <c r="JXT615" s="294"/>
      <c r="JXU615" s="294"/>
      <c r="JXV615" s="294"/>
      <c r="JXW615" s="294"/>
      <c r="JXX615" s="294"/>
      <c r="JXY615" s="294"/>
      <c r="JXZ615" s="294"/>
      <c r="JYA615" s="294"/>
      <c r="JYB615" s="294"/>
      <c r="JYC615" s="294"/>
      <c r="JYD615" s="294"/>
      <c r="JYE615" s="294"/>
      <c r="JYF615" s="294"/>
      <c r="JYG615" s="294"/>
      <c r="JYH615" s="294"/>
      <c r="JYI615" s="294"/>
      <c r="JYJ615" s="294"/>
      <c r="JYK615" s="294"/>
      <c r="JYL615" s="294"/>
      <c r="JYM615" s="294"/>
      <c r="JYN615" s="294"/>
      <c r="JYO615" s="294"/>
      <c r="JYP615" s="294"/>
      <c r="JYQ615" s="294"/>
      <c r="JYR615" s="294"/>
      <c r="JYS615" s="294"/>
      <c r="JYT615" s="294"/>
      <c r="JYU615" s="294"/>
      <c r="JYV615" s="294"/>
      <c r="JYW615" s="294"/>
      <c r="JYX615" s="294"/>
      <c r="JYY615" s="294"/>
      <c r="JYZ615" s="294"/>
      <c r="JZA615" s="294"/>
      <c r="JZB615" s="294"/>
      <c r="JZC615" s="294"/>
      <c r="JZD615" s="294"/>
      <c r="JZE615" s="294"/>
      <c r="JZF615" s="294"/>
      <c r="JZG615" s="294"/>
      <c r="JZH615" s="294"/>
      <c r="JZI615" s="294"/>
      <c r="JZJ615" s="294"/>
      <c r="JZK615" s="294"/>
      <c r="JZL615" s="294"/>
      <c r="JZM615" s="294"/>
      <c r="JZN615" s="294"/>
      <c r="JZO615" s="294"/>
      <c r="JZP615" s="294"/>
      <c r="JZQ615" s="294"/>
      <c r="JZR615" s="294"/>
      <c r="JZS615" s="294"/>
      <c r="JZT615" s="294"/>
      <c r="JZU615" s="294"/>
      <c r="JZV615" s="294"/>
      <c r="JZW615" s="294"/>
      <c r="JZX615" s="294"/>
      <c r="JZY615" s="294"/>
      <c r="JZZ615" s="294"/>
      <c r="KAA615" s="294"/>
      <c r="KAB615" s="294"/>
      <c r="KAC615" s="294"/>
      <c r="KAD615" s="294"/>
      <c r="KAE615" s="294"/>
      <c r="KAF615" s="294"/>
      <c r="KAG615" s="294"/>
      <c r="KAH615" s="294"/>
      <c r="KAI615" s="294"/>
      <c r="KAJ615" s="294"/>
      <c r="KAK615" s="294"/>
      <c r="KAL615" s="294"/>
      <c r="KAM615" s="294"/>
      <c r="KAN615" s="294"/>
      <c r="KAO615" s="294"/>
      <c r="KAP615" s="294"/>
      <c r="KAQ615" s="294"/>
      <c r="KAR615" s="294"/>
      <c r="KAS615" s="294"/>
      <c r="KAT615" s="294"/>
      <c r="KAU615" s="294"/>
      <c r="KAV615" s="294"/>
      <c r="KAW615" s="294"/>
      <c r="KAX615" s="294"/>
      <c r="KAY615" s="294"/>
      <c r="KAZ615" s="294"/>
      <c r="KBA615" s="294"/>
      <c r="KBB615" s="294"/>
      <c r="KBC615" s="294"/>
      <c r="KBD615" s="294"/>
      <c r="KBE615" s="294"/>
      <c r="KBF615" s="294"/>
      <c r="KBG615" s="294"/>
      <c r="KBH615" s="294"/>
      <c r="KBI615" s="294"/>
      <c r="KBJ615" s="294"/>
      <c r="KBK615" s="294"/>
      <c r="KBL615" s="294"/>
      <c r="KBM615" s="294"/>
      <c r="KBN615" s="294"/>
      <c r="KBO615" s="294"/>
      <c r="KBP615" s="294"/>
      <c r="KBQ615" s="294"/>
      <c r="KBR615" s="294"/>
      <c r="KBS615" s="294"/>
      <c r="KBT615" s="294"/>
      <c r="KBU615" s="294"/>
      <c r="KBV615" s="294"/>
      <c r="KBW615" s="294"/>
      <c r="KBX615" s="294"/>
      <c r="KBY615" s="294"/>
      <c r="KBZ615" s="294"/>
      <c r="KCA615" s="294"/>
      <c r="KCB615" s="294"/>
      <c r="KCC615" s="294"/>
      <c r="KCD615" s="294"/>
      <c r="KCE615" s="294"/>
      <c r="KCF615" s="294"/>
      <c r="KCG615" s="294"/>
      <c r="KCH615" s="294"/>
      <c r="KCI615" s="294"/>
      <c r="KCJ615" s="294"/>
      <c r="KCK615" s="294"/>
      <c r="KCL615" s="294"/>
      <c r="KCM615" s="294"/>
      <c r="KCN615" s="294"/>
      <c r="KCO615" s="294"/>
      <c r="KCP615" s="294"/>
      <c r="KCQ615" s="294"/>
      <c r="KCR615" s="294"/>
      <c r="KCS615" s="294"/>
      <c r="KCT615" s="294"/>
      <c r="KCU615" s="294"/>
      <c r="KCV615" s="294"/>
      <c r="KCW615" s="294"/>
      <c r="KCX615" s="294"/>
      <c r="KCY615" s="294"/>
      <c r="KCZ615" s="294"/>
      <c r="KDA615" s="294"/>
      <c r="KDB615" s="294"/>
      <c r="KDC615" s="294"/>
      <c r="KDD615" s="294"/>
      <c r="KDE615" s="294"/>
      <c r="KDF615" s="294"/>
      <c r="KDG615" s="294"/>
      <c r="KDH615" s="294"/>
      <c r="KDI615" s="294"/>
      <c r="KDJ615" s="294"/>
      <c r="KDK615" s="294"/>
      <c r="KDL615" s="294"/>
      <c r="KDM615" s="294"/>
      <c r="KDN615" s="294"/>
      <c r="KDO615" s="294"/>
      <c r="KDP615" s="294"/>
      <c r="KDQ615" s="294"/>
      <c r="KDR615" s="294"/>
      <c r="KDS615" s="294"/>
      <c r="KDT615" s="294"/>
      <c r="KDU615" s="294"/>
      <c r="KDV615" s="294"/>
      <c r="KDW615" s="294"/>
      <c r="KDX615" s="294"/>
      <c r="KDY615" s="294"/>
      <c r="KDZ615" s="294"/>
      <c r="KEA615" s="294"/>
      <c r="KEB615" s="294"/>
      <c r="KEC615" s="294"/>
      <c r="KED615" s="294"/>
      <c r="KEE615" s="294"/>
      <c r="KEF615" s="294"/>
      <c r="KEG615" s="294"/>
      <c r="KEH615" s="294"/>
      <c r="KEI615" s="294"/>
      <c r="KEJ615" s="294"/>
      <c r="KEK615" s="294"/>
      <c r="KEL615" s="294"/>
      <c r="KEM615" s="294"/>
      <c r="KEN615" s="294"/>
      <c r="KEO615" s="294"/>
      <c r="KEP615" s="294"/>
      <c r="KEQ615" s="294"/>
      <c r="KER615" s="294"/>
      <c r="KES615" s="294"/>
      <c r="KET615" s="294"/>
      <c r="KEU615" s="294"/>
      <c r="KEV615" s="294"/>
      <c r="KEW615" s="294"/>
      <c r="KEX615" s="294"/>
      <c r="KEY615" s="294"/>
      <c r="KEZ615" s="294"/>
      <c r="KFA615" s="294"/>
      <c r="KFB615" s="294"/>
      <c r="KFC615" s="294"/>
      <c r="KFD615" s="294"/>
      <c r="KFE615" s="294"/>
      <c r="KFF615" s="294"/>
      <c r="KFG615" s="294"/>
      <c r="KFH615" s="294"/>
      <c r="KFI615" s="294"/>
      <c r="KFJ615" s="294"/>
      <c r="KFK615" s="294"/>
      <c r="KFL615" s="294"/>
      <c r="KFM615" s="294"/>
      <c r="KFN615" s="294"/>
      <c r="KFO615" s="294"/>
      <c r="KFP615" s="294"/>
      <c r="KFQ615" s="294"/>
      <c r="KFR615" s="294"/>
      <c r="KFS615" s="294"/>
      <c r="KFT615" s="294"/>
      <c r="KFU615" s="294"/>
      <c r="KFV615" s="294"/>
      <c r="KFW615" s="294"/>
      <c r="KFX615" s="294"/>
      <c r="KFY615" s="294"/>
      <c r="KFZ615" s="294"/>
      <c r="KGA615" s="294"/>
      <c r="KGB615" s="294"/>
      <c r="KGC615" s="294"/>
      <c r="KGD615" s="294"/>
      <c r="KGE615" s="294"/>
      <c r="KGF615" s="294"/>
      <c r="KGG615" s="294"/>
      <c r="KGH615" s="294"/>
      <c r="KGI615" s="294"/>
      <c r="KGJ615" s="294"/>
      <c r="KGK615" s="294"/>
      <c r="KGL615" s="294"/>
      <c r="KGM615" s="294"/>
      <c r="KGN615" s="294"/>
      <c r="KGO615" s="294"/>
      <c r="KGP615" s="294"/>
      <c r="KGQ615" s="294"/>
      <c r="KGR615" s="294"/>
      <c r="KGS615" s="294"/>
      <c r="KGT615" s="294"/>
      <c r="KGU615" s="294"/>
      <c r="KGV615" s="294"/>
      <c r="KGW615" s="294"/>
      <c r="KGX615" s="294"/>
      <c r="KGY615" s="294"/>
      <c r="KGZ615" s="294"/>
      <c r="KHA615" s="294"/>
      <c r="KHB615" s="294"/>
      <c r="KHC615" s="294"/>
      <c r="KHD615" s="294"/>
      <c r="KHE615" s="294"/>
      <c r="KHF615" s="294"/>
      <c r="KHG615" s="294"/>
      <c r="KHH615" s="294"/>
      <c r="KHI615" s="294"/>
      <c r="KHJ615" s="294"/>
      <c r="KHK615" s="294"/>
      <c r="KHL615" s="294"/>
      <c r="KHM615" s="294"/>
      <c r="KHN615" s="294"/>
      <c r="KHO615" s="294"/>
      <c r="KHP615" s="294"/>
      <c r="KHQ615" s="294"/>
      <c r="KHR615" s="294"/>
      <c r="KHS615" s="294"/>
      <c r="KHT615" s="294"/>
      <c r="KHU615" s="294"/>
      <c r="KHV615" s="294"/>
      <c r="KHW615" s="294"/>
      <c r="KHX615" s="294"/>
      <c r="KHY615" s="294"/>
      <c r="KHZ615" s="294"/>
      <c r="KIA615" s="294"/>
      <c r="KIB615" s="294"/>
      <c r="KIC615" s="294"/>
      <c r="KID615" s="294"/>
      <c r="KIE615" s="294"/>
      <c r="KIF615" s="294"/>
      <c r="KIG615" s="294"/>
      <c r="KIH615" s="294"/>
      <c r="KII615" s="294"/>
      <c r="KIJ615" s="294"/>
      <c r="KIK615" s="294"/>
      <c r="KIL615" s="294"/>
      <c r="KIM615" s="294"/>
      <c r="KIN615" s="294"/>
      <c r="KIO615" s="294"/>
      <c r="KIP615" s="294"/>
      <c r="KIQ615" s="294"/>
      <c r="KIR615" s="294"/>
      <c r="KIS615" s="294"/>
      <c r="KIT615" s="294"/>
      <c r="KIU615" s="294"/>
      <c r="KIV615" s="294"/>
      <c r="KIW615" s="294"/>
      <c r="KIX615" s="294"/>
      <c r="KIY615" s="294"/>
      <c r="KIZ615" s="294"/>
      <c r="KJA615" s="294"/>
      <c r="KJB615" s="294"/>
      <c r="KJC615" s="294"/>
      <c r="KJD615" s="294"/>
      <c r="KJE615" s="294"/>
      <c r="KJF615" s="294"/>
      <c r="KJG615" s="294"/>
      <c r="KJH615" s="294"/>
      <c r="KJI615" s="294"/>
      <c r="KJJ615" s="294"/>
      <c r="KJK615" s="294"/>
      <c r="KJL615" s="294"/>
      <c r="KJM615" s="294"/>
      <c r="KJN615" s="294"/>
      <c r="KJO615" s="294"/>
      <c r="KJP615" s="294"/>
      <c r="KJQ615" s="294"/>
      <c r="KJR615" s="294"/>
      <c r="KJS615" s="294"/>
      <c r="KJT615" s="294"/>
      <c r="KJU615" s="294"/>
      <c r="KJV615" s="294"/>
      <c r="KJW615" s="294"/>
      <c r="KJX615" s="294"/>
      <c r="KJY615" s="294"/>
      <c r="KJZ615" s="294"/>
      <c r="KKA615" s="294"/>
      <c r="KKB615" s="294"/>
      <c r="KKC615" s="294"/>
      <c r="KKD615" s="294"/>
      <c r="KKE615" s="294"/>
      <c r="KKF615" s="294"/>
      <c r="KKG615" s="294"/>
      <c r="KKH615" s="294"/>
      <c r="KKI615" s="294"/>
      <c r="KKJ615" s="294"/>
      <c r="KKK615" s="294"/>
      <c r="KKL615" s="294"/>
      <c r="KKM615" s="294"/>
      <c r="KKN615" s="294"/>
      <c r="KKO615" s="294"/>
      <c r="KKP615" s="294"/>
      <c r="KKQ615" s="294"/>
      <c r="KKR615" s="294"/>
      <c r="KKS615" s="294"/>
      <c r="KKT615" s="294"/>
      <c r="KKU615" s="294"/>
      <c r="KKV615" s="294"/>
      <c r="KKW615" s="294"/>
      <c r="KKX615" s="294"/>
      <c r="KKY615" s="294"/>
      <c r="KKZ615" s="294"/>
      <c r="KLA615" s="294"/>
      <c r="KLB615" s="294"/>
      <c r="KLC615" s="294"/>
      <c r="KLD615" s="294"/>
      <c r="KLE615" s="294"/>
      <c r="KLF615" s="294"/>
      <c r="KLG615" s="294"/>
      <c r="KLH615" s="294"/>
      <c r="KLI615" s="294"/>
      <c r="KLJ615" s="294"/>
      <c r="KLK615" s="294"/>
      <c r="KLL615" s="294"/>
      <c r="KLM615" s="294"/>
      <c r="KLN615" s="294"/>
      <c r="KLO615" s="294"/>
      <c r="KLP615" s="294"/>
      <c r="KLQ615" s="294"/>
      <c r="KLR615" s="294"/>
      <c r="KLS615" s="294"/>
      <c r="KLT615" s="294"/>
      <c r="KLU615" s="294"/>
      <c r="KLV615" s="294"/>
      <c r="KLW615" s="294"/>
      <c r="KLX615" s="294"/>
      <c r="KLY615" s="294"/>
      <c r="KLZ615" s="294"/>
      <c r="KMA615" s="294"/>
      <c r="KMB615" s="294"/>
      <c r="KMC615" s="294"/>
      <c r="KMD615" s="294"/>
      <c r="KME615" s="294"/>
      <c r="KMF615" s="294"/>
      <c r="KMG615" s="294"/>
      <c r="KMH615" s="294"/>
      <c r="KMI615" s="294"/>
      <c r="KMJ615" s="294"/>
      <c r="KMK615" s="294"/>
      <c r="KML615" s="294"/>
      <c r="KMM615" s="294"/>
      <c r="KMN615" s="294"/>
      <c r="KMO615" s="294"/>
      <c r="KMP615" s="294"/>
      <c r="KMQ615" s="294"/>
      <c r="KMR615" s="294"/>
      <c r="KMS615" s="294"/>
      <c r="KMT615" s="294"/>
      <c r="KMU615" s="294"/>
      <c r="KMV615" s="294"/>
      <c r="KMW615" s="294"/>
      <c r="KMX615" s="294"/>
      <c r="KMY615" s="294"/>
      <c r="KMZ615" s="294"/>
      <c r="KNA615" s="294"/>
      <c r="KNB615" s="294"/>
      <c r="KNC615" s="294"/>
      <c r="KND615" s="294"/>
      <c r="KNE615" s="294"/>
      <c r="KNF615" s="294"/>
      <c r="KNG615" s="294"/>
      <c r="KNH615" s="294"/>
      <c r="KNI615" s="294"/>
      <c r="KNJ615" s="294"/>
      <c r="KNK615" s="294"/>
      <c r="KNL615" s="294"/>
      <c r="KNM615" s="294"/>
      <c r="KNN615" s="294"/>
      <c r="KNO615" s="294"/>
      <c r="KNP615" s="294"/>
      <c r="KNQ615" s="294"/>
      <c r="KNR615" s="294"/>
      <c r="KNS615" s="294"/>
      <c r="KNT615" s="294"/>
      <c r="KNU615" s="294"/>
      <c r="KNV615" s="294"/>
      <c r="KNW615" s="294"/>
      <c r="KNX615" s="294"/>
      <c r="KNY615" s="294"/>
      <c r="KNZ615" s="294"/>
      <c r="KOA615" s="294"/>
      <c r="KOB615" s="294"/>
      <c r="KOC615" s="294"/>
      <c r="KOD615" s="294"/>
      <c r="KOE615" s="294"/>
      <c r="KOF615" s="294"/>
      <c r="KOG615" s="294"/>
      <c r="KOH615" s="294"/>
      <c r="KOI615" s="294"/>
      <c r="KOJ615" s="294"/>
      <c r="KOK615" s="294"/>
      <c r="KOL615" s="294"/>
      <c r="KOM615" s="294"/>
      <c r="KON615" s="294"/>
      <c r="KOO615" s="294"/>
      <c r="KOP615" s="294"/>
      <c r="KOQ615" s="294"/>
      <c r="KOR615" s="294"/>
      <c r="KOS615" s="294"/>
      <c r="KOT615" s="294"/>
      <c r="KOU615" s="294"/>
      <c r="KOV615" s="294"/>
      <c r="KOW615" s="294"/>
      <c r="KOX615" s="294"/>
      <c r="KOY615" s="294"/>
      <c r="KOZ615" s="294"/>
      <c r="KPA615" s="294"/>
      <c r="KPB615" s="294"/>
      <c r="KPC615" s="294"/>
      <c r="KPD615" s="294"/>
      <c r="KPE615" s="294"/>
      <c r="KPF615" s="294"/>
      <c r="KPG615" s="294"/>
      <c r="KPH615" s="294"/>
      <c r="KPI615" s="294"/>
      <c r="KPJ615" s="294"/>
      <c r="KPK615" s="294"/>
      <c r="KPL615" s="294"/>
      <c r="KPM615" s="294"/>
      <c r="KPN615" s="294"/>
      <c r="KPO615" s="294"/>
      <c r="KPP615" s="294"/>
      <c r="KPQ615" s="294"/>
      <c r="KPR615" s="294"/>
      <c r="KPS615" s="294"/>
      <c r="KPT615" s="294"/>
      <c r="KPU615" s="294"/>
      <c r="KPV615" s="294"/>
      <c r="KPW615" s="294"/>
      <c r="KPX615" s="294"/>
      <c r="KPY615" s="294"/>
      <c r="KPZ615" s="294"/>
      <c r="KQA615" s="294"/>
      <c r="KQB615" s="294"/>
      <c r="KQC615" s="294"/>
      <c r="KQD615" s="294"/>
      <c r="KQE615" s="294"/>
      <c r="KQF615" s="294"/>
      <c r="KQG615" s="294"/>
      <c r="KQH615" s="294"/>
      <c r="KQI615" s="294"/>
      <c r="KQJ615" s="294"/>
      <c r="KQK615" s="294"/>
      <c r="KQL615" s="294"/>
      <c r="KQM615" s="294"/>
      <c r="KQN615" s="294"/>
      <c r="KQO615" s="294"/>
      <c r="KQP615" s="294"/>
      <c r="KQQ615" s="294"/>
      <c r="KQR615" s="294"/>
      <c r="KQS615" s="294"/>
      <c r="KQT615" s="294"/>
      <c r="KQU615" s="294"/>
      <c r="KQV615" s="294"/>
      <c r="KQW615" s="294"/>
      <c r="KQX615" s="294"/>
      <c r="KQY615" s="294"/>
      <c r="KQZ615" s="294"/>
      <c r="KRA615" s="294"/>
      <c r="KRB615" s="294"/>
      <c r="KRC615" s="294"/>
      <c r="KRD615" s="294"/>
      <c r="KRE615" s="294"/>
      <c r="KRF615" s="294"/>
      <c r="KRG615" s="294"/>
      <c r="KRH615" s="294"/>
      <c r="KRI615" s="294"/>
      <c r="KRJ615" s="294"/>
      <c r="KRK615" s="294"/>
      <c r="KRL615" s="294"/>
      <c r="KRM615" s="294"/>
      <c r="KRN615" s="294"/>
      <c r="KRO615" s="294"/>
      <c r="KRP615" s="294"/>
      <c r="KRQ615" s="294"/>
      <c r="KRR615" s="294"/>
      <c r="KRS615" s="294"/>
      <c r="KRT615" s="294"/>
      <c r="KRU615" s="294"/>
      <c r="KRV615" s="294"/>
      <c r="KRW615" s="294"/>
      <c r="KRX615" s="294"/>
      <c r="KRY615" s="294"/>
      <c r="KRZ615" s="294"/>
      <c r="KSA615" s="294"/>
      <c r="KSB615" s="294"/>
      <c r="KSC615" s="294"/>
      <c r="KSD615" s="294"/>
      <c r="KSE615" s="294"/>
      <c r="KSF615" s="294"/>
      <c r="KSG615" s="294"/>
      <c r="KSH615" s="294"/>
      <c r="KSI615" s="294"/>
      <c r="KSJ615" s="294"/>
      <c r="KSK615" s="294"/>
      <c r="KSL615" s="294"/>
      <c r="KSM615" s="294"/>
      <c r="KSN615" s="294"/>
      <c r="KSO615" s="294"/>
      <c r="KSP615" s="294"/>
      <c r="KSQ615" s="294"/>
      <c r="KSR615" s="294"/>
      <c r="KSS615" s="294"/>
      <c r="KST615" s="294"/>
      <c r="KSU615" s="294"/>
      <c r="KSV615" s="294"/>
      <c r="KSW615" s="294"/>
      <c r="KSX615" s="294"/>
      <c r="KSY615" s="294"/>
      <c r="KSZ615" s="294"/>
      <c r="KTA615" s="294"/>
      <c r="KTB615" s="294"/>
      <c r="KTC615" s="294"/>
      <c r="KTD615" s="294"/>
      <c r="KTE615" s="294"/>
      <c r="KTF615" s="294"/>
      <c r="KTG615" s="294"/>
      <c r="KTH615" s="294"/>
      <c r="KTI615" s="294"/>
      <c r="KTJ615" s="294"/>
      <c r="KTK615" s="294"/>
      <c r="KTL615" s="294"/>
      <c r="KTM615" s="294"/>
      <c r="KTN615" s="294"/>
      <c r="KTO615" s="294"/>
      <c r="KTP615" s="294"/>
      <c r="KTQ615" s="294"/>
      <c r="KTR615" s="294"/>
      <c r="KTS615" s="294"/>
      <c r="KTT615" s="294"/>
      <c r="KTU615" s="294"/>
      <c r="KTV615" s="294"/>
      <c r="KTW615" s="294"/>
      <c r="KTX615" s="294"/>
      <c r="KTY615" s="294"/>
      <c r="KTZ615" s="294"/>
      <c r="KUA615" s="294"/>
      <c r="KUB615" s="294"/>
      <c r="KUC615" s="294"/>
      <c r="KUD615" s="294"/>
      <c r="KUE615" s="294"/>
      <c r="KUF615" s="294"/>
      <c r="KUG615" s="294"/>
      <c r="KUH615" s="294"/>
      <c r="KUI615" s="294"/>
      <c r="KUJ615" s="294"/>
      <c r="KUK615" s="294"/>
      <c r="KUL615" s="294"/>
      <c r="KUM615" s="294"/>
      <c r="KUN615" s="294"/>
      <c r="KUO615" s="294"/>
      <c r="KUP615" s="294"/>
      <c r="KUQ615" s="294"/>
      <c r="KUR615" s="294"/>
      <c r="KUS615" s="294"/>
      <c r="KUT615" s="294"/>
      <c r="KUU615" s="294"/>
      <c r="KUV615" s="294"/>
      <c r="KUW615" s="294"/>
      <c r="KUX615" s="294"/>
      <c r="KUY615" s="294"/>
      <c r="KUZ615" s="294"/>
      <c r="KVA615" s="294"/>
      <c r="KVB615" s="294"/>
      <c r="KVC615" s="294"/>
      <c r="KVD615" s="294"/>
      <c r="KVE615" s="294"/>
      <c r="KVF615" s="294"/>
      <c r="KVG615" s="294"/>
      <c r="KVH615" s="294"/>
      <c r="KVI615" s="294"/>
      <c r="KVJ615" s="294"/>
      <c r="KVK615" s="294"/>
      <c r="KVL615" s="294"/>
      <c r="KVM615" s="294"/>
      <c r="KVN615" s="294"/>
      <c r="KVO615" s="294"/>
      <c r="KVP615" s="294"/>
      <c r="KVQ615" s="294"/>
      <c r="KVR615" s="294"/>
      <c r="KVS615" s="294"/>
      <c r="KVT615" s="294"/>
      <c r="KVU615" s="294"/>
      <c r="KVV615" s="294"/>
      <c r="KVW615" s="294"/>
      <c r="KVX615" s="294"/>
      <c r="KVY615" s="294"/>
      <c r="KVZ615" s="294"/>
      <c r="KWA615" s="294"/>
      <c r="KWB615" s="294"/>
      <c r="KWC615" s="294"/>
      <c r="KWD615" s="294"/>
      <c r="KWE615" s="294"/>
      <c r="KWF615" s="294"/>
      <c r="KWG615" s="294"/>
      <c r="KWH615" s="294"/>
      <c r="KWI615" s="294"/>
      <c r="KWJ615" s="294"/>
      <c r="KWK615" s="294"/>
      <c r="KWL615" s="294"/>
      <c r="KWM615" s="294"/>
      <c r="KWN615" s="294"/>
      <c r="KWO615" s="294"/>
      <c r="KWP615" s="294"/>
      <c r="KWQ615" s="294"/>
      <c r="KWR615" s="294"/>
      <c r="KWS615" s="294"/>
      <c r="KWT615" s="294"/>
      <c r="KWU615" s="294"/>
      <c r="KWV615" s="294"/>
      <c r="KWW615" s="294"/>
      <c r="KWX615" s="294"/>
      <c r="KWY615" s="294"/>
      <c r="KWZ615" s="294"/>
      <c r="KXA615" s="294"/>
      <c r="KXB615" s="294"/>
      <c r="KXC615" s="294"/>
      <c r="KXD615" s="294"/>
      <c r="KXE615" s="294"/>
      <c r="KXF615" s="294"/>
      <c r="KXG615" s="294"/>
      <c r="KXH615" s="294"/>
      <c r="KXI615" s="294"/>
      <c r="KXJ615" s="294"/>
      <c r="KXK615" s="294"/>
      <c r="KXL615" s="294"/>
      <c r="KXM615" s="294"/>
      <c r="KXN615" s="294"/>
      <c r="KXO615" s="294"/>
      <c r="KXP615" s="294"/>
      <c r="KXQ615" s="294"/>
      <c r="KXR615" s="294"/>
      <c r="KXS615" s="294"/>
      <c r="KXT615" s="294"/>
      <c r="KXU615" s="294"/>
      <c r="KXV615" s="294"/>
      <c r="KXW615" s="294"/>
      <c r="KXX615" s="294"/>
      <c r="KXY615" s="294"/>
      <c r="KXZ615" s="294"/>
      <c r="KYA615" s="294"/>
      <c r="KYB615" s="294"/>
      <c r="KYC615" s="294"/>
      <c r="KYD615" s="294"/>
      <c r="KYE615" s="294"/>
      <c r="KYF615" s="294"/>
      <c r="KYG615" s="294"/>
      <c r="KYH615" s="294"/>
      <c r="KYI615" s="294"/>
      <c r="KYJ615" s="294"/>
      <c r="KYK615" s="294"/>
      <c r="KYL615" s="294"/>
      <c r="KYM615" s="294"/>
      <c r="KYN615" s="294"/>
      <c r="KYO615" s="294"/>
      <c r="KYP615" s="294"/>
      <c r="KYQ615" s="294"/>
      <c r="KYR615" s="294"/>
      <c r="KYS615" s="294"/>
      <c r="KYT615" s="294"/>
      <c r="KYU615" s="294"/>
      <c r="KYV615" s="294"/>
      <c r="KYW615" s="294"/>
      <c r="KYX615" s="294"/>
      <c r="KYY615" s="294"/>
      <c r="KYZ615" s="294"/>
      <c r="KZA615" s="294"/>
      <c r="KZB615" s="294"/>
      <c r="KZC615" s="294"/>
      <c r="KZD615" s="294"/>
      <c r="KZE615" s="294"/>
      <c r="KZF615" s="294"/>
      <c r="KZG615" s="294"/>
      <c r="KZH615" s="294"/>
      <c r="KZI615" s="294"/>
      <c r="KZJ615" s="294"/>
      <c r="KZK615" s="294"/>
      <c r="KZL615" s="294"/>
      <c r="KZM615" s="294"/>
      <c r="KZN615" s="294"/>
      <c r="KZO615" s="294"/>
      <c r="KZP615" s="294"/>
      <c r="KZQ615" s="294"/>
      <c r="KZR615" s="294"/>
      <c r="KZS615" s="294"/>
      <c r="KZT615" s="294"/>
      <c r="KZU615" s="294"/>
      <c r="KZV615" s="294"/>
      <c r="KZW615" s="294"/>
      <c r="KZX615" s="294"/>
      <c r="KZY615" s="294"/>
      <c r="KZZ615" s="294"/>
      <c r="LAA615" s="294"/>
      <c r="LAB615" s="294"/>
      <c r="LAC615" s="294"/>
      <c r="LAD615" s="294"/>
      <c r="LAE615" s="294"/>
      <c r="LAF615" s="294"/>
      <c r="LAG615" s="294"/>
      <c r="LAH615" s="294"/>
      <c r="LAI615" s="294"/>
      <c r="LAJ615" s="294"/>
      <c r="LAK615" s="294"/>
      <c r="LAL615" s="294"/>
      <c r="LAM615" s="294"/>
      <c r="LAN615" s="294"/>
      <c r="LAO615" s="294"/>
      <c r="LAP615" s="294"/>
      <c r="LAQ615" s="294"/>
      <c r="LAR615" s="294"/>
      <c r="LAS615" s="294"/>
      <c r="LAT615" s="294"/>
      <c r="LAU615" s="294"/>
      <c r="LAV615" s="294"/>
      <c r="LAW615" s="294"/>
      <c r="LAX615" s="294"/>
      <c r="LAY615" s="294"/>
      <c r="LAZ615" s="294"/>
      <c r="LBA615" s="294"/>
      <c r="LBB615" s="294"/>
      <c r="LBC615" s="294"/>
      <c r="LBD615" s="294"/>
      <c r="LBE615" s="294"/>
      <c r="LBF615" s="294"/>
      <c r="LBG615" s="294"/>
      <c r="LBH615" s="294"/>
      <c r="LBI615" s="294"/>
      <c r="LBJ615" s="294"/>
      <c r="LBK615" s="294"/>
      <c r="LBL615" s="294"/>
      <c r="LBM615" s="294"/>
      <c r="LBN615" s="294"/>
      <c r="LBO615" s="294"/>
      <c r="LBP615" s="294"/>
      <c r="LBQ615" s="294"/>
      <c r="LBR615" s="294"/>
      <c r="LBS615" s="294"/>
      <c r="LBT615" s="294"/>
      <c r="LBU615" s="294"/>
      <c r="LBV615" s="294"/>
      <c r="LBW615" s="294"/>
      <c r="LBX615" s="294"/>
      <c r="LBY615" s="294"/>
      <c r="LBZ615" s="294"/>
      <c r="LCA615" s="294"/>
      <c r="LCB615" s="294"/>
      <c r="LCC615" s="294"/>
      <c r="LCD615" s="294"/>
      <c r="LCE615" s="294"/>
      <c r="LCF615" s="294"/>
      <c r="LCG615" s="294"/>
      <c r="LCH615" s="294"/>
      <c r="LCI615" s="294"/>
      <c r="LCJ615" s="294"/>
      <c r="LCK615" s="294"/>
      <c r="LCL615" s="294"/>
      <c r="LCM615" s="294"/>
      <c r="LCN615" s="294"/>
      <c r="LCO615" s="294"/>
      <c r="LCP615" s="294"/>
      <c r="LCQ615" s="294"/>
      <c r="LCR615" s="294"/>
      <c r="LCS615" s="294"/>
      <c r="LCT615" s="294"/>
      <c r="LCU615" s="294"/>
      <c r="LCV615" s="294"/>
      <c r="LCW615" s="294"/>
      <c r="LCX615" s="294"/>
      <c r="LCY615" s="294"/>
      <c r="LCZ615" s="294"/>
      <c r="LDA615" s="294"/>
      <c r="LDB615" s="294"/>
      <c r="LDC615" s="294"/>
      <c r="LDD615" s="294"/>
      <c r="LDE615" s="294"/>
      <c r="LDF615" s="294"/>
      <c r="LDG615" s="294"/>
      <c r="LDH615" s="294"/>
      <c r="LDI615" s="294"/>
      <c r="LDJ615" s="294"/>
      <c r="LDK615" s="294"/>
      <c r="LDL615" s="294"/>
      <c r="LDM615" s="294"/>
      <c r="LDN615" s="294"/>
      <c r="LDO615" s="294"/>
      <c r="LDP615" s="294"/>
      <c r="LDQ615" s="294"/>
      <c r="LDR615" s="294"/>
      <c r="LDS615" s="294"/>
      <c r="LDT615" s="294"/>
      <c r="LDU615" s="294"/>
      <c r="LDV615" s="294"/>
      <c r="LDW615" s="294"/>
      <c r="LDX615" s="294"/>
      <c r="LDY615" s="294"/>
      <c r="LDZ615" s="294"/>
      <c r="LEA615" s="294"/>
      <c r="LEB615" s="294"/>
      <c r="LEC615" s="294"/>
      <c r="LED615" s="294"/>
      <c r="LEE615" s="294"/>
      <c r="LEF615" s="294"/>
      <c r="LEG615" s="294"/>
      <c r="LEH615" s="294"/>
      <c r="LEI615" s="294"/>
      <c r="LEJ615" s="294"/>
      <c r="LEK615" s="294"/>
      <c r="LEL615" s="294"/>
      <c r="LEM615" s="294"/>
      <c r="LEN615" s="294"/>
      <c r="LEO615" s="294"/>
      <c r="LEP615" s="294"/>
      <c r="LEQ615" s="294"/>
      <c r="LER615" s="294"/>
      <c r="LES615" s="294"/>
      <c r="LET615" s="294"/>
      <c r="LEU615" s="294"/>
      <c r="LEV615" s="294"/>
      <c r="LEW615" s="294"/>
      <c r="LEX615" s="294"/>
      <c r="LEY615" s="294"/>
      <c r="LEZ615" s="294"/>
      <c r="LFA615" s="294"/>
      <c r="LFB615" s="294"/>
      <c r="LFC615" s="294"/>
      <c r="LFD615" s="294"/>
      <c r="LFE615" s="294"/>
      <c r="LFF615" s="294"/>
      <c r="LFG615" s="294"/>
      <c r="LFH615" s="294"/>
      <c r="LFI615" s="294"/>
      <c r="LFJ615" s="294"/>
      <c r="LFK615" s="294"/>
      <c r="LFL615" s="294"/>
      <c r="LFM615" s="294"/>
      <c r="LFN615" s="294"/>
      <c r="LFO615" s="294"/>
      <c r="LFP615" s="294"/>
      <c r="LFQ615" s="294"/>
      <c r="LFR615" s="294"/>
      <c r="LFS615" s="294"/>
      <c r="LFT615" s="294"/>
      <c r="LFU615" s="294"/>
      <c r="LFV615" s="294"/>
      <c r="LFW615" s="294"/>
      <c r="LFX615" s="294"/>
      <c r="LFY615" s="294"/>
      <c r="LFZ615" s="294"/>
      <c r="LGA615" s="294"/>
      <c r="LGB615" s="294"/>
      <c r="LGC615" s="294"/>
      <c r="LGD615" s="294"/>
      <c r="LGE615" s="294"/>
      <c r="LGF615" s="294"/>
      <c r="LGG615" s="294"/>
      <c r="LGH615" s="294"/>
      <c r="LGI615" s="294"/>
      <c r="LGJ615" s="294"/>
      <c r="LGK615" s="294"/>
      <c r="LGL615" s="294"/>
      <c r="LGM615" s="294"/>
      <c r="LGN615" s="294"/>
      <c r="LGO615" s="294"/>
      <c r="LGP615" s="294"/>
      <c r="LGQ615" s="294"/>
      <c r="LGR615" s="294"/>
      <c r="LGS615" s="294"/>
      <c r="LGT615" s="294"/>
      <c r="LGU615" s="294"/>
      <c r="LGV615" s="294"/>
      <c r="LGW615" s="294"/>
      <c r="LGX615" s="294"/>
      <c r="LGY615" s="294"/>
      <c r="LGZ615" s="294"/>
      <c r="LHA615" s="294"/>
      <c r="LHB615" s="294"/>
      <c r="LHC615" s="294"/>
      <c r="LHD615" s="294"/>
      <c r="LHE615" s="294"/>
      <c r="LHF615" s="294"/>
      <c r="LHG615" s="294"/>
      <c r="LHH615" s="294"/>
      <c r="LHI615" s="294"/>
      <c r="LHJ615" s="294"/>
      <c r="LHK615" s="294"/>
      <c r="LHL615" s="294"/>
      <c r="LHM615" s="294"/>
      <c r="LHN615" s="294"/>
      <c r="LHO615" s="294"/>
      <c r="LHP615" s="294"/>
      <c r="LHQ615" s="294"/>
      <c r="LHR615" s="294"/>
      <c r="LHS615" s="294"/>
      <c r="LHT615" s="294"/>
      <c r="LHU615" s="294"/>
      <c r="LHV615" s="294"/>
      <c r="LHW615" s="294"/>
      <c r="LHX615" s="294"/>
      <c r="LHY615" s="294"/>
      <c r="LHZ615" s="294"/>
      <c r="LIA615" s="294"/>
      <c r="LIB615" s="294"/>
      <c r="LIC615" s="294"/>
      <c r="LID615" s="294"/>
      <c r="LIE615" s="294"/>
      <c r="LIF615" s="294"/>
      <c r="LIG615" s="294"/>
      <c r="LIH615" s="294"/>
      <c r="LII615" s="294"/>
      <c r="LIJ615" s="294"/>
      <c r="LIK615" s="294"/>
      <c r="LIL615" s="294"/>
      <c r="LIM615" s="294"/>
      <c r="LIN615" s="294"/>
      <c r="LIO615" s="294"/>
      <c r="LIP615" s="294"/>
      <c r="LIQ615" s="294"/>
      <c r="LIR615" s="294"/>
      <c r="LIS615" s="294"/>
      <c r="LIT615" s="294"/>
      <c r="LIU615" s="294"/>
      <c r="LIV615" s="294"/>
      <c r="LIW615" s="294"/>
      <c r="LIX615" s="294"/>
      <c r="LIY615" s="294"/>
      <c r="LIZ615" s="294"/>
      <c r="LJA615" s="294"/>
      <c r="LJB615" s="294"/>
      <c r="LJC615" s="294"/>
      <c r="LJD615" s="294"/>
      <c r="LJE615" s="294"/>
      <c r="LJF615" s="294"/>
      <c r="LJG615" s="294"/>
      <c r="LJH615" s="294"/>
      <c r="LJI615" s="294"/>
      <c r="LJJ615" s="294"/>
      <c r="LJK615" s="294"/>
      <c r="LJL615" s="294"/>
      <c r="LJM615" s="294"/>
      <c r="LJN615" s="294"/>
      <c r="LJO615" s="294"/>
      <c r="LJP615" s="294"/>
      <c r="LJQ615" s="294"/>
      <c r="LJR615" s="294"/>
      <c r="LJS615" s="294"/>
      <c r="LJT615" s="294"/>
      <c r="LJU615" s="294"/>
      <c r="LJV615" s="294"/>
      <c r="LJW615" s="294"/>
      <c r="LJX615" s="294"/>
      <c r="LJY615" s="294"/>
      <c r="LJZ615" s="294"/>
      <c r="LKA615" s="294"/>
      <c r="LKB615" s="294"/>
      <c r="LKC615" s="294"/>
      <c r="LKD615" s="294"/>
      <c r="LKE615" s="294"/>
      <c r="LKF615" s="294"/>
      <c r="LKG615" s="294"/>
      <c r="LKH615" s="294"/>
      <c r="LKI615" s="294"/>
      <c r="LKJ615" s="294"/>
      <c r="LKK615" s="294"/>
      <c r="LKL615" s="294"/>
      <c r="LKM615" s="294"/>
      <c r="LKN615" s="294"/>
      <c r="LKO615" s="294"/>
      <c r="LKP615" s="294"/>
      <c r="LKQ615" s="294"/>
      <c r="LKR615" s="294"/>
      <c r="LKS615" s="294"/>
      <c r="LKT615" s="294"/>
      <c r="LKU615" s="294"/>
      <c r="LKV615" s="294"/>
      <c r="LKW615" s="294"/>
      <c r="LKX615" s="294"/>
      <c r="LKY615" s="294"/>
      <c r="LKZ615" s="294"/>
      <c r="LLA615" s="294"/>
      <c r="LLB615" s="294"/>
      <c r="LLC615" s="294"/>
      <c r="LLD615" s="294"/>
      <c r="LLE615" s="294"/>
      <c r="LLF615" s="294"/>
      <c r="LLG615" s="294"/>
      <c r="LLH615" s="294"/>
      <c r="LLI615" s="294"/>
      <c r="LLJ615" s="294"/>
      <c r="LLK615" s="294"/>
      <c r="LLL615" s="294"/>
      <c r="LLM615" s="294"/>
      <c r="LLN615" s="294"/>
      <c r="LLO615" s="294"/>
      <c r="LLP615" s="294"/>
      <c r="LLQ615" s="294"/>
      <c r="LLR615" s="294"/>
      <c r="LLS615" s="294"/>
      <c r="LLT615" s="294"/>
      <c r="LLU615" s="294"/>
      <c r="LLV615" s="294"/>
      <c r="LLW615" s="294"/>
      <c r="LLX615" s="294"/>
      <c r="LLY615" s="294"/>
      <c r="LLZ615" s="294"/>
      <c r="LMA615" s="294"/>
      <c r="LMB615" s="294"/>
      <c r="LMC615" s="294"/>
      <c r="LMD615" s="294"/>
      <c r="LME615" s="294"/>
      <c r="LMF615" s="294"/>
      <c r="LMG615" s="294"/>
      <c r="LMH615" s="294"/>
      <c r="LMI615" s="294"/>
      <c r="LMJ615" s="294"/>
      <c r="LMK615" s="294"/>
      <c r="LML615" s="294"/>
      <c r="LMM615" s="294"/>
      <c r="LMN615" s="294"/>
      <c r="LMO615" s="294"/>
      <c r="LMP615" s="294"/>
      <c r="LMQ615" s="294"/>
      <c r="LMR615" s="294"/>
      <c r="LMS615" s="294"/>
      <c r="LMT615" s="294"/>
      <c r="LMU615" s="294"/>
      <c r="LMV615" s="294"/>
      <c r="LMW615" s="294"/>
      <c r="LMX615" s="294"/>
      <c r="LMY615" s="294"/>
      <c r="LMZ615" s="294"/>
      <c r="LNA615" s="294"/>
      <c r="LNB615" s="294"/>
      <c r="LNC615" s="294"/>
      <c r="LND615" s="294"/>
      <c r="LNE615" s="294"/>
      <c r="LNF615" s="294"/>
      <c r="LNG615" s="294"/>
      <c r="LNH615" s="294"/>
      <c r="LNI615" s="294"/>
      <c r="LNJ615" s="294"/>
      <c r="LNK615" s="294"/>
      <c r="LNL615" s="294"/>
      <c r="LNM615" s="294"/>
      <c r="LNN615" s="294"/>
      <c r="LNO615" s="294"/>
      <c r="LNP615" s="294"/>
      <c r="LNQ615" s="294"/>
      <c r="LNR615" s="294"/>
      <c r="LNS615" s="294"/>
      <c r="LNT615" s="294"/>
      <c r="LNU615" s="294"/>
      <c r="LNV615" s="294"/>
      <c r="LNW615" s="294"/>
      <c r="LNX615" s="294"/>
      <c r="LNY615" s="294"/>
      <c r="LNZ615" s="294"/>
      <c r="LOA615" s="294"/>
      <c r="LOB615" s="294"/>
      <c r="LOC615" s="294"/>
      <c r="LOD615" s="294"/>
      <c r="LOE615" s="294"/>
      <c r="LOF615" s="294"/>
      <c r="LOG615" s="294"/>
      <c r="LOH615" s="294"/>
      <c r="LOI615" s="294"/>
      <c r="LOJ615" s="294"/>
      <c r="LOK615" s="294"/>
      <c r="LOL615" s="294"/>
      <c r="LOM615" s="294"/>
      <c r="LON615" s="294"/>
      <c r="LOO615" s="294"/>
      <c r="LOP615" s="294"/>
      <c r="LOQ615" s="294"/>
      <c r="LOR615" s="294"/>
      <c r="LOS615" s="294"/>
      <c r="LOT615" s="294"/>
      <c r="LOU615" s="294"/>
      <c r="LOV615" s="294"/>
      <c r="LOW615" s="294"/>
      <c r="LOX615" s="294"/>
      <c r="LOY615" s="294"/>
      <c r="LOZ615" s="294"/>
      <c r="LPA615" s="294"/>
      <c r="LPB615" s="294"/>
      <c r="LPC615" s="294"/>
      <c r="LPD615" s="294"/>
      <c r="LPE615" s="294"/>
      <c r="LPF615" s="294"/>
      <c r="LPG615" s="294"/>
      <c r="LPH615" s="294"/>
      <c r="LPI615" s="294"/>
      <c r="LPJ615" s="294"/>
      <c r="LPK615" s="294"/>
      <c r="LPL615" s="294"/>
      <c r="LPM615" s="294"/>
      <c r="LPN615" s="294"/>
      <c r="LPO615" s="294"/>
      <c r="LPP615" s="294"/>
      <c r="LPQ615" s="294"/>
      <c r="LPR615" s="294"/>
      <c r="LPS615" s="294"/>
      <c r="LPT615" s="294"/>
      <c r="LPU615" s="294"/>
      <c r="LPV615" s="294"/>
      <c r="LPW615" s="294"/>
      <c r="LPX615" s="294"/>
      <c r="LPY615" s="294"/>
      <c r="LPZ615" s="294"/>
      <c r="LQA615" s="294"/>
      <c r="LQB615" s="294"/>
      <c r="LQC615" s="294"/>
      <c r="LQD615" s="294"/>
      <c r="LQE615" s="294"/>
      <c r="LQF615" s="294"/>
      <c r="LQG615" s="294"/>
      <c r="LQH615" s="294"/>
      <c r="LQI615" s="294"/>
      <c r="LQJ615" s="294"/>
      <c r="LQK615" s="294"/>
      <c r="LQL615" s="294"/>
      <c r="LQM615" s="294"/>
      <c r="LQN615" s="294"/>
      <c r="LQO615" s="294"/>
      <c r="LQP615" s="294"/>
      <c r="LQQ615" s="294"/>
      <c r="LQR615" s="294"/>
      <c r="LQS615" s="294"/>
      <c r="LQT615" s="294"/>
      <c r="LQU615" s="294"/>
      <c r="LQV615" s="294"/>
      <c r="LQW615" s="294"/>
      <c r="LQX615" s="294"/>
      <c r="LQY615" s="294"/>
      <c r="LQZ615" s="294"/>
      <c r="LRA615" s="294"/>
      <c r="LRB615" s="294"/>
      <c r="LRC615" s="294"/>
      <c r="LRD615" s="294"/>
      <c r="LRE615" s="294"/>
      <c r="LRF615" s="294"/>
      <c r="LRG615" s="294"/>
      <c r="LRH615" s="294"/>
      <c r="LRI615" s="294"/>
      <c r="LRJ615" s="294"/>
      <c r="LRK615" s="294"/>
      <c r="LRL615" s="294"/>
      <c r="LRM615" s="294"/>
      <c r="LRN615" s="294"/>
      <c r="LRO615" s="294"/>
      <c r="LRP615" s="294"/>
      <c r="LRQ615" s="294"/>
      <c r="LRR615" s="294"/>
      <c r="LRS615" s="294"/>
      <c r="LRT615" s="294"/>
      <c r="LRU615" s="294"/>
      <c r="LRV615" s="294"/>
      <c r="LRW615" s="294"/>
      <c r="LRX615" s="294"/>
      <c r="LRY615" s="294"/>
      <c r="LRZ615" s="294"/>
      <c r="LSA615" s="294"/>
      <c r="LSB615" s="294"/>
      <c r="LSC615" s="294"/>
      <c r="LSD615" s="294"/>
      <c r="LSE615" s="294"/>
      <c r="LSF615" s="294"/>
      <c r="LSG615" s="294"/>
      <c r="LSH615" s="294"/>
      <c r="LSI615" s="294"/>
      <c r="LSJ615" s="294"/>
      <c r="LSK615" s="294"/>
      <c r="LSL615" s="294"/>
      <c r="LSM615" s="294"/>
      <c r="LSN615" s="294"/>
      <c r="LSO615" s="294"/>
      <c r="LSP615" s="294"/>
      <c r="LSQ615" s="294"/>
      <c r="LSR615" s="294"/>
      <c r="LSS615" s="294"/>
      <c r="LST615" s="294"/>
      <c r="LSU615" s="294"/>
      <c r="LSV615" s="294"/>
      <c r="LSW615" s="294"/>
      <c r="LSX615" s="294"/>
      <c r="LSY615" s="294"/>
      <c r="LSZ615" s="294"/>
      <c r="LTA615" s="294"/>
      <c r="LTB615" s="294"/>
      <c r="LTC615" s="294"/>
      <c r="LTD615" s="294"/>
      <c r="LTE615" s="294"/>
      <c r="LTF615" s="294"/>
      <c r="LTG615" s="294"/>
      <c r="LTH615" s="294"/>
      <c r="LTI615" s="294"/>
      <c r="LTJ615" s="294"/>
      <c r="LTK615" s="294"/>
      <c r="LTL615" s="294"/>
      <c r="LTM615" s="294"/>
      <c r="LTN615" s="294"/>
      <c r="LTO615" s="294"/>
      <c r="LTP615" s="294"/>
      <c r="LTQ615" s="294"/>
      <c r="LTR615" s="294"/>
      <c r="LTS615" s="294"/>
      <c r="LTT615" s="294"/>
      <c r="LTU615" s="294"/>
      <c r="LTV615" s="294"/>
      <c r="LTW615" s="294"/>
      <c r="LTX615" s="294"/>
      <c r="LTY615" s="294"/>
      <c r="LTZ615" s="294"/>
      <c r="LUA615" s="294"/>
      <c r="LUB615" s="294"/>
      <c r="LUC615" s="294"/>
      <c r="LUD615" s="294"/>
      <c r="LUE615" s="294"/>
      <c r="LUF615" s="294"/>
      <c r="LUG615" s="294"/>
      <c r="LUH615" s="294"/>
      <c r="LUI615" s="294"/>
      <c r="LUJ615" s="294"/>
      <c r="LUK615" s="294"/>
      <c r="LUL615" s="294"/>
      <c r="LUM615" s="294"/>
      <c r="LUN615" s="294"/>
      <c r="LUO615" s="294"/>
      <c r="LUP615" s="294"/>
      <c r="LUQ615" s="294"/>
      <c r="LUR615" s="294"/>
      <c r="LUS615" s="294"/>
      <c r="LUT615" s="294"/>
      <c r="LUU615" s="294"/>
      <c r="LUV615" s="294"/>
      <c r="LUW615" s="294"/>
      <c r="LUX615" s="294"/>
      <c r="LUY615" s="294"/>
      <c r="LUZ615" s="294"/>
      <c r="LVA615" s="294"/>
      <c r="LVB615" s="294"/>
      <c r="LVC615" s="294"/>
      <c r="LVD615" s="294"/>
      <c r="LVE615" s="294"/>
      <c r="LVF615" s="294"/>
      <c r="LVG615" s="294"/>
      <c r="LVH615" s="294"/>
      <c r="LVI615" s="294"/>
      <c r="LVJ615" s="294"/>
      <c r="LVK615" s="294"/>
      <c r="LVL615" s="294"/>
      <c r="LVM615" s="294"/>
      <c r="LVN615" s="294"/>
      <c r="LVO615" s="294"/>
      <c r="LVP615" s="294"/>
      <c r="LVQ615" s="294"/>
      <c r="LVR615" s="294"/>
      <c r="LVS615" s="294"/>
      <c r="LVT615" s="294"/>
      <c r="LVU615" s="294"/>
      <c r="LVV615" s="294"/>
      <c r="LVW615" s="294"/>
      <c r="LVX615" s="294"/>
      <c r="LVY615" s="294"/>
      <c r="LVZ615" s="294"/>
      <c r="LWA615" s="294"/>
      <c r="LWB615" s="294"/>
      <c r="LWC615" s="294"/>
      <c r="LWD615" s="294"/>
      <c r="LWE615" s="294"/>
      <c r="LWF615" s="294"/>
      <c r="LWG615" s="294"/>
      <c r="LWH615" s="294"/>
      <c r="LWI615" s="294"/>
      <c r="LWJ615" s="294"/>
      <c r="LWK615" s="294"/>
      <c r="LWL615" s="294"/>
      <c r="LWM615" s="294"/>
      <c r="LWN615" s="294"/>
      <c r="LWO615" s="294"/>
      <c r="LWP615" s="294"/>
      <c r="LWQ615" s="294"/>
      <c r="LWR615" s="294"/>
      <c r="LWS615" s="294"/>
      <c r="LWT615" s="294"/>
      <c r="LWU615" s="294"/>
      <c r="LWV615" s="294"/>
      <c r="LWW615" s="294"/>
      <c r="LWX615" s="294"/>
      <c r="LWY615" s="294"/>
      <c r="LWZ615" s="294"/>
      <c r="LXA615" s="294"/>
      <c r="LXB615" s="294"/>
      <c r="LXC615" s="294"/>
      <c r="LXD615" s="294"/>
      <c r="LXE615" s="294"/>
      <c r="LXF615" s="294"/>
      <c r="LXG615" s="294"/>
      <c r="LXH615" s="294"/>
      <c r="LXI615" s="294"/>
      <c r="LXJ615" s="294"/>
      <c r="LXK615" s="294"/>
      <c r="LXL615" s="294"/>
      <c r="LXM615" s="294"/>
      <c r="LXN615" s="294"/>
      <c r="LXO615" s="294"/>
      <c r="LXP615" s="294"/>
      <c r="LXQ615" s="294"/>
      <c r="LXR615" s="294"/>
      <c r="LXS615" s="294"/>
      <c r="LXT615" s="294"/>
      <c r="LXU615" s="294"/>
      <c r="LXV615" s="294"/>
      <c r="LXW615" s="294"/>
      <c r="LXX615" s="294"/>
      <c r="LXY615" s="294"/>
      <c r="LXZ615" s="294"/>
      <c r="LYA615" s="294"/>
      <c r="LYB615" s="294"/>
      <c r="LYC615" s="294"/>
      <c r="LYD615" s="294"/>
      <c r="LYE615" s="294"/>
      <c r="LYF615" s="294"/>
      <c r="LYG615" s="294"/>
      <c r="LYH615" s="294"/>
      <c r="LYI615" s="294"/>
      <c r="LYJ615" s="294"/>
      <c r="LYK615" s="294"/>
      <c r="LYL615" s="294"/>
      <c r="LYM615" s="294"/>
      <c r="LYN615" s="294"/>
      <c r="LYO615" s="294"/>
      <c r="LYP615" s="294"/>
      <c r="LYQ615" s="294"/>
      <c r="LYR615" s="294"/>
      <c r="LYS615" s="294"/>
      <c r="LYT615" s="294"/>
      <c r="LYU615" s="294"/>
      <c r="LYV615" s="294"/>
      <c r="LYW615" s="294"/>
      <c r="LYX615" s="294"/>
      <c r="LYY615" s="294"/>
      <c r="LYZ615" s="294"/>
      <c r="LZA615" s="294"/>
      <c r="LZB615" s="294"/>
      <c r="LZC615" s="294"/>
      <c r="LZD615" s="294"/>
      <c r="LZE615" s="294"/>
      <c r="LZF615" s="294"/>
      <c r="LZG615" s="294"/>
      <c r="LZH615" s="294"/>
      <c r="LZI615" s="294"/>
      <c r="LZJ615" s="294"/>
      <c r="LZK615" s="294"/>
      <c r="LZL615" s="294"/>
      <c r="LZM615" s="294"/>
      <c r="LZN615" s="294"/>
      <c r="LZO615" s="294"/>
      <c r="LZP615" s="294"/>
      <c r="LZQ615" s="294"/>
      <c r="LZR615" s="294"/>
      <c r="LZS615" s="294"/>
      <c r="LZT615" s="294"/>
      <c r="LZU615" s="294"/>
      <c r="LZV615" s="294"/>
      <c r="LZW615" s="294"/>
      <c r="LZX615" s="294"/>
      <c r="LZY615" s="294"/>
      <c r="LZZ615" s="294"/>
      <c r="MAA615" s="294"/>
      <c r="MAB615" s="294"/>
      <c r="MAC615" s="294"/>
      <c r="MAD615" s="294"/>
      <c r="MAE615" s="294"/>
      <c r="MAF615" s="294"/>
      <c r="MAG615" s="294"/>
      <c r="MAH615" s="294"/>
      <c r="MAI615" s="294"/>
      <c r="MAJ615" s="294"/>
      <c r="MAK615" s="294"/>
      <c r="MAL615" s="294"/>
      <c r="MAM615" s="294"/>
      <c r="MAN615" s="294"/>
      <c r="MAO615" s="294"/>
      <c r="MAP615" s="294"/>
      <c r="MAQ615" s="294"/>
      <c r="MAR615" s="294"/>
      <c r="MAS615" s="294"/>
      <c r="MAT615" s="294"/>
      <c r="MAU615" s="294"/>
      <c r="MAV615" s="294"/>
      <c r="MAW615" s="294"/>
      <c r="MAX615" s="294"/>
      <c r="MAY615" s="294"/>
      <c r="MAZ615" s="294"/>
      <c r="MBA615" s="294"/>
      <c r="MBB615" s="294"/>
      <c r="MBC615" s="294"/>
      <c r="MBD615" s="294"/>
      <c r="MBE615" s="294"/>
      <c r="MBF615" s="294"/>
      <c r="MBG615" s="294"/>
      <c r="MBH615" s="294"/>
      <c r="MBI615" s="294"/>
      <c r="MBJ615" s="294"/>
      <c r="MBK615" s="294"/>
      <c r="MBL615" s="294"/>
      <c r="MBM615" s="294"/>
      <c r="MBN615" s="294"/>
      <c r="MBO615" s="294"/>
      <c r="MBP615" s="294"/>
      <c r="MBQ615" s="294"/>
      <c r="MBR615" s="294"/>
      <c r="MBS615" s="294"/>
      <c r="MBT615" s="294"/>
      <c r="MBU615" s="294"/>
      <c r="MBV615" s="294"/>
      <c r="MBW615" s="294"/>
      <c r="MBX615" s="294"/>
      <c r="MBY615" s="294"/>
      <c r="MBZ615" s="294"/>
      <c r="MCA615" s="294"/>
      <c r="MCB615" s="294"/>
      <c r="MCC615" s="294"/>
      <c r="MCD615" s="294"/>
      <c r="MCE615" s="294"/>
      <c r="MCF615" s="294"/>
      <c r="MCG615" s="294"/>
      <c r="MCH615" s="294"/>
      <c r="MCI615" s="294"/>
      <c r="MCJ615" s="294"/>
      <c r="MCK615" s="294"/>
      <c r="MCL615" s="294"/>
      <c r="MCM615" s="294"/>
      <c r="MCN615" s="294"/>
      <c r="MCO615" s="294"/>
      <c r="MCP615" s="294"/>
      <c r="MCQ615" s="294"/>
      <c r="MCR615" s="294"/>
      <c r="MCS615" s="294"/>
      <c r="MCT615" s="294"/>
      <c r="MCU615" s="294"/>
      <c r="MCV615" s="294"/>
      <c r="MCW615" s="294"/>
      <c r="MCX615" s="294"/>
      <c r="MCY615" s="294"/>
      <c r="MCZ615" s="294"/>
      <c r="MDA615" s="294"/>
      <c r="MDB615" s="294"/>
      <c r="MDC615" s="294"/>
      <c r="MDD615" s="294"/>
      <c r="MDE615" s="294"/>
      <c r="MDF615" s="294"/>
      <c r="MDG615" s="294"/>
      <c r="MDH615" s="294"/>
      <c r="MDI615" s="294"/>
      <c r="MDJ615" s="294"/>
      <c r="MDK615" s="294"/>
      <c r="MDL615" s="294"/>
      <c r="MDM615" s="294"/>
      <c r="MDN615" s="294"/>
      <c r="MDO615" s="294"/>
      <c r="MDP615" s="294"/>
      <c r="MDQ615" s="294"/>
      <c r="MDR615" s="294"/>
      <c r="MDS615" s="294"/>
      <c r="MDT615" s="294"/>
      <c r="MDU615" s="294"/>
      <c r="MDV615" s="294"/>
      <c r="MDW615" s="294"/>
      <c r="MDX615" s="294"/>
      <c r="MDY615" s="294"/>
      <c r="MDZ615" s="294"/>
      <c r="MEA615" s="294"/>
      <c r="MEB615" s="294"/>
      <c r="MEC615" s="294"/>
      <c r="MED615" s="294"/>
      <c r="MEE615" s="294"/>
      <c r="MEF615" s="294"/>
      <c r="MEG615" s="294"/>
      <c r="MEH615" s="294"/>
      <c r="MEI615" s="294"/>
      <c r="MEJ615" s="294"/>
      <c r="MEK615" s="294"/>
      <c r="MEL615" s="294"/>
      <c r="MEM615" s="294"/>
      <c r="MEN615" s="294"/>
      <c r="MEO615" s="294"/>
      <c r="MEP615" s="294"/>
      <c r="MEQ615" s="294"/>
      <c r="MER615" s="294"/>
      <c r="MES615" s="294"/>
      <c r="MET615" s="294"/>
      <c r="MEU615" s="294"/>
      <c r="MEV615" s="294"/>
      <c r="MEW615" s="294"/>
      <c r="MEX615" s="294"/>
      <c r="MEY615" s="294"/>
      <c r="MEZ615" s="294"/>
      <c r="MFA615" s="294"/>
      <c r="MFB615" s="294"/>
      <c r="MFC615" s="294"/>
      <c r="MFD615" s="294"/>
      <c r="MFE615" s="294"/>
      <c r="MFF615" s="294"/>
      <c r="MFG615" s="294"/>
      <c r="MFH615" s="294"/>
      <c r="MFI615" s="294"/>
      <c r="MFJ615" s="294"/>
      <c r="MFK615" s="294"/>
      <c r="MFL615" s="294"/>
      <c r="MFM615" s="294"/>
      <c r="MFN615" s="294"/>
      <c r="MFO615" s="294"/>
      <c r="MFP615" s="294"/>
      <c r="MFQ615" s="294"/>
      <c r="MFR615" s="294"/>
      <c r="MFS615" s="294"/>
      <c r="MFT615" s="294"/>
      <c r="MFU615" s="294"/>
      <c r="MFV615" s="294"/>
      <c r="MFW615" s="294"/>
      <c r="MFX615" s="294"/>
      <c r="MFY615" s="294"/>
      <c r="MFZ615" s="294"/>
      <c r="MGA615" s="294"/>
      <c r="MGB615" s="294"/>
      <c r="MGC615" s="294"/>
      <c r="MGD615" s="294"/>
      <c r="MGE615" s="294"/>
      <c r="MGF615" s="294"/>
      <c r="MGG615" s="294"/>
      <c r="MGH615" s="294"/>
      <c r="MGI615" s="294"/>
      <c r="MGJ615" s="294"/>
      <c r="MGK615" s="294"/>
      <c r="MGL615" s="294"/>
      <c r="MGM615" s="294"/>
      <c r="MGN615" s="294"/>
      <c r="MGO615" s="294"/>
      <c r="MGP615" s="294"/>
      <c r="MGQ615" s="294"/>
      <c r="MGR615" s="294"/>
      <c r="MGS615" s="294"/>
      <c r="MGT615" s="294"/>
      <c r="MGU615" s="294"/>
      <c r="MGV615" s="294"/>
      <c r="MGW615" s="294"/>
      <c r="MGX615" s="294"/>
      <c r="MGY615" s="294"/>
      <c r="MGZ615" s="294"/>
      <c r="MHA615" s="294"/>
      <c r="MHB615" s="294"/>
      <c r="MHC615" s="294"/>
      <c r="MHD615" s="294"/>
      <c r="MHE615" s="294"/>
      <c r="MHF615" s="294"/>
      <c r="MHG615" s="294"/>
      <c r="MHH615" s="294"/>
      <c r="MHI615" s="294"/>
      <c r="MHJ615" s="294"/>
      <c r="MHK615" s="294"/>
      <c r="MHL615" s="294"/>
      <c r="MHM615" s="294"/>
      <c r="MHN615" s="294"/>
      <c r="MHO615" s="294"/>
      <c r="MHP615" s="294"/>
      <c r="MHQ615" s="294"/>
      <c r="MHR615" s="294"/>
      <c r="MHS615" s="294"/>
      <c r="MHT615" s="294"/>
      <c r="MHU615" s="294"/>
      <c r="MHV615" s="294"/>
      <c r="MHW615" s="294"/>
      <c r="MHX615" s="294"/>
      <c r="MHY615" s="294"/>
      <c r="MHZ615" s="294"/>
      <c r="MIA615" s="294"/>
      <c r="MIB615" s="294"/>
      <c r="MIC615" s="294"/>
      <c r="MID615" s="294"/>
      <c r="MIE615" s="294"/>
      <c r="MIF615" s="294"/>
      <c r="MIG615" s="294"/>
      <c r="MIH615" s="294"/>
      <c r="MII615" s="294"/>
      <c r="MIJ615" s="294"/>
      <c r="MIK615" s="294"/>
      <c r="MIL615" s="294"/>
      <c r="MIM615" s="294"/>
      <c r="MIN615" s="294"/>
      <c r="MIO615" s="294"/>
      <c r="MIP615" s="294"/>
      <c r="MIQ615" s="294"/>
      <c r="MIR615" s="294"/>
      <c r="MIS615" s="294"/>
      <c r="MIT615" s="294"/>
      <c r="MIU615" s="294"/>
      <c r="MIV615" s="294"/>
      <c r="MIW615" s="294"/>
      <c r="MIX615" s="294"/>
      <c r="MIY615" s="294"/>
      <c r="MIZ615" s="294"/>
      <c r="MJA615" s="294"/>
      <c r="MJB615" s="294"/>
      <c r="MJC615" s="294"/>
      <c r="MJD615" s="294"/>
      <c r="MJE615" s="294"/>
      <c r="MJF615" s="294"/>
      <c r="MJG615" s="294"/>
      <c r="MJH615" s="294"/>
      <c r="MJI615" s="294"/>
      <c r="MJJ615" s="294"/>
      <c r="MJK615" s="294"/>
      <c r="MJL615" s="294"/>
      <c r="MJM615" s="294"/>
      <c r="MJN615" s="294"/>
      <c r="MJO615" s="294"/>
      <c r="MJP615" s="294"/>
      <c r="MJQ615" s="294"/>
      <c r="MJR615" s="294"/>
      <c r="MJS615" s="294"/>
      <c r="MJT615" s="294"/>
      <c r="MJU615" s="294"/>
      <c r="MJV615" s="294"/>
      <c r="MJW615" s="294"/>
      <c r="MJX615" s="294"/>
      <c r="MJY615" s="294"/>
      <c r="MJZ615" s="294"/>
      <c r="MKA615" s="294"/>
      <c r="MKB615" s="294"/>
      <c r="MKC615" s="294"/>
      <c r="MKD615" s="294"/>
      <c r="MKE615" s="294"/>
      <c r="MKF615" s="294"/>
      <c r="MKG615" s="294"/>
      <c r="MKH615" s="294"/>
      <c r="MKI615" s="294"/>
      <c r="MKJ615" s="294"/>
      <c r="MKK615" s="294"/>
      <c r="MKL615" s="294"/>
      <c r="MKM615" s="294"/>
      <c r="MKN615" s="294"/>
      <c r="MKO615" s="294"/>
      <c r="MKP615" s="294"/>
      <c r="MKQ615" s="294"/>
      <c r="MKR615" s="294"/>
      <c r="MKS615" s="294"/>
      <c r="MKT615" s="294"/>
      <c r="MKU615" s="294"/>
      <c r="MKV615" s="294"/>
      <c r="MKW615" s="294"/>
      <c r="MKX615" s="294"/>
      <c r="MKY615" s="294"/>
      <c r="MKZ615" s="294"/>
      <c r="MLA615" s="294"/>
      <c r="MLB615" s="294"/>
      <c r="MLC615" s="294"/>
      <c r="MLD615" s="294"/>
      <c r="MLE615" s="294"/>
      <c r="MLF615" s="294"/>
      <c r="MLG615" s="294"/>
      <c r="MLH615" s="294"/>
      <c r="MLI615" s="294"/>
      <c r="MLJ615" s="294"/>
      <c r="MLK615" s="294"/>
      <c r="MLL615" s="294"/>
      <c r="MLM615" s="294"/>
      <c r="MLN615" s="294"/>
      <c r="MLO615" s="294"/>
      <c r="MLP615" s="294"/>
      <c r="MLQ615" s="294"/>
      <c r="MLR615" s="294"/>
      <c r="MLS615" s="294"/>
      <c r="MLT615" s="294"/>
      <c r="MLU615" s="294"/>
      <c r="MLV615" s="294"/>
      <c r="MLW615" s="294"/>
      <c r="MLX615" s="294"/>
      <c r="MLY615" s="294"/>
      <c r="MLZ615" s="294"/>
      <c r="MMA615" s="294"/>
      <c r="MMB615" s="294"/>
      <c r="MMC615" s="294"/>
      <c r="MMD615" s="294"/>
      <c r="MME615" s="294"/>
      <c r="MMF615" s="294"/>
      <c r="MMG615" s="294"/>
      <c r="MMH615" s="294"/>
      <c r="MMI615" s="294"/>
      <c r="MMJ615" s="294"/>
      <c r="MMK615" s="294"/>
      <c r="MML615" s="294"/>
      <c r="MMM615" s="294"/>
      <c r="MMN615" s="294"/>
      <c r="MMO615" s="294"/>
      <c r="MMP615" s="294"/>
      <c r="MMQ615" s="294"/>
      <c r="MMR615" s="294"/>
      <c r="MMS615" s="294"/>
      <c r="MMT615" s="294"/>
      <c r="MMU615" s="294"/>
      <c r="MMV615" s="294"/>
      <c r="MMW615" s="294"/>
      <c r="MMX615" s="294"/>
      <c r="MMY615" s="294"/>
      <c r="MMZ615" s="294"/>
      <c r="MNA615" s="294"/>
      <c r="MNB615" s="294"/>
      <c r="MNC615" s="294"/>
      <c r="MND615" s="294"/>
      <c r="MNE615" s="294"/>
      <c r="MNF615" s="294"/>
      <c r="MNG615" s="294"/>
      <c r="MNH615" s="294"/>
      <c r="MNI615" s="294"/>
      <c r="MNJ615" s="294"/>
      <c r="MNK615" s="294"/>
      <c r="MNL615" s="294"/>
      <c r="MNM615" s="294"/>
      <c r="MNN615" s="294"/>
      <c r="MNO615" s="294"/>
      <c r="MNP615" s="294"/>
      <c r="MNQ615" s="294"/>
      <c r="MNR615" s="294"/>
      <c r="MNS615" s="294"/>
      <c r="MNT615" s="294"/>
      <c r="MNU615" s="294"/>
      <c r="MNV615" s="294"/>
      <c r="MNW615" s="294"/>
      <c r="MNX615" s="294"/>
      <c r="MNY615" s="294"/>
      <c r="MNZ615" s="294"/>
      <c r="MOA615" s="294"/>
      <c r="MOB615" s="294"/>
      <c r="MOC615" s="294"/>
      <c r="MOD615" s="294"/>
      <c r="MOE615" s="294"/>
      <c r="MOF615" s="294"/>
      <c r="MOG615" s="294"/>
      <c r="MOH615" s="294"/>
      <c r="MOI615" s="294"/>
      <c r="MOJ615" s="294"/>
      <c r="MOK615" s="294"/>
      <c r="MOL615" s="294"/>
      <c r="MOM615" s="294"/>
      <c r="MON615" s="294"/>
      <c r="MOO615" s="294"/>
      <c r="MOP615" s="294"/>
      <c r="MOQ615" s="294"/>
      <c r="MOR615" s="294"/>
      <c r="MOS615" s="294"/>
      <c r="MOT615" s="294"/>
      <c r="MOU615" s="294"/>
      <c r="MOV615" s="294"/>
      <c r="MOW615" s="294"/>
      <c r="MOX615" s="294"/>
      <c r="MOY615" s="294"/>
      <c r="MOZ615" s="294"/>
      <c r="MPA615" s="294"/>
      <c r="MPB615" s="294"/>
      <c r="MPC615" s="294"/>
      <c r="MPD615" s="294"/>
      <c r="MPE615" s="294"/>
      <c r="MPF615" s="294"/>
      <c r="MPG615" s="294"/>
      <c r="MPH615" s="294"/>
      <c r="MPI615" s="294"/>
      <c r="MPJ615" s="294"/>
      <c r="MPK615" s="294"/>
      <c r="MPL615" s="294"/>
      <c r="MPM615" s="294"/>
      <c r="MPN615" s="294"/>
      <c r="MPO615" s="294"/>
      <c r="MPP615" s="294"/>
      <c r="MPQ615" s="294"/>
      <c r="MPR615" s="294"/>
      <c r="MPS615" s="294"/>
      <c r="MPT615" s="294"/>
      <c r="MPU615" s="294"/>
      <c r="MPV615" s="294"/>
      <c r="MPW615" s="294"/>
      <c r="MPX615" s="294"/>
      <c r="MPY615" s="294"/>
      <c r="MPZ615" s="294"/>
      <c r="MQA615" s="294"/>
      <c r="MQB615" s="294"/>
      <c r="MQC615" s="294"/>
      <c r="MQD615" s="294"/>
      <c r="MQE615" s="294"/>
      <c r="MQF615" s="294"/>
      <c r="MQG615" s="294"/>
      <c r="MQH615" s="294"/>
      <c r="MQI615" s="294"/>
      <c r="MQJ615" s="294"/>
      <c r="MQK615" s="294"/>
      <c r="MQL615" s="294"/>
      <c r="MQM615" s="294"/>
      <c r="MQN615" s="294"/>
      <c r="MQO615" s="294"/>
      <c r="MQP615" s="294"/>
      <c r="MQQ615" s="294"/>
      <c r="MQR615" s="294"/>
      <c r="MQS615" s="294"/>
      <c r="MQT615" s="294"/>
      <c r="MQU615" s="294"/>
      <c r="MQV615" s="294"/>
      <c r="MQW615" s="294"/>
      <c r="MQX615" s="294"/>
      <c r="MQY615" s="294"/>
      <c r="MQZ615" s="294"/>
      <c r="MRA615" s="294"/>
      <c r="MRB615" s="294"/>
      <c r="MRC615" s="294"/>
      <c r="MRD615" s="294"/>
      <c r="MRE615" s="294"/>
      <c r="MRF615" s="294"/>
      <c r="MRG615" s="294"/>
      <c r="MRH615" s="294"/>
      <c r="MRI615" s="294"/>
      <c r="MRJ615" s="294"/>
      <c r="MRK615" s="294"/>
      <c r="MRL615" s="294"/>
      <c r="MRM615" s="294"/>
      <c r="MRN615" s="294"/>
      <c r="MRO615" s="294"/>
      <c r="MRP615" s="294"/>
      <c r="MRQ615" s="294"/>
      <c r="MRR615" s="294"/>
      <c r="MRS615" s="294"/>
      <c r="MRT615" s="294"/>
      <c r="MRU615" s="294"/>
      <c r="MRV615" s="294"/>
      <c r="MRW615" s="294"/>
      <c r="MRX615" s="294"/>
      <c r="MRY615" s="294"/>
      <c r="MRZ615" s="294"/>
      <c r="MSA615" s="294"/>
      <c r="MSB615" s="294"/>
      <c r="MSC615" s="294"/>
      <c r="MSD615" s="294"/>
      <c r="MSE615" s="294"/>
      <c r="MSF615" s="294"/>
      <c r="MSG615" s="294"/>
      <c r="MSH615" s="294"/>
      <c r="MSI615" s="294"/>
      <c r="MSJ615" s="294"/>
      <c r="MSK615" s="294"/>
      <c r="MSL615" s="294"/>
      <c r="MSM615" s="294"/>
      <c r="MSN615" s="294"/>
      <c r="MSO615" s="294"/>
      <c r="MSP615" s="294"/>
      <c r="MSQ615" s="294"/>
      <c r="MSR615" s="294"/>
      <c r="MSS615" s="294"/>
      <c r="MST615" s="294"/>
      <c r="MSU615" s="294"/>
      <c r="MSV615" s="294"/>
      <c r="MSW615" s="294"/>
      <c r="MSX615" s="294"/>
      <c r="MSY615" s="294"/>
      <c r="MSZ615" s="294"/>
      <c r="MTA615" s="294"/>
      <c r="MTB615" s="294"/>
      <c r="MTC615" s="294"/>
      <c r="MTD615" s="294"/>
      <c r="MTE615" s="294"/>
      <c r="MTF615" s="294"/>
      <c r="MTG615" s="294"/>
      <c r="MTH615" s="294"/>
      <c r="MTI615" s="294"/>
      <c r="MTJ615" s="294"/>
      <c r="MTK615" s="294"/>
      <c r="MTL615" s="294"/>
      <c r="MTM615" s="294"/>
      <c r="MTN615" s="294"/>
      <c r="MTO615" s="294"/>
      <c r="MTP615" s="294"/>
      <c r="MTQ615" s="294"/>
      <c r="MTR615" s="294"/>
      <c r="MTS615" s="294"/>
      <c r="MTT615" s="294"/>
      <c r="MTU615" s="294"/>
      <c r="MTV615" s="294"/>
      <c r="MTW615" s="294"/>
      <c r="MTX615" s="294"/>
      <c r="MTY615" s="294"/>
      <c r="MTZ615" s="294"/>
      <c r="MUA615" s="294"/>
      <c r="MUB615" s="294"/>
      <c r="MUC615" s="294"/>
      <c r="MUD615" s="294"/>
      <c r="MUE615" s="294"/>
      <c r="MUF615" s="294"/>
      <c r="MUG615" s="294"/>
      <c r="MUH615" s="294"/>
      <c r="MUI615" s="294"/>
      <c r="MUJ615" s="294"/>
      <c r="MUK615" s="294"/>
      <c r="MUL615" s="294"/>
      <c r="MUM615" s="294"/>
      <c r="MUN615" s="294"/>
      <c r="MUO615" s="294"/>
      <c r="MUP615" s="294"/>
      <c r="MUQ615" s="294"/>
      <c r="MUR615" s="294"/>
      <c r="MUS615" s="294"/>
      <c r="MUT615" s="294"/>
      <c r="MUU615" s="294"/>
      <c r="MUV615" s="294"/>
      <c r="MUW615" s="294"/>
      <c r="MUX615" s="294"/>
      <c r="MUY615" s="294"/>
      <c r="MUZ615" s="294"/>
      <c r="MVA615" s="294"/>
      <c r="MVB615" s="294"/>
      <c r="MVC615" s="294"/>
      <c r="MVD615" s="294"/>
      <c r="MVE615" s="294"/>
      <c r="MVF615" s="294"/>
      <c r="MVG615" s="294"/>
      <c r="MVH615" s="294"/>
      <c r="MVI615" s="294"/>
      <c r="MVJ615" s="294"/>
      <c r="MVK615" s="294"/>
      <c r="MVL615" s="294"/>
      <c r="MVM615" s="294"/>
      <c r="MVN615" s="294"/>
      <c r="MVO615" s="294"/>
      <c r="MVP615" s="294"/>
      <c r="MVQ615" s="294"/>
      <c r="MVR615" s="294"/>
      <c r="MVS615" s="294"/>
      <c r="MVT615" s="294"/>
      <c r="MVU615" s="294"/>
      <c r="MVV615" s="294"/>
      <c r="MVW615" s="294"/>
      <c r="MVX615" s="294"/>
      <c r="MVY615" s="294"/>
      <c r="MVZ615" s="294"/>
      <c r="MWA615" s="294"/>
      <c r="MWB615" s="294"/>
      <c r="MWC615" s="294"/>
      <c r="MWD615" s="294"/>
      <c r="MWE615" s="294"/>
      <c r="MWF615" s="294"/>
      <c r="MWG615" s="294"/>
      <c r="MWH615" s="294"/>
      <c r="MWI615" s="294"/>
      <c r="MWJ615" s="294"/>
      <c r="MWK615" s="294"/>
      <c r="MWL615" s="294"/>
      <c r="MWM615" s="294"/>
      <c r="MWN615" s="294"/>
      <c r="MWO615" s="294"/>
      <c r="MWP615" s="294"/>
      <c r="MWQ615" s="294"/>
      <c r="MWR615" s="294"/>
      <c r="MWS615" s="294"/>
      <c r="MWT615" s="294"/>
      <c r="MWU615" s="294"/>
      <c r="MWV615" s="294"/>
      <c r="MWW615" s="294"/>
      <c r="MWX615" s="294"/>
      <c r="MWY615" s="294"/>
      <c r="MWZ615" s="294"/>
      <c r="MXA615" s="294"/>
      <c r="MXB615" s="294"/>
      <c r="MXC615" s="294"/>
      <c r="MXD615" s="294"/>
      <c r="MXE615" s="294"/>
      <c r="MXF615" s="294"/>
      <c r="MXG615" s="294"/>
      <c r="MXH615" s="294"/>
      <c r="MXI615" s="294"/>
      <c r="MXJ615" s="294"/>
      <c r="MXK615" s="294"/>
      <c r="MXL615" s="294"/>
      <c r="MXM615" s="294"/>
      <c r="MXN615" s="294"/>
      <c r="MXO615" s="294"/>
      <c r="MXP615" s="294"/>
      <c r="MXQ615" s="294"/>
      <c r="MXR615" s="294"/>
      <c r="MXS615" s="294"/>
      <c r="MXT615" s="294"/>
      <c r="MXU615" s="294"/>
      <c r="MXV615" s="294"/>
      <c r="MXW615" s="294"/>
      <c r="MXX615" s="294"/>
      <c r="MXY615" s="294"/>
      <c r="MXZ615" s="294"/>
      <c r="MYA615" s="294"/>
      <c r="MYB615" s="294"/>
      <c r="MYC615" s="294"/>
      <c r="MYD615" s="294"/>
      <c r="MYE615" s="294"/>
      <c r="MYF615" s="294"/>
      <c r="MYG615" s="294"/>
      <c r="MYH615" s="294"/>
      <c r="MYI615" s="294"/>
      <c r="MYJ615" s="294"/>
      <c r="MYK615" s="294"/>
      <c r="MYL615" s="294"/>
      <c r="MYM615" s="294"/>
      <c r="MYN615" s="294"/>
      <c r="MYO615" s="294"/>
      <c r="MYP615" s="294"/>
      <c r="MYQ615" s="294"/>
      <c r="MYR615" s="294"/>
      <c r="MYS615" s="294"/>
      <c r="MYT615" s="294"/>
      <c r="MYU615" s="294"/>
      <c r="MYV615" s="294"/>
      <c r="MYW615" s="294"/>
      <c r="MYX615" s="294"/>
      <c r="MYY615" s="294"/>
      <c r="MYZ615" s="294"/>
      <c r="MZA615" s="294"/>
      <c r="MZB615" s="294"/>
      <c r="MZC615" s="294"/>
      <c r="MZD615" s="294"/>
      <c r="MZE615" s="294"/>
      <c r="MZF615" s="294"/>
      <c r="MZG615" s="294"/>
      <c r="MZH615" s="294"/>
      <c r="MZI615" s="294"/>
      <c r="MZJ615" s="294"/>
      <c r="MZK615" s="294"/>
      <c r="MZL615" s="294"/>
      <c r="MZM615" s="294"/>
      <c r="MZN615" s="294"/>
      <c r="MZO615" s="294"/>
      <c r="MZP615" s="294"/>
      <c r="MZQ615" s="294"/>
      <c r="MZR615" s="294"/>
      <c r="MZS615" s="294"/>
      <c r="MZT615" s="294"/>
      <c r="MZU615" s="294"/>
      <c r="MZV615" s="294"/>
      <c r="MZW615" s="294"/>
      <c r="MZX615" s="294"/>
      <c r="MZY615" s="294"/>
      <c r="MZZ615" s="294"/>
      <c r="NAA615" s="294"/>
      <c r="NAB615" s="294"/>
      <c r="NAC615" s="294"/>
      <c r="NAD615" s="294"/>
      <c r="NAE615" s="294"/>
      <c r="NAF615" s="294"/>
      <c r="NAG615" s="294"/>
      <c r="NAH615" s="294"/>
      <c r="NAI615" s="294"/>
      <c r="NAJ615" s="294"/>
      <c r="NAK615" s="294"/>
      <c r="NAL615" s="294"/>
      <c r="NAM615" s="294"/>
      <c r="NAN615" s="294"/>
      <c r="NAO615" s="294"/>
      <c r="NAP615" s="294"/>
      <c r="NAQ615" s="294"/>
      <c r="NAR615" s="294"/>
      <c r="NAS615" s="294"/>
      <c r="NAT615" s="294"/>
      <c r="NAU615" s="294"/>
      <c r="NAV615" s="294"/>
      <c r="NAW615" s="294"/>
      <c r="NAX615" s="294"/>
      <c r="NAY615" s="294"/>
      <c r="NAZ615" s="294"/>
      <c r="NBA615" s="294"/>
      <c r="NBB615" s="294"/>
      <c r="NBC615" s="294"/>
      <c r="NBD615" s="294"/>
      <c r="NBE615" s="294"/>
      <c r="NBF615" s="294"/>
      <c r="NBG615" s="294"/>
      <c r="NBH615" s="294"/>
      <c r="NBI615" s="294"/>
      <c r="NBJ615" s="294"/>
      <c r="NBK615" s="294"/>
      <c r="NBL615" s="294"/>
      <c r="NBM615" s="294"/>
      <c r="NBN615" s="294"/>
      <c r="NBO615" s="294"/>
      <c r="NBP615" s="294"/>
      <c r="NBQ615" s="294"/>
      <c r="NBR615" s="294"/>
      <c r="NBS615" s="294"/>
      <c r="NBT615" s="294"/>
      <c r="NBU615" s="294"/>
      <c r="NBV615" s="294"/>
      <c r="NBW615" s="294"/>
      <c r="NBX615" s="294"/>
      <c r="NBY615" s="294"/>
      <c r="NBZ615" s="294"/>
      <c r="NCA615" s="294"/>
      <c r="NCB615" s="294"/>
      <c r="NCC615" s="294"/>
      <c r="NCD615" s="294"/>
      <c r="NCE615" s="294"/>
      <c r="NCF615" s="294"/>
      <c r="NCG615" s="294"/>
      <c r="NCH615" s="294"/>
      <c r="NCI615" s="294"/>
      <c r="NCJ615" s="294"/>
      <c r="NCK615" s="294"/>
      <c r="NCL615" s="294"/>
      <c r="NCM615" s="294"/>
      <c r="NCN615" s="294"/>
      <c r="NCO615" s="294"/>
      <c r="NCP615" s="294"/>
      <c r="NCQ615" s="294"/>
      <c r="NCR615" s="294"/>
      <c r="NCS615" s="294"/>
      <c r="NCT615" s="294"/>
      <c r="NCU615" s="294"/>
      <c r="NCV615" s="294"/>
      <c r="NCW615" s="294"/>
      <c r="NCX615" s="294"/>
      <c r="NCY615" s="294"/>
      <c r="NCZ615" s="294"/>
      <c r="NDA615" s="294"/>
      <c r="NDB615" s="294"/>
      <c r="NDC615" s="294"/>
      <c r="NDD615" s="294"/>
      <c r="NDE615" s="294"/>
      <c r="NDF615" s="294"/>
      <c r="NDG615" s="294"/>
      <c r="NDH615" s="294"/>
      <c r="NDI615" s="294"/>
      <c r="NDJ615" s="294"/>
      <c r="NDK615" s="294"/>
      <c r="NDL615" s="294"/>
      <c r="NDM615" s="294"/>
      <c r="NDN615" s="294"/>
      <c r="NDO615" s="294"/>
      <c r="NDP615" s="294"/>
      <c r="NDQ615" s="294"/>
      <c r="NDR615" s="294"/>
      <c r="NDS615" s="294"/>
      <c r="NDT615" s="294"/>
      <c r="NDU615" s="294"/>
      <c r="NDV615" s="294"/>
      <c r="NDW615" s="294"/>
      <c r="NDX615" s="294"/>
      <c r="NDY615" s="294"/>
      <c r="NDZ615" s="294"/>
      <c r="NEA615" s="294"/>
      <c r="NEB615" s="294"/>
      <c r="NEC615" s="294"/>
      <c r="NED615" s="294"/>
      <c r="NEE615" s="294"/>
      <c r="NEF615" s="294"/>
      <c r="NEG615" s="294"/>
      <c r="NEH615" s="294"/>
      <c r="NEI615" s="294"/>
      <c r="NEJ615" s="294"/>
      <c r="NEK615" s="294"/>
      <c r="NEL615" s="294"/>
      <c r="NEM615" s="294"/>
      <c r="NEN615" s="294"/>
      <c r="NEO615" s="294"/>
      <c r="NEP615" s="294"/>
      <c r="NEQ615" s="294"/>
      <c r="NER615" s="294"/>
      <c r="NES615" s="294"/>
      <c r="NET615" s="294"/>
      <c r="NEU615" s="294"/>
      <c r="NEV615" s="294"/>
      <c r="NEW615" s="294"/>
      <c r="NEX615" s="294"/>
      <c r="NEY615" s="294"/>
      <c r="NEZ615" s="294"/>
      <c r="NFA615" s="294"/>
      <c r="NFB615" s="294"/>
      <c r="NFC615" s="294"/>
      <c r="NFD615" s="294"/>
      <c r="NFE615" s="294"/>
      <c r="NFF615" s="294"/>
      <c r="NFG615" s="294"/>
      <c r="NFH615" s="294"/>
      <c r="NFI615" s="294"/>
      <c r="NFJ615" s="294"/>
      <c r="NFK615" s="294"/>
      <c r="NFL615" s="294"/>
      <c r="NFM615" s="294"/>
      <c r="NFN615" s="294"/>
      <c r="NFO615" s="294"/>
      <c r="NFP615" s="294"/>
      <c r="NFQ615" s="294"/>
      <c r="NFR615" s="294"/>
      <c r="NFS615" s="294"/>
      <c r="NFT615" s="294"/>
      <c r="NFU615" s="294"/>
      <c r="NFV615" s="294"/>
      <c r="NFW615" s="294"/>
      <c r="NFX615" s="294"/>
      <c r="NFY615" s="294"/>
      <c r="NFZ615" s="294"/>
      <c r="NGA615" s="294"/>
      <c r="NGB615" s="294"/>
      <c r="NGC615" s="294"/>
      <c r="NGD615" s="294"/>
      <c r="NGE615" s="294"/>
      <c r="NGF615" s="294"/>
      <c r="NGG615" s="294"/>
      <c r="NGH615" s="294"/>
      <c r="NGI615" s="294"/>
      <c r="NGJ615" s="294"/>
      <c r="NGK615" s="294"/>
      <c r="NGL615" s="294"/>
      <c r="NGM615" s="294"/>
      <c r="NGN615" s="294"/>
      <c r="NGO615" s="294"/>
      <c r="NGP615" s="294"/>
      <c r="NGQ615" s="294"/>
      <c r="NGR615" s="294"/>
      <c r="NGS615" s="294"/>
      <c r="NGT615" s="294"/>
      <c r="NGU615" s="294"/>
      <c r="NGV615" s="294"/>
      <c r="NGW615" s="294"/>
      <c r="NGX615" s="294"/>
      <c r="NGY615" s="294"/>
      <c r="NGZ615" s="294"/>
      <c r="NHA615" s="294"/>
      <c r="NHB615" s="294"/>
      <c r="NHC615" s="294"/>
      <c r="NHD615" s="294"/>
      <c r="NHE615" s="294"/>
      <c r="NHF615" s="294"/>
      <c r="NHG615" s="294"/>
      <c r="NHH615" s="294"/>
      <c r="NHI615" s="294"/>
      <c r="NHJ615" s="294"/>
      <c r="NHK615" s="294"/>
      <c r="NHL615" s="294"/>
      <c r="NHM615" s="294"/>
      <c r="NHN615" s="294"/>
      <c r="NHO615" s="294"/>
      <c r="NHP615" s="294"/>
      <c r="NHQ615" s="294"/>
      <c r="NHR615" s="294"/>
      <c r="NHS615" s="294"/>
      <c r="NHT615" s="294"/>
      <c r="NHU615" s="294"/>
      <c r="NHV615" s="294"/>
      <c r="NHW615" s="294"/>
      <c r="NHX615" s="294"/>
      <c r="NHY615" s="294"/>
      <c r="NHZ615" s="294"/>
      <c r="NIA615" s="294"/>
      <c r="NIB615" s="294"/>
      <c r="NIC615" s="294"/>
      <c r="NID615" s="294"/>
      <c r="NIE615" s="294"/>
      <c r="NIF615" s="294"/>
      <c r="NIG615" s="294"/>
      <c r="NIH615" s="294"/>
      <c r="NII615" s="294"/>
      <c r="NIJ615" s="294"/>
      <c r="NIK615" s="294"/>
      <c r="NIL615" s="294"/>
      <c r="NIM615" s="294"/>
      <c r="NIN615" s="294"/>
      <c r="NIO615" s="294"/>
      <c r="NIP615" s="294"/>
      <c r="NIQ615" s="294"/>
      <c r="NIR615" s="294"/>
      <c r="NIS615" s="294"/>
      <c r="NIT615" s="294"/>
      <c r="NIU615" s="294"/>
      <c r="NIV615" s="294"/>
      <c r="NIW615" s="294"/>
      <c r="NIX615" s="294"/>
      <c r="NIY615" s="294"/>
      <c r="NIZ615" s="294"/>
      <c r="NJA615" s="294"/>
      <c r="NJB615" s="294"/>
      <c r="NJC615" s="294"/>
      <c r="NJD615" s="294"/>
      <c r="NJE615" s="294"/>
      <c r="NJF615" s="294"/>
      <c r="NJG615" s="294"/>
      <c r="NJH615" s="294"/>
      <c r="NJI615" s="294"/>
      <c r="NJJ615" s="294"/>
      <c r="NJK615" s="294"/>
      <c r="NJL615" s="294"/>
      <c r="NJM615" s="294"/>
      <c r="NJN615" s="294"/>
      <c r="NJO615" s="294"/>
      <c r="NJP615" s="294"/>
      <c r="NJQ615" s="294"/>
      <c r="NJR615" s="294"/>
      <c r="NJS615" s="294"/>
      <c r="NJT615" s="294"/>
      <c r="NJU615" s="294"/>
      <c r="NJV615" s="294"/>
      <c r="NJW615" s="294"/>
      <c r="NJX615" s="294"/>
      <c r="NJY615" s="294"/>
      <c r="NJZ615" s="294"/>
      <c r="NKA615" s="294"/>
      <c r="NKB615" s="294"/>
      <c r="NKC615" s="294"/>
      <c r="NKD615" s="294"/>
      <c r="NKE615" s="294"/>
      <c r="NKF615" s="294"/>
      <c r="NKG615" s="294"/>
      <c r="NKH615" s="294"/>
      <c r="NKI615" s="294"/>
      <c r="NKJ615" s="294"/>
      <c r="NKK615" s="294"/>
      <c r="NKL615" s="294"/>
      <c r="NKM615" s="294"/>
      <c r="NKN615" s="294"/>
      <c r="NKO615" s="294"/>
      <c r="NKP615" s="294"/>
      <c r="NKQ615" s="294"/>
      <c r="NKR615" s="294"/>
      <c r="NKS615" s="294"/>
      <c r="NKT615" s="294"/>
      <c r="NKU615" s="294"/>
      <c r="NKV615" s="294"/>
      <c r="NKW615" s="294"/>
      <c r="NKX615" s="294"/>
      <c r="NKY615" s="294"/>
      <c r="NKZ615" s="294"/>
      <c r="NLA615" s="294"/>
      <c r="NLB615" s="294"/>
      <c r="NLC615" s="294"/>
      <c r="NLD615" s="294"/>
      <c r="NLE615" s="294"/>
      <c r="NLF615" s="294"/>
      <c r="NLG615" s="294"/>
      <c r="NLH615" s="294"/>
      <c r="NLI615" s="294"/>
      <c r="NLJ615" s="294"/>
      <c r="NLK615" s="294"/>
      <c r="NLL615" s="294"/>
      <c r="NLM615" s="294"/>
      <c r="NLN615" s="294"/>
      <c r="NLO615" s="294"/>
      <c r="NLP615" s="294"/>
      <c r="NLQ615" s="294"/>
      <c r="NLR615" s="294"/>
      <c r="NLS615" s="294"/>
      <c r="NLT615" s="294"/>
      <c r="NLU615" s="294"/>
      <c r="NLV615" s="294"/>
      <c r="NLW615" s="294"/>
      <c r="NLX615" s="294"/>
      <c r="NLY615" s="294"/>
      <c r="NLZ615" s="294"/>
      <c r="NMA615" s="294"/>
      <c r="NMB615" s="294"/>
      <c r="NMC615" s="294"/>
      <c r="NMD615" s="294"/>
      <c r="NME615" s="294"/>
      <c r="NMF615" s="294"/>
      <c r="NMG615" s="294"/>
      <c r="NMH615" s="294"/>
      <c r="NMI615" s="294"/>
      <c r="NMJ615" s="294"/>
      <c r="NMK615" s="294"/>
      <c r="NML615" s="294"/>
      <c r="NMM615" s="294"/>
      <c r="NMN615" s="294"/>
      <c r="NMO615" s="294"/>
      <c r="NMP615" s="294"/>
      <c r="NMQ615" s="294"/>
      <c r="NMR615" s="294"/>
      <c r="NMS615" s="294"/>
      <c r="NMT615" s="294"/>
      <c r="NMU615" s="294"/>
      <c r="NMV615" s="294"/>
      <c r="NMW615" s="294"/>
      <c r="NMX615" s="294"/>
      <c r="NMY615" s="294"/>
      <c r="NMZ615" s="294"/>
      <c r="NNA615" s="294"/>
      <c r="NNB615" s="294"/>
      <c r="NNC615" s="294"/>
      <c r="NND615" s="294"/>
      <c r="NNE615" s="294"/>
      <c r="NNF615" s="294"/>
      <c r="NNG615" s="294"/>
      <c r="NNH615" s="294"/>
      <c r="NNI615" s="294"/>
      <c r="NNJ615" s="294"/>
      <c r="NNK615" s="294"/>
      <c r="NNL615" s="294"/>
      <c r="NNM615" s="294"/>
      <c r="NNN615" s="294"/>
      <c r="NNO615" s="294"/>
      <c r="NNP615" s="294"/>
      <c r="NNQ615" s="294"/>
      <c r="NNR615" s="294"/>
      <c r="NNS615" s="294"/>
      <c r="NNT615" s="294"/>
      <c r="NNU615" s="294"/>
      <c r="NNV615" s="294"/>
      <c r="NNW615" s="294"/>
      <c r="NNX615" s="294"/>
      <c r="NNY615" s="294"/>
      <c r="NNZ615" s="294"/>
      <c r="NOA615" s="294"/>
      <c r="NOB615" s="294"/>
      <c r="NOC615" s="294"/>
      <c r="NOD615" s="294"/>
      <c r="NOE615" s="294"/>
      <c r="NOF615" s="294"/>
      <c r="NOG615" s="294"/>
      <c r="NOH615" s="294"/>
      <c r="NOI615" s="294"/>
      <c r="NOJ615" s="294"/>
      <c r="NOK615" s="294"/>
      <c r="NOL615" s="294"/>
      <c r="NOM615" s="294"/>
      <c r="NON615" s="294"/>
      <c r="NOO615" s="294"/>
      <c r="NOP615" s="294"/>
      <c r="NOQ615" s="294"/>
      <c r="NOR615" s="294"/>
      <c r="NOS615" s="294"/>
      <c r="NOT615" s="294"/>
      <c r="NOU615" s="294"/>
      <c r="NOV615" s="294"/>
      <c r="NOW615" s="294"/>
      <c r="NOX615" s="294"/>
      <c r="NOY615" s="294"/>
      <c r="NOZ615" s="294"/>
      <c r="NPA615" s="294"/>
      <c r="NPB615" s="294"/>
      <c r="NPC615" s="294"/>
      <c r="NPD615" s="294"/>
      <c r="NPE615" s="294"/>
      <c r="NPF615" s="294"/>
      <c r="NPG615" s="294"/>
      <c r="NPH615" s="294"/>
      <c r="NPI615" s="294"/>
      <c r="NPJ615" s="294"/>
      <c r="NPK615" s="294"/>
      <c r="NPL615" s="294"/>
      <c r="NPM615" s="294"/>
      <c r="NPN615" s="294"/>
      <c r="NPO615" s="294"/>
      <c r="NPP615" s="294"/>
      <c r="NPQ615" s="294"/>
      <c r="NPR615" s="294"/>
      <c r="NPS615" s="294"/>
      <c r="NPT615" s="294"/>
      <c r="NPU615" s="294"/>
      <c r="NPV615" s="294"/>
      <c r="NPW615" s="294"/>
      <c r="NPX615" s="294"/>
      <c r="NPY615" s="294"/>
      <c r="NPZ615" s="294"/>
      <c r="NQA615" s="294"/>
      <c r="NQB615" s="294"/>
      <c r="NQC615" s="294"/>
      <c r="NQD615" s="294"/>
      <c r="NQE615" s="294"/>
      <c r="NQF615" s="294"/>
      <c r="NQG615" s="294"/>
      <c r="NQH615" s="294"/>
      <c r="NQI615" s="294"/>
      <c r="NQJ615" s="294"/>
      <c r="NQK615" s="294"/>
      <c r="NQL615" s="294"/>
      <c r="NQM615" s="294"/>
      <c r="NQN615" s="294"/>
      <c r="NQO615" s="294"/>
      <c r="NQP615" s="294"/>
      <c r="NQQ615" s="294"/>
      <c r="NQR615" s="294"/>
      <c r="NQS615" s="294"/>
      <c r="NQT615" s="294"/>
      <c r="NQU615" s="294"/>
      <c r="NQV615" s="294"/>
      <c r="NQW615" s="294"/>
      <c r="NQX615" s="294"/>
      <c r="NQY615" s="294"/>
      <c r="NQZ615" s="294"/>
      <c r="NRA615" s="294"/>
      <c r="NRB615" s="294"/>
      <c r="NRC615" s="294"/>
      <c r="NRD615" s="294"/>
      <c r="NRE615" s="294"/>
      <c r="NRF615" s="294"/>
      <c r="NRG615" s="294"/>
      <c r="NRH615" s="294"/>
      <c r="NRI615" s="294"/>
      <c r="NRJ615" s="294"/>
      <c r="NRK615" s="294"/>
      <c r="NRL615" s="294"/>
      <c r="NRM615" s="294"/>
      <c r="NRN615" s="294"/>
      <c r="NRO615" s="294"/>
      <c r="NRP615" s="294"/>
      <c r="NRQ615" s="294"/>
      <c r="NRR615" s="294"/>
      <c r="NRS615" s="294"/>
      <c r="NRT615" s="294"/>
      <c r="NRU615" s="294"/>
      <c r="NRV615" s="294"/>
      <c r="NRW615" s="294"/>
      <c r="NRX615" s="294"/>
      <c r="NRY615" s="294"/>
      <c r="NRZ615" s="294"/>
      <c r="NSA615" s="294"/>
      <c r="NSB615" s="294"/>
      <c r="NSC615" s="294"/>
      <c r="NSD615" s="294"/>
      <c r="NSE615" s="294"/>
      <c r="NSF615" s="294"/>
      <c r="NSG615" s="294"/>
      <c r="NSH615" s="294"/>
      <c r="NSI615" s="294"/>
      <c r="NSJ615" s="294"/>
      <c r="NSK615" s="294"/>
      <c r="NSL615" s="294"/>
      <c r="NSM615" s="294"/>
      <c r="NSN615" s="294"/>
      <c r="NSO615" s="294"/>
      <c r="NSP615" s="294"/>
      <c r="NSQ615" s="294"/>
      <c r="NSR615" s="294"/>
      <c r="NSS615" s="294"/>
      <c r="NST615" s="294"/>
      <c r="NSU615" s="294"/>
      <c r="NSV615" s="294"/>
      <c r="NSW615" s="294"/>
      <c r="NSX615" s="294"/>
      <c r="NSY615" s="294"/>
      <c r="NSZ615" s="294"/>
      <c r="NTA615" s="294"/>
      <c r="NTB615" s="294"/>
      <c r="NTC615" s="294"/>
      <c r="NTD615" s="294"/>
      <c r="NTE615" s="294"/>
      <c r="NTF615" s="294"/>
      <c r="NTG615" s="294"/>
      <c r="NTH615" s="294"/>
      <c r="NTI615" s="294"/>
      <c r="NTJ615" s="294"/>
      <c r="NTK615" s="294"/>
      <c r="NTL615" s="294"/>
      <c r="NTM615" s="294"/>
      <c r="NTN615" s="294"/>
      <c r="NTO615" s="294"/>
      <c r="NTP615" s="294"/>
      <c r="NTQ615" s="294"/>
      <c r="NTR615" s="294"/>
      <c r="NTS615" s="294"/>
      <c r="NTT615" s="294"/>
      <c r="NTU615" s="294"/>
      <c r="NTV615" s="294"/>
      <c r="NTW615" s="294"/>
      <c r="NTX615" s="294"/>
      <c r="NTY615" s="294"/>
      <c r="NTZ615" s="294"/>
      <c r="NUA615" s="294"/>
      <c r="NUB615" s="294"/>
      <c r="NUC615" s="294"/>
      <c r="NUD615" s="294"/>
      <c r="NUE615" s="294"/>
      <c r="NUF615" s="294"/>
      <c r="NUG615" s="294"/>
      <c r="NUH615" s="294"/>
      <c r="NUI615" s="294"/>
      <c r="NUJ615" s="294"/>
      <c r="NUK615" s="294"/>
      <c r="NUL615" s="294"/>
      <c r="NUM615" s="294"/>
      <c r="NUN615" s="294"/>
      <c r="NUO615" s="294"/>
      <c r="NUP615" s="294"/>
      <c r="NUQ615" s="294"/>
      <c r="NUR615" s="294"/>
      <c r="NUS615" s="294"/>
      <c r="NUT615" s="294"/>
      <c r="NUU615" s="294"/>
      <c r="NUV615" s="294"/>
      <c r="NUW615" s="294"/>
      <c r="NUX615" s="294"/>
      <c r="NUY615" s="294"/>
      <c r="NUZ615" s="294"/>
      <c r="NVA615" s="294"/>
      <c r="NVB615" s="294"/>
      <c r="NVC615" s="294"/>
      <c r="NVD615" s="294"/>
      <c r="NVE615" s="294"/>
      <c r="NVF615" s="294"/>
      <c r="NVG615" s="294"/>
      <c r="NVH615" s="294"/>
      <c r="NVI615" s="294"/>
      <c r="NVJ615" s="294"/>
      <c r="NVK615" s="294"/>
      <c r="NVL615" s="294"/>
      <c r="NVM615" s="294"/>
      <c r="NVN615" s="294"/>
      <c r="NVO615" s="294"/>
      <c r="NVP615" s="294"/>
      <c r="NVQ615" s="294"/>
      <c r="NVR615" s="294"/>
      <c r="NVS615" s="294"/>
      <c r="NVT615" s="294"/>
      <c r="NVU615" s="294"/>
      <c r="NVV615" s="294"/>
      <c r="NVW615" s="294"/>
      <c r="NVX615" s="294"/>
      <c r="NVY615" s="294"/>
      <c r="NVZ615" s="294"/>
      <c r="NWA615" s="294"/>
      <c r="NWB615" s="294"/>
      <c r="NWC615" s="294"/>
      <c r="NWD615" s="294"/>
      <c r="NWE615" s="294"/>
      <c r="NWF615" s="294"/>
      <c r="NWG615" s="294"/>
      <c r="NWH615" s="294"/>
      <c r="NWI615" s="294"/>
      <c r="NWJ615" s="294"/>
      <c r="NWK615" s="294"/>
      <c r="NWL615" s="294"/>
      <c r="NWM615" s="294"/>
      <c r="NWN615" s="294"/>
      <c r="NWO615" s="294"/>
      <c r="NWP615" s="294"/>
      <c r="NWQ615" s="294"/>
      <c r="NWR615" s="294"/>
      <c r="NWS615" s="294"/>
      <c r="NWT615" s="294"/>
      <c r="NWU615" s="294"/>
      <c r="NWV615" s="294"/>
      <c r="NWW615" s="294"/>
      <c r="NWX615" s="294"/>
      <c r="NWY615" s="294"/>
      <c r="NWZ615" s="294"/>
      <c r="NXA615" s="294"/>
      <c r="NXB615" s="294"/>
      <c r="NXC615" s="294"/>
      <c r="NXD615" s="294"/>
      <c r="NXE615" s="294"/>
      <c r="NXF615" s="294"/>
      <c r="NXG615" s="294"/>
      <c r="NXH615" s="294"/>
      <c r="NXI615" s="294"/>
      <c r="NXJ615" s="294"/>
      <c r="NXK615" s="294"/>
      <c r="NXL615" s="294"/>
      <c r="NXM615" s="294"/>
      <c r="NXN615" s="294"/>
      <c r="NXO615" s="294"/>
      <c r="NXP615" s="294"/>
      <c r="NXQ615" s="294"/>
      <c r="NXR615" s="294"/>
      <c r="NXS615" s="294"/>
      <c r="NXT615" s="294"/>
      <c r="NXU615" s="294"/>
      <c r="NXV615" s="294"/>
      <c r="NXW615" s="294"/>
      <c r="NXX615" s="294"/>
      <c r="NXY615" s="294"/>
      <c r="NXZ615" s="294"/>
      <c r="NYA615" s="294"/>
      <c r="NYB615" s="294"/>
      <c r="NYC615" s="294"/>
      <c r="NYD615" s="294"/>
      <c r="NYE615" s="294"/>
      <c r="NYF615" s="294"/>
      <c r="NYG615" s="294"/>
      <c r="NYH615" s="294"/>
      <c r="NYI615" s="294"/>
      <c r="NYJ615" s="294"/>
      <c r="NYK615" s="294"/>
      <c r="NYL615" s="294"/>
      <c r="NYM615" s="294"/>
      <c r="NYN615" s="294"/>
      <c r="NYO615" s="294"/>
      <c r="NYP615" s="294"/>
      <c r="NYQ615" s="294"/>
      <c r="NYR615" s="294"/>
      <c r="NYS615" s="294"/>
      <c r="NYT615" s="294"/>
      <c r="NYU615" s="294"/>
      <c r="NYV615" s="294"/>
      <c r="NYW615" s="294"/>
      <c r="NYX615" s="294"/>
      <c r="NYY615" s="294"/>
      <c r="NYZ615" s="294"/>
      <c r="NZA615" s="294"/>
      <c r="NZB615" s="294"/>
      <c r="NZC615" s="294"/>
      <c r="NZD615" s="294"/>
      <c r="NZE615" s="294"/>
      <c r="NZF615" s="294"/>
      <c r="NZG615" s="294"/>
      <c r="NZH615" s="294"/>
      <c r="NZI615" s="294"/>
      <c r="NZJ615" s="294"/>
      <c r="NZK615" s="294"/>
      <c r="NZL615" s="294"/>
      <c r="NZM615" s="294"/>
      <c r="NZN615" s="294"/>
      <c r="NZO615" s="294"/>
      <c r="NZP615" s="294"/>
      <c r="NZQ615" s="294"/>
      <c r="NZR615" s="294"/>
      <c r="NZS615" s="294"/>
      <c r="NZT615" s="294"/>
      <c r="NZU615" s="294"/>
      <c r="NZV615" s="294"/>
      <c r="NZW615" s="294"/>
      <c r="NZX615" s="294"/>
      <c r="NZY615" s="294"/>
      <c r="NZZ615" s="294"/>
      <c r="OAA615" s="294"/>
      <c r="OAB615" s="294"/>
      <c r="OAC615" s="294"/>
      <c r="OAD615" s="294"/>
      <c r="OAE615" s="294"/>
      <c r="OAF615" s="294"/>
      <c r="OAG615" s="294"/>
      <c r="OAH615" s="294"/>
      <c r="OAI615" s="294"/>
      <c r="OAJ615" s="294"/>
      <c r="OAK615" s="294"/>
      <c r="OAL615" s="294"/>
      <c r="OAM615" s="294"/>
      <c r="OAN615" s="294"/>
      <c r="OAO615" s="294"/>
      <c r="OAP615" s="294"/>
      <c r="OAQ615" s="294"/>
      <c r="OAR615" s="294"/>
      <c r="OAS615" s="294"/>
      <c r="OAT615" s="294"/>
      <c r="OAU615" s="294"/>
      <c r="OAV615" s="294"/>
      <c r="OAW615" s="294"/>
      <c r="OAX615" s="294"/>
      <c r="OAY615" s="294"/>
      <c r="OAZ615" s="294"/>
      <c r="OBA615" s="294"/>
      <c r="OBB615" s="294"/>
      <c r="OBC615" s="294"/>
      <c r="OBD615" s="294"/>
      <c r="OBE615" s="294"/>
      <c r="OBF615" s="294"/>
      <c r="OBG615" s="294"/>
      <c r="OBH615" s="294"/>
      <c r="OBI615" s="294"/>
      <c r="OBJ615" s="294"/>
      <c r="OBK615" s="294"/>
      <c r="OBL615" s="294"/>
      <c r="OBM615" s="294"/>
      <c r="OBN615" s="294"/>
      <c r="OBO615" s="294"/>
      <c r="OBP615" s="294"/>
      <c r="OBQ615" s="294"/>
      <c r="OBR615" s="294"/>
      <c r="OBS615" s="294"/>
      <c r="OBT615" s="294"/>
      <c r="OBU615" s="294"/>
      <c r="OBV615" s="294"/>
      <c r="OBW615" s="294"/>
      <c r="OBX615" s="294"/>
      <c r="OBY615" s="294"/>
      <c r="OBZ615" s="294"/>
      <c r="OCA615" s="294"/>
      <c r="OCB615" s="294"/>
      <c r="OCC615" s="294"/>
      <c r="OCD615" s="294"/>
      <c r="OCE615" s="294"/>
      <c r="OCF615" s="294"/>
      <c r="OCG615" s="294"/>
      <c r="OCH615" s="294"/>
      <c r="OCI615" s="294"/>
      <c r="OCJ615" s="294"/>
      <c r="OCK615" s="294"/>
      <c r="OCL615" s="294"/>
      <c r="OCM615" s="294"/>
      <c r="OCN615" s="294"/>
      <c r="OCO615" s="294"/>
      <c r="OCP615" s="294"/>
      <c r="OCQ615" s="294"/>
      <c r="OCR615" s="294"/>
      <c r="OCS615" s="294"/>
      <c r="OCT615" s="294"/>
      <c r="OCU615" s="294"/>
      <c r="OCV615" s="294"/>
      <c r="OCW615" s="294"/>
      <c r="OCX615" s="294"/>
      <c r="OCY615" s="294"/>
      <c r="OCZ615" s="294"/>
      <c r="ODA615" s="294"/>
      <c r="ODB615" s="294"/>
      <c r="ODC615" s="294"/>
      <c r="ODD615" s="294"/>
      <c r="ODE615" s="294"/>
      <c r="ODF615" s="294"/>
      <c r="ODG615" s="294"/>
      <c r="ODH615" s="294"/>
      <c r="ODI615" s="294"/>
      <c r="ODJ615" s="294"/>
      <c r="ODK615" s="294"/>
      <c r="ODL615" s="294"/>
      <c r="ODM615" s="294"/>
      <c r="ODN615" s="294"/>
      <c r="ODO615" s="294"/>
      <c r="ODP615" s="294"/>
      <c r="ODQ615" s="294"/>
      <c r="ODR615" s="294"/>
      <c r="ODS615" s="294"/>
      <c r="ODT615" s="294"/>
      <c r="ODU615" s="294"/>
      <c r="ODV615" s="294"/>
      <c r="ODW615" s="294"/>
      <c r="ODX615" s="294"/>
      <c r="ODY615" s="294"/>
      <c r="ODZ615" s="294"/>
      <c r="OEA615" s="294"/>
      <c r="OEB615" s="294"/>
      <c r="OEC615" s="294"/>
      <c r="OED615" s="294"/>
      <c r="OEE615" s="294"/>
      <c r="OEF615" s="294"/>
      <c r="OEG615" s="294"/>
      <c r="OEH615" s="294"/>
      <c r="OEI615" s="294"/>
      <c r="OEJ615" s="294"/>
      <c r="OEK615" s="294"/>
      <c r="OEL615" s="294"/>
      <c r="OEM615" s="294"/>
      <c r="OEN615" s="294"/>
      <c r="OEO615" s="294"/>
      <c r="OEP615" s="294"/>
      <c r="OEQ615" s="294"/>
      <c r="OER615" s="294"/>
      <c r="OES615" s="294"/>
      <c r="OET615" s="294"/>
      <c r="OEU615" s="294"/>
      <c r="OEV615" s="294"/>
      <c r="OEW615" s="294"/>
      <c r="OEX615" s="294"/>
      <c r="OEY615" s="294"/>
      <c r="OEZ615" s="294"/>
      <c r="OFA615" s="294"/>
      <c r="OFB615" s="294"/>
      <c r="OFC615" s="294"/>
      <c r="OFD615" s="294"/>
      <c r="OFE615" s="294"/>
      <c r="OFF615" s="294"/>
      <c r="OFG615" s="294"/>
      <c r="OFH615" s="294"/>
      <c r="OFI615" s="294"/>
      <c r="OFJ615" s="294"/>
      <c r="OFK615" s="294"/>
      <c r="OFL615" s="294"/>
      <c r="OFM615" s="294"/>
      <c r="OFN615" s="294"/>
      <c r="OFO615" s="294"/>
      <c r="OFP615" s="294"/>
      <c r="OFQ615" s="294"/>
      <c r="OFR615" s="294"/>
      <c r="OFS615" s="294"/>
      <c r="OFT615" s="294"/>
      <c r="OFU615" s="294"/>
      <c r="OFV615" s="294"/>
      <c r="OFW615" s="294"/>
      <c r="OFX615" s="294"/>
      <c r="OFY615" s="294"/>
      <c r="OFZ615" s="294"/>
      <c r="OGA615" s="294"/>
      <c r="OGB615" s="294"/>
      <c r="OGC615" s="294"/>
      <c r="OGD615" s="294"/>
      <c r="OGE615" s="294"/>
      <c r="OGF615" s="294"/>
      <c r="OGG615" s="294"/>
      <c r="OGH615" s="294"/>
      <c r="OGI615" s="294"/>
      <c r="OGJ615" s="294"/>
      <c r="OGK615" s="294"/>
      <c r="OGL615" s="294"/>
      <c r="OGM615" s="294"/>
      <c r="OGN615" s="294"/>
      <c r="OGO615" s="294"/>
      <c r="OGP615" s="294"/>
      <c r="OGQ615" s="294"/>
      <c r="OGR615" s="294"/>
      <c r="OGS615" s="294"/>
      <c r="OGT615" s="294"/>
      <c r="OGU615" s="294"/>
      <c r="OGV615" s="294"/>
      <c r="OGW615" s="294"/>
      <c r="OGX615" s="294"/>
      <c r="OGY615" s="294"/>
      <c r="OGZ615" s="294"/>
      <c r="OHA615" s="294"/>
      <c r="OHB615" s="294"/>
      <c r="OHC615" s="294"/>
      <c r="OHD615" s="294"/>
      <c r="OHE615" s="294"/>
      <c r="OHF615" s="294"/>
      <c r="OHG615" s="294"/>
      <c r="OHH615" s="294"/>
      <c r="OHI615" s="294"/>
      <c r="OHJ615" s="294"/>
      <c r="OHK615" s="294"/>
      <c r="OHL615" s="294"/>
      <c r="OHM615" s="294"/>
      <c r="OHN615" s="294"/>
      <c r="OHO615" s="294"/>
      <c r="OHP615" s="294"/>
      <c r="OHQ615" s="294"/>
      <c r="OHR615" s="294"/>
      <c r="OHS615" s="294"/>
      <c r="OHT615" s="294"/>
      <c r="OHU615" s="294"/>
      <c r="OHV615" s="294"/>
      <c r="OHW615" s="294"/>
      <c r="OHX615" s="294"/>
      <c r="OHY615" s="294"/>
      <c r="OHZ615" s="294"/>
      <c r="OIA615" s="294"/>
      <c r="OIB615" s="294"/>
      <c r="OIC615" s="294"/>
      <c r="OID615" s="294"/>
      <c r="OIE615" s="294"/>
      <c r="OIF615" s="294"/>
      <c r="OIG615" s="294"/>
      <c r="OIH615" s="294"/>
      <c r="OII615" s="294"/>
      <c r="OIJ615" s="294"/>
      <c r="OIK615" s="294"/>
      <c r="OIL615" s="294"/>
      <c r="OIM615" s="294"/>
      <c r="OIN615" s="294"/>
      <c r="OIO615" s="294"/>
      <c r="OIP615" s="294"/>
      <c r="OIQ615" s="294"/>
      <c r="OIR615" s="294"/>
      <c r="OIS615" s="294"/>
      <c r="OIT615" s="294"/>
      <c r="OIU615" s="294"/>
      <c r="OIV615" s="294"/>
      <c r="OIW615" s="294"/>
      <c r="OIX615" s="294"/>
      <c r="OIY615" s="294"/>
      <c r="OIZ615" s="294"/>
      <c r="OJA615" s="294"/>
      <c r="OJB615" s="294"/>
      <c r="OJC615" s="294"/>
      <c r="OJD615" s="294"/>
      <c r="OJE615" s="294"/>
      <c r="OJF615" s="294"/>
      <c r="OJG615" s="294"/>
      <c r="OJH615" s="294"/>
      <c r="OJI615" s="294"/>
      <c r="OJJ615" s="294"/>
      <c r="OJK615" s="294"/>
      <c r="OJL615" s="294"/>
      <c r="OJM615" s="294"/>
      <c r="OJN615" s="294"/>
      <c r="OJO615" s="294"/>
      <c r="OJP615" s="294"/>
      <c r="OJQ615" s="294"/>
      <c r="OJR615" s="294"/>
      <c r="OJS615" s="294"/>
      <c r="OJT615" s="294"/>
      <c r="OJU615" s="294"/>
      <c r="OJV615" s="294"/>
      <c r="OJW615" s="294"/>
      <c r="OJX615" s="294"/>
      <c r="OJY615" s="294"/>
      <c r="OJZ615" s="294"/>
      <c r="OKA615" s="294"/>
      <c r="OKB615" s="294"/>
      <c r="OKC615" s="294"/>
      <c r="OKD615" s="294"/>
      <c r="OKE615" s="294"/>
      <c r="OKF615" s="294"/>
      <c r="OKG615" s="294"/>
      <c r="OKH615" s="294"/>
      <c r="OKI615" s="294"/>
      <c r="OKJ615" s="294"/>
      <c r="OKK615" s="294"/>
      <c r="OKL615" s="294"/>
      <c r="OKM615" s="294"/>
      <c r="OKN615" s="294"/>
      <c r="OKO615" s="294"/>
      <c r="OKP615" s="294"/>
      <c r="OKQ615" s="294"/>
      <c r="OKR615" s="294"/>
      <c r="OKS615" s="294"/>
      <c r="OKT615" s="294"/>
      <c r="OKU615" s="294"/>
      <c r="OKV615" s="294"/>
      <c r="OKW615" s="294"/>
      <c r="OKX615" s="294"/>
      <c r="OKY615" s="294"/>
      <c r="OKZ615" s="294"/>
      <c r="OLA615" s="294"/>
      <c r="OLB615" s="294"/>
      <c r="OLC615" s="294"/>
      <c r="OLD615" s="294"/>
      <c r="OLE615" s="294"/>
      <c r="OLF615" s="294"/>
      <c r="OLG615" s="294"/>
      <c r="OLH615" s="294"/>
      <c r="OLI615" s="294"/>
      <c r="OLJ615" s="294"/>
      <c r="OLK615" s="294"/>
      <c r="OLL615" s="294"/>
      <c r="OLM615" s="294"/>
      <c r="OLN615" s="294"/>
      <c r="OLO615" s="294"/>
      <c r="OLP615" s="294"/>
      <c r="OLQ615" s="294"/>
      <c r="OLR615" s="294"/>
      <c r="OLS615" s="294"/>
      <c r="OLT615" s="294"/>
      <c r="OLU615" s="294"/>
      <c r="OLV615" s="294"/>
      <c r="OLW615" s="294"/>
      <c r="OLX615" s="294"/>
      <c r="OLY615" s="294"/>
      <c r="OLZ615" s="294"/>
      <c r="OMA615" s="294"/>
      <c r="OMB615" s="294"/>
      <c r="OMC615" s="294"/>
      <c r="OMD615" s="294"/>
      <c r="OME615" s="294"/>
      <c r="OMF615" s="294"/>
      <c r="OMG615" s="294"/>
      <c r="OMH615" s="294"/>
      <c r="OMI615" s="294"/>
      <c r="OMJ615" s="294"/>
      <c r="OMK615" s="294"/>
      <c r="OML615" s="294"/>
      <c r="OMM615" s="294"/>
      <c r="OMN615" s="294"/>
      <c r="OMO615" s="294"/>
      <c r="OMP615" s="294"/>
      <c r="OMQ615" s="294"/>
      <c r="OMR615" s="294"/>
      <c r="OMS615" s="294"/>
      <c r="OMT615" s="294"/>
      <c r="OMU615" s="294"/>
      <c r="OMV615" s="294"/>
      <c r="OMW615" s="294"/>
      <c r="OMX615" s="294"/>
      <c r="OMY615" s="294"/>
      <c r="OMZ615" s="294"/>
      <c r="ONA615" s="294"/>
      <c r="ONB615" s="294"/>
      <c r="ONC615" s="294"/>
      <c r="OND615" s="294"/>
      <c r="ONE615" s="294"/>
      <c r="ONF615" s="294"/>
      <c r="ONG615" s="294"/>
      <c r="ONH615" s="294"/>
      <c r="ONI615" s="294"/>
      <c r="ONJ615" s="294"/>
      <c r="ONK615" s="294"/>
      <c r="ONL615" s="294"/>
      <c r="ONM615" s="294"/>
      <c r="ONN615" s="294"/>
      <c r="ONO615" s="294"/>
      <c r="ONP615" s="294"/>
      <c r="ONQ615" s="294"/>
      <c r="ONR615" s="294"/>
      <c r="ONS615" s="294"/>
      <c r="ONT615" s="294"/>
      <c r="ONU615" s="294"/>
      <c r="ONV615" s="294"/>
      <c r="ONW615" s="294"/>
      <c r="ONX615" s="294"/>
      <c r="ONY615" s="294"/>
      <c r="ONZ615" s="294"/>
      <c r="OOA615" s="294"/>
      <c r="OOB615" s="294"/>
      <c r="OOC615" s="294"/>
      <c r="OOD615" s="294"/>
      <c r="OOE615" s="294"/>
      <c r="OOF615" s="294"/>
      <c r="OOG615" s="294"/>
      <c r="OOH615" s="294"/>
      <c r="OOI615" s="294"/>
      <c r="OOJ615" s="294"/>
      <c r="OOK615" s="294"/>
      <c r="OOL615" s="294"/>
      <c r="OOM615" s="294"/>
      <c r="OON615" s="294"/>
      <c r="OOO615" s="294"/>
      <c r="OOP615" s="294"/>
      <c r="OOQ615" s="294"/>
      <c r="OOR615" s="294"/>
      <c r="OOS615" s="294"/>
      <c r="OOT615" s="294"/>
      <c r="OOU615" s="294"/>
      <c r="OOV615" s="294"/>
      <c r="OOW615" s="294"/>
      <c r="OOX615" s="294"/>
      <c r="OOY615" s="294"/>
      <c r="OOZ615" s="294"/>
      <c r="OPA615" s="294"/>
      <c r="OPB615" s="294"/>
      <c r="OPC615" s="294"/>
      <c r="OPD615" s="294"/>
      <c r="OPE615" s="294"/>
      <c r="OPF615" s="294"/>
      <c r="OPG615" s="294"/>
      <c r="OPH615" s="294"/>
      <c r="OPI615" s="294"/>
      <c r="OPJ615" s="294"/>
      <c r="OPK615" s="294"/>
      <c r="OPL615" s="294"/>
      <c r="OPM615" s="294"/>
      <c r="OPN615" s="294"/>
      <c r="OPO615" s="294"/>
      <c r="OPP615" s="294"/>
      <c r="OPQ615" s="294"/>
      <c r="OPR615" s="294"/>
      <c r="OPS615" s="294"/>
      <c r="OPT615" s="294"/>
      <c r="OPU615" s="294"/>
      <c r="OPV615" s="294"/>
      <c r="OPW615" s="294"/>
      <c r="OPX615" s="294"/>
      <c r="OPY615" s="294"/>
      <c r="OPZ615" s="294"/>
      <c r="OQA615" s="294"/>
      <c r="OQB615" s="294"/>
      <c r="OQC615" s="294"/>
      <c r="OQD615" s="294"/>
      <c r="OQE615" s="294"/>
      <c r="OQF615" s="294"/>
      <c r="OQG615" s="294"/>
      <c r="OQH615" s="294"/>
      <c r="OQI615" s="294"/>
      <c r="OQJ615" s="294"/>
      <c r="OQK615" s="294"/>
      <c r="OQL615" s="294"/>
      <c r="OQM615" s="294"/>
      <c r="OQN615" s="294"/>
      <c r="OQO615" s="294"/>
      <c r="OQP615" s="294"/>
      <c r="OQQ615" s="294"/>
      <c r="OQR615" s="294"/>
      <c r="OQS615" s="294"/>
      <c r="OQT615" s="294"/>
      <c r="OQU615" s="294"/>
      <c r="OQV615" s="294"/>
      <c r="OQW615" s="294"/>
      <c r="OQX615" s="294"/>
      <c r="OQY615" s="294"/>
      <c r="OQZ615" s="294"/>
      <c r="ORA615" s="294"/>
      <c r="ORB615" s="294"/>
      <c r="ORC615" s="294"/>
      <c r="ORD615" s="294"/>
      <c r="ORE615" s="294"/>
      <c r="ORF615" s="294"/>
      <c r="ORG615" s="294"/>
      <c r="ORH615" s="294"/>
      <c r="ORI615" s="294"/>
      <c r="ORJ615" s="294"/>
      <c r="ORK615" s="294"/>
      <c r="ORL615" s="294"/>
      <c r="ORM615" s="294"/>
      <c r="ORN615" s="294"/>
      <c r="ORO615" s="294"/>
      <c r="ORP615" s="294"/>
      <c r="ORQ615" s="294"/>
      <c r="ORR615" s="294"/>
      <c r="ORS615" s="294"/>
      <c r="ORT615" s="294"/>
      <c r="ORU615" s="294"/>
      <c r="ORV615" s="294"/>
      <c r="ORW615" s="294"/>
      <c r="ORX615" s="294"/>
      <c r="ORY615" s="294"/>
      <c r="ORZ615" s="294"/>
      <c r="OSA615" s="294"/>
      <c r="OSB615" s="294"/>
      <c r="OSC615" s="294"/>
      <c r="OSD615" s="294"/>
      <c r="OSE615" s="294"/>
      <c r="OSF615" s="294"/>
      <c r="OSG615" s="294"/>
      <c r="OSH615" s="294"/>
      <c r="OSI615" s="294"/>
      <c r="OSJ615" s="294"/>
      <c r="OSK615" s="294"/>
      <c r="OSL615" s="294"/>
      <c r="OSM615" s="294"/>
      <c r="OSN615" s="294"/>
      <c r="OSO615" s="294"/>
      <c r="OSP615" s="294"/>
      <c r="OSQ615" s="294"/>
      <c r="OSR615" s="294"/>
      <c r="OSS615" s="294"/>
      <c r="OST615" s="294"/>
      <c r="OSU615" s="294"/>
      <c r="OSV615" s="294"/>
      <c r="OSW615" s="294"/>
      <c r="OSX615" s="294"/>
      <c r="OSY615" s="294"/>
      <c r="OSZ615" s="294"/>
      <c r="OTA615" s="294"/>
      <c r="OTB615" s="294"/>
      <c r="OTC615" s="294"/>
      <c r="OTD615" s="294"/>
      <c r="OTE615" s="294"/>
      <c r="OTF615" s="294"/>
      <c r="OTG615" s="294"/>
      <c r="OTH615" s="294"/>
      <c r="OTI615" s="294"/>
      <c r="OTJ615" s="294"/>
      <c r="OTK615" s="294"/>
      <c r="OTL615" s="294"/>
      <c r="OTM615" s="294"/>
      <c r="OTN615" s="294"/>
      <c r="OTO615" s="294"/>
      <c r="OTP615" s="294"/>
      <c r="OTQ615" s="294"/>
      <c r="OTR615" s="294"/>
      <c r="OTS615" s="294"/>
      <c r="OTT615" s="294"/>
      <c r="OTU615" s="294"/>
      <c r="OTV615" s="294"/>
      <c r="OTW615" s="294"/>
      <c r="OTX615" s="294"/>
      <c r="OTY615" s="294"/>
      <c r="OTZ615" s="294"/>
      <c r="OUA615" s="294"/>
      <c r="OUB615" s="294"/>
      <c r="OUC615" s="294"/>
      <c r="OUD615" s="294"/>
      <c r="OUE615" s="294"/>
      <c r="OUF615" s="294"/>
      <c r="OUG615" s="294"/>
      <c r="OUH615" s="294"/>
      <c r="OUI615" s="294"/>
      <c r="OUJ615" s="294"/>
      <c r="OUK615" s="294"/>
      <c r="OUL615" s="294"/>
      <c r="OUM615" s="294"/>
      <c r="OUN615" s="294"/>
      <c r="OUO615" s="294"/>
      <c r="OUP615" s="294"/>
      <c r="OUQ615" s="294"/>
      <c r="OUR615" s="294"/>
      <c r="OUS615" s="294"/>
      <c r="OUT615" s="294"/>
      <c r="OUU615" s="294"/>
      <c r="OUV615" s="294"/>
      <c r="OUW615" s="294"/>
      <c r="OUX615" s="294"/>
      <c r="OUY615" s="294"/>
      <c r="OUZ615" s="294"/>
      <c r="OVA615" s="294"/>
      <c r="OVB615" s="294"/>
      <c r="OVC615" s="294"/>
      <c r="OVD615" s="294"/>
      <c r="OVE615" s="294"/>
      <c r="OVF615" s="294"/>
      <c r="OVG615" s="294"/>
      <c r="OVH615" s="294"/>
      <c r="OVI615" s="294"/>
      <c r="OVJ615" s="294"/>
      <c r="OVK615" s="294"/>
      <c r="OVL615" s="294"/>
      <c r="OVM615" s="294"/>
      <c r="OVN615" s="294"/>
      <c r="OVO615" s="294"/>
      <c r="OVP615" s="294"/>
      <c r="OVQ615" s="294"/>
      <c r="OVR615" s="294"/>
      <c r="OVS615" s="294"/>
      <c r="OVT615" s="294"/>
      <c r="OVU615" s="294"/>
      <c r="OVV615" s="294"/>
      <c r="OVW615" s="294"/>
      <c r="OVX615" s="294"/>
      <c r="OVY615" s="294"/>
      <c r="OVZ615" s="294"/>
      <c r="OWA615" s="294"/>
      <c r="OWB615" s="294"/>
      <c r="OWC615" s="294"/>
      <c r="OWD615" s="294"/>
      <c r="OWE615" s="294"/>
      <c r="OWF615" s="294"/>
      <c r="OWG615" s="294"/>
      <c r="OWH615" s="294"/>
      <c r="OWI615" s="294"/>
      <c r="OWJ615" s="294"/>
      <c r="OWK615" s="294"/>
      <c r="OWL615" s="294"/>
      <c r="OWM615" s="294"/>
      <c r="OWN615" s="294"/>
      <c r="OWO615" s="294"/>
      <c r="OWP615" s="294"/>
      <c r="OWQ615" s="294"/>
      <c r="OWR615" s="294"/>
      <c r="OWS615" s="294"/>
      <c r="OWT615" s="294"/>
      <c r="OWU615" s="294"/>
      <c r="OWV615" s="294"/>
      <c r="OWW615" s="294"/>
      <c r="OWX615" s="294"/>
      <c r="OWY615" s="294"/>
      <c r="OWZ615" s="294"/>
      <c r="OXA615" s="294"/>
      <c r="OXB615" s="294"/>
      <c r="OXC615" s="294"/>
      <c r="OXD615" s="294"/>
      <c r="OXE615" s="294"/>
      <c r="OXF615" s="294"/>
      <c r="OXG615" s="294"/>
      <c r="OXH615" s="294"/>
      <c r="OXI615" s="294"/>
      <c r="OXJ615" s="294"/>
      <c r="OXK615" s="294"/>
      <c r="OXL615" s="294"/>
      <c r="OXM615" s="294"/>
      <c r="OXN615" s="294"/>
      <c r="OXO615" s="294"/>
      <c r="OXP615" s="294"/>
      <c r="OXQ615" s="294"/>
      <c r="OXR615" s="294"/>
      <c r="OXS615" s="294"/>
      <c r="OXT615" s="294"/>
      <c r="OXU615" s="294"/>
      <c r="OXV615" s="294"/>
      <c r="OXW615" s="294"/>
      <c r="OXX615" s="294"/>
      <c r="OXY615" s="294"/>
      <c r="OXZ615" s="294"/>
      <c r="OYA615" s="294"/>
      <c r="OYB615" s="294"/>
      <c r="OYC615" s="294"/>
      <c r="OYD615" s="294"/>
      <c r="OYE615" s="294"/>
      <c r="OYF615" s="294"/>
      <c r="OYG615" s="294"/>
      <c r="OYH615" s="294"/>
      <c r="OYI615" s="294"/>
      <c r="OYJ615" s="294"/>
      <c r="OYK615" s="294"/>
      <c r="OYL615" s="294"/>
      <c r="OYM615" s="294"/>
      <c r="OYN615" s="294"/>
      <c r="OYO615" s="294"/>
      <c r="OYP615" s="294"/>
      <c r="OYQ615" s="294"/>
      <c r="OYR615" s="294"/>
      <c r="OYS615" s="294"/>
      <c r="OYT615" s="294"/>
      <c r="OYU615" s="294"/>
      <c r="OYV615" s="294"/>
      <c r="OYW615" s="294"/>
      <c r="OYX615" s="294"/>
      <c r="OYY615" s="294"/>
      <c r="OYZ615" s="294"/>
      <c r="OZA615" s="294"/>
      <c r="OZB615" s="294"/>
      <c r="OZC615" s="294"/>
      <c r="OZD615" s="294"/>
      <c r="OZE615" s="294"/>
      <c r="OZF615" s="294"/>
      <c r="OZG615" s="294"/>
      <c r="OZH615" s="294"/>
      <c r="OZI615" s="294"/>
      <c r="OZJ615" s="294"/>
      <c r="OZK615" s="294"/>
      <c r="OZL615" s="294"/>
      <c r="OZM615" s="294"/>
      <c r="OZN615" s="294"/>
      <c r="OZO615" s="294"/>
      <c r="OZP615" s="294"/>
      <c r="OZQ615" s="294"/>
      <c r="OZR615" s="294"/>
      <c r="OZS615" s="294"/>
      <c r="OZT615" s="294"/>
      <c r="OZU615" s="294"/>
      <c r="OZV615" s="294"/>
      <c r="OZW615" s="294"/>
      <c r="OZX615" s="294"/>
      <c r="OZY615" s="294"/>
      <c r="OZZ615" s="294"/>
      <c r="PAA615" s="294"/>
      <c r="PAB615" s="294"/>
      <c r="PAC615" s="294"/>
      <c r="PAD615" s="294"/>
      <c r="PAE615" s="294"/>
      <c r="PAF615" s="294"/>
      <c r="PAG615" s="294"/>
      <c r="PAH615" s="294"/>
      <c r="PAI615" s="294"/>
      <c r="PAJ615" s="294"/>
      <c r="PAK615" s="294"/>
      <c r="PAL615" s="294"/>
      <c r="PAM615" s="294"/>
      <c r="PAN615" s="294"/>
      <c r="PAO615" s="294"/>
      <c r="PAP615" s="294"/>
      <c r="PAQ615" s="294"/>
      <c r="PAR615" s="294"/>
      <c r="PAS615" s="294"/>
      <c r="PAT615" s="294"/>
      <c r="PAU615" s="294"/>
      <c r="PAV615" s="294"/>
      <c r="PAW615" s="294"/>
      <c r="PAX615" s="294"/>
      <c r="PAY615" s="294"/>
      <c r="PAZ615" s="294"/>
      <c r="PBA615" s="294"/>
      <c r="PBB615" s="294"/>
      <c r="PBC615" s="294"/>
      <c r="PBD615" s="294"/>
      <c r="PBE615" s="294"/>
      <c r="PBF615" s="294"/>
      <c r="PBG615" s="294"/>
      <c r="PBH615" s="294"/>
      <c r="PBI615" s="294"/>
      <c r="PBJ615" s="294"/>
      <c r="PBK615" s="294"/>
      <c r="PBL615" s="294"/>
      <c r="PBM615" s="294"/>
      <c r="PBN615" s="294"/>
      <c r="PBO615" s="294"/>
      <c r="PBP615" s="294"/>
      <c r="PBQ615" s="294"/>
      <c r="PBR615" s="294"/>
      <c r="PBS615" s="294"/>
      <c r="PBT615" s="294"/>
      <c r="PBU615" s="294"/>
      <c r="PBV615" s="294"/>
      <c r="PBW615" s="294"/>
      <c r="PBX615" s="294"/>
      <c r="PBY615" s="294"/>
      <c r="PBZ615" s="294"/>
      <c r="PCA615" s="294"/>
      <c r="PCB615" s="294"/>
      <c r="PCC615" s="294"/>
      <c r="PCD615" s="294"/>
      <c r="PCE615" s="294"/>
      <c r="PCF615" s="294"/>
      <c r="PCG615" s="294"/>
      <c r="PCH615" s="294"/>
      <c r="PCI615" s="294"/>
      <c r="PCJ615" s="294"/>
      <c r="PCK615" s="294"/>
      <c r="PCL615" s="294"/>
      <c r="PCM615" s="294"/>
      <c r="PCN615" s="294"/>
      <c r="PCO615" s="294"/>
      <c r="PCP615" s="294"/>
      <c r="PCQ615" s="294"/>
      <c r="PCR615" s="294"/>
      <c r="PCS615" s="294"/>
      <c r="PCT615" s="294"/>
      <c r="PCU615" s="294"/>
      <c r="PCV615" s="294"/>
      <c r="PCW615" s="294"/>
      <c r="PCX615" s="294"/>
      <c r="PCY615" s="294"/>
      <c r="PCZ615" s="294"/>
      <c r="PDA615" s="294"/>
      <c r="PDB615" s="294"/>
      <c r="PDC615" s="294"/>
      <c r="PDD615" s="294"/>
      <c r="PDE615" s="294"/>
      <c r="PDF615" s="294"/>
      <c r="PDG615" s="294"/>
      <c r="PDH615" s="294"/>
      <c r="PDI615" s="294"/>
      <c r="PDJ615" s="294"/>
      <c r="PDK615" s="294"/>
      <c r="PDL615" s="294"/>
      <c r="PDM615" s="294"/>
      <c r="PDN615" s="294"/>
      <c r="PDO615" s="294"/>
      <c r="PDP615" s="294"/>
      <c r="PDQ615" s="294"/>
      <c r="PDR615" s="294"/>
      <c r="PDS615" s="294"/>
      <c r="PDT615" s="294"/>
      <c r="PDU615" s="294"/>
      <c r="PDV615" s="294"/>
      <c r="PDW615" s="294"/>
      <c r="PDX615" s="294"/>
      <c r="PDY615" s="294"/>
      <c r="PDZ615" s="294"/>
      <c r="PEA615" s="294"/>
      <c r="PEB615" s="294"/>
      <c r="PEC615" s="294"/>
      <c r="PED615" s="294"/>
      <c r="PEE615" s="294"/>
      <c r="PEF615" s="294"/>
      <c r="PEG615" s="294"/>
      <c r="PEH615" s="294"/>
      <c r="PEI615" s="294"/>
      <c r="PEJ615" s="294"/>
      <c r="PEK615" s="294"/>
      <c r="PEL615" s="294"/>
      <c r="PEM615" s="294"/>
      <c r="PEN615" s="294"/>
      <c r="PEO615" s="294"/>
      <c r="PEP615" s="294"/>
      <c r="PEQ615" s="294"/>
      <c r="PER615" s="294"/>
      <c r="PES615" s="294"/>
      <c r="PET615" s="294"/>
      <c r="PEU615" s="294"/>
      <c r="PEV615" s="294"/>
      <c r="PEW615" s="294"/>
      <c r="PEX615" s="294"/>
      <c r="PEY615" s="294"/>
      <c r="PEZ615" s="294"/>
      <c r="PFA615" s="294"/>
      <c r="PFB615" s="294"/>
      <c r="PFC615" s="294"/>
      <c r="PFD615" s="294"/>
      <c r="PFE615" s="294"/>
      <c r="PFF615" s="294"/>
      <c r="PFG615" s="294"/>
      <c r="PFH615" s="294"/>
      <c r="PFI615" s="294"/>
      <c r="PFJ615" s="294"/>
      <c r="PFK615" s="294"/>
      <c r="PFL615" s="294"/>
      <c r="PFM615" s="294"/>
      <c r="PFN615" s="294"/>
      <c r="PFO615" s="294"/>
      <c r="PFP615" s="294"/>
      <c r="PFQ615" s="294"/>
      <c r="PFR615" s="294"/>
      <c r="PFS615" s="294"/>
      <c r="PFT615" s="294"/>
      <c r="PFU615" s="294"/>
      <c r="PFV615" s="294"/>
      <c r="PFW615" s="294"/>
      <c r="PFX615" s="294"/>
      <c r="PFY615" s="294"/>
      <c r="PFZ615" s="294"/>
      <c r="PGA615" s="294"/>
      <c r="PGB615" s="294"/>
      <c r="PGC615" s="294"/>
      <c r="PGD615" s="294"/>
      <c r="PGE615" s="294"/>
      <c r="PGF615" s="294"/>
      <c r="PGG615" s="294"/>
      <c r="PGH615" s="294"/>
      <c r="PGI615" s="294"/>
      <c r="PGJ615" s="294"/>
      <c r="PGK615" s="294"/>
      <c r="PGL615" s="294"/>
      <c r="PGM615" s="294"/>
      <c r="PGN615" s="294"/>
      <c r="PGO615" s="294"/>
      <c r="PGP615" s="294"/>
      <c r="PGQ615" s="294"/>
      <c r="PGR615" s="294"/>
      <c r="PGS615" s="294"/>
      <c r="PGT615" s="294"/>
      <c r="PGU615" s="294"/>
      <c r="PGV615" s="294"/>
      <c r="PGW615" s="294"/>
      <c r="PGX615" s="294"/>
      <c r="PGY615" s="294"/>
      <c r="PGZ615" s="294"/>
      <c r="PHA615" s="294"/>
      <c r="PHB615" s="294"/>
      <c r="PHC615" s="294"/>
      <c r="PHD615" s="294"/>
      <c r="PHE615" s="294"/>
      <c r="PHF615" s="294"/>
      <c r="PHG615" s="294"/>
      <c r="PHH615" s="294"/>
      <c r="PHI615" s="294"/>
      <c r="PHJ615" s="294"/>
      <c r="PHK615" s="294"/>
      <c r="PHL615" s="294"/>
      <c r="PHM615" s="294"/>
      <c r="PHN615" s="294"/>
      <c r="PHO615" s="294"/>
      <c r="PHP615" s="294"/>
      <c r="PHQ615" s="294"/>
      <c r="PHR615" s="294"/>
      <c r="PHS615" s="294"/>
      <c r="PHT615" s="294"/>
      <c r="PHU615" s="294"/>
      <c r="PHV615" s="294"/>
      <c r="PHW615" s="294"/>
      <c r="PHX615" s="294"/>
      <c r="PHY615" s="294"/>
      <c r="PHZ615" s="294"/>
      <c r="PIA615" s="294"/>
      <c r="PIB615" s="294"/>
      <c r="PIC615" s="294"/>
      <c r="PID615" s="294"/>
      <c r="PIE615" s="294"/>
      <c r="PIF615" s="294"/>
      <c r="PIG615" s="294"/>
      <c r="PIH615" s="294"/>
      <c r="PII615" s="294"/>
      <c r="PIJ615" s="294"/>
      <c r="PIK615" s="294"/>
      <c r="PIL615" s="294"/>
      <c r="PIM615" s="294"/>
      <c r="PIN615" s="294"/>
      <c r="PIO615" s="294"/>
      <c r="PIP615" s="294"/>
      <c r="PIQ615" s="294"/>
      <c r="PIR615" s="294"/>
      <c r="PIS615" s="294"/>
      <c r="PIT615" s="294"/>
      <c r="PIU615" s="294"/>
      <c r="PIV615" s="294"/>
      <c r="PIW615" s="294"/>
      <c r="PIX615" s="294"/>
      <c r="PIY615" s="294"/>
      <c r="PIZ615" s="294"/>
      <c r="PJA615" s="294"/>
      <c r="PJB615" s="294"/>
      <c r="PJC615" s="294"/>
      <c r="PJD615" s="294"/>
      <c r="PJE615" s="294"/>
      <c r="PJF615" s="294"/>
      <c r="PJG615" s="294"/>
      <c r="PJH615" s="294"/>
      <c r="PJI615" s="294"/>
      <c r="PJJ615" s="294"/>
      <c r="PJK615" s="294"/>
      <c r="PJL615" s="294"/>
      <c r="PJM615" s="294"/>
      <c r="PJN615" s="294"/>
      <c r="PJO615" s="294"/>
      <c r="PJP615" s="294"/>
      <c r="PJQ615" s="294"/>
      <c r="PJR615" s="294"/>
      <c r="PJS615" s="294"/>
      <c r="PJT615" s="294"/>
      <c r="PJU615" s="294"/>
      <c r="PJV615" s="294"/>
      <c r="PJW615" s="294"/>
      <c r="PJX615" s="294"/>
      <c r="PJY615" s="294"/>
      <c r="PJZ615" s="294"/>
      <c r="PKA615" s="294"/>
      <c r="PKB615" s="294"/>
      <c r="PKC615" s="294"/>
      <c r="PKD615" s="294"/>
      <c r="PKE615" s="294"/>
      <c r="PKF615" s="294"/>
      <c r="PKG615" s="294"/>
      <c r="PKH615" s="294"/>
      <c r="PKI615" s="294"/>
      <c r="PKJ615" s="294"/>
      <c r="PKK615" s="294"/>
      <c r="PKL615" s="294"/>
      <c r="PKM615" s="294"/>
      <c r="PKN615" s="294"/>
      <c r="PKO615" s="294"/>
      <c r="PKP615" s="294"/>
      <c r="PKQ615" s="294"/>
      <c r="PKR615" s="294"/>
      <c r="PKS615" s="294"/>
      <c r="PKT615" s="294"/>
      <c r="PKU615" s="294"/>
      <c r="PKV615" s="294"/>
      <c r="PKW615" s="294"/>
      <c r="PKX615" s="294"/>
      <c r="PKY615" s="294"/>
      <c r="PKZ615" s="294"/>
      <c r="PLA615" s="294"/>
      <c r="PLB615" s="294"/>
      <c r="PLC615" s="294"/>
      <c r="PLD615" s="294"/>
      <c r="PLE615" s="294"/>
      <c r="PLF615" s="294"/>
      <c r="PLG615" s="294"/>
      <c r="PLH615" s="294"/>
      <c r="PLI615" s="294"/>
      <c r="PLJ615" s="294"/>
      <c r="PLK615" s="294"/>
      <c r="PLL615" s="294"/>
      <c r="PLM615" s="294"/>
      <c r="PLN615" s="294"/>
      <c r="PLO615" s="294"/>
      <c r="PLP615" s="294"/>
      <c r="PLQ615" s="294"/>
      <c r="PLR615" s="294"/>
      <c r="PLS615" s="294"/>
      <c r="PLT615" s="294"/>
      <c r="PLU615" s="294"/>
      <c r="PLV615" s="294"/>
      <c r="PLW615" s="294"/>
      <c r="PLX615" s="294"/>
      <c r="PLY615" s="294"/>
      <c r="PLZ615" s="294"/>
      <c r="PMA615" s="294"/>
      <c r="PMB615" s="294"/>
      <c r="PMC615" s="294"/>
      <c r="PMD615" s="294"/>
      <c r="PME615" s="294"/>
      <c r="PMF615" s="294"/>
      <c r="PMG615" s="294"/>
      <c r="PMH615" s="294"/>
      <c r="PMI615" s="294"/>
      <c r="PMJ615" s="294"/>
      <c r="PMK615" s="294"/>
      <c r="PML615" s="294"/>
      <c r="PMM615" s="294"/>
      <c r="PMN615" s="294"/>
      <c r="PMO615" s="294"/>
      <c r="PMP615" s="294"/>
      <c r="PMQ615" s="294"/>
      <c r="PMR615" s="294"/>
      <c r="PMS615" s="294"/>
      <c r="PMT615" s="294"/>
      <c r="PMU615" s="294"/>
      <c r="PMV615" s="294"/>
      <c r="PMW615" s="294"/>
      <c r="PMX615" s="294"/>
      <c r="PMY615" s="294"/>
      <c r="PMZ615" s="294"/>
      <c r="PNA615" s="294"/>
      <c r="PNB615" s="294"/>
      <c r="PNC615" s="294"/>
      <c r="PND615" s="294"/>
      <c r="PNE615" s="294"/>
      <c r="PNF615" s="294"/>
      <c r="PNG615" s="294"/>
      <c r="PNH615" s="294"/>
      <c r="PNI615" s="294"/>
      <c r="PNJ615" s="294"/>
      <c r="PNK615" s="294"/>
      <c r="PNL615" s="294"/>
      <c r="PNM615" s="294"/>
      <c r="PNN615" s="294"/>
      <c r="PNO615" s="294"/>
      <c r="PNP615" s="294"/>
      <c r="PNQ615" s="294"/>
      <c r="PNR615" s="294"/>
      <c r="PNS615" s="294"/>
      <c r="PNT615" s="294"/>
      <c r="PNU615" s="294"/>
      <c r="PNV615" s="294"/>
      <c r="PNW615" s="294"/>
      <c r="PNX615" s="294"/>
      <c r="PNY615" s="294"/>
      <c r="PNZ615" s="294"/>
      <c r="POA615" s="294"/>
      <c r="POB615" s="294"/>
      <c r="POC615" s="294"/>
      <c r="POD615" s="294"/>
      <c r="POE615" s="294"/>
      <c r="POF615" s="294"/>
      <c r="POG615" s="294"/>
      <c r="POH615" s="294"/>
      <c r="POI615" s="294"/>
      <c r="POJ615" s="294"/>
      <c r="POK615" s="294"/>
      <c r="POL615" s="294"/>
      <c r="POM615" s="294"/>
      <c r="PON615" s="294"/>
      <c r="POO615" s="294"/>
      <c r="POP615" s="294"/>
      <c r="POQ615" s="294"/>
      <c r="POR615" s="294"/>
      <c r="POS615" s="294"/>
      <c r="POT615" s="294"/>
      <c r="POU615" s="294"/>
      <c r="POV615" s="294"/>
      <c r="POW615" s="294"/>
      <c r="POX615" s="294"/>
      <c r="POY615" s="294"/>
      <c r="POZ615" s="294"/>
      <c r="PPA615" s="294"/>
      <c r="PPB615" s="294"/>
      <c r="PPC615" s="294"/>
      <c r="PPD615" s="294"/>
      <c r="PPE615" s="294"/>
      <c r="PPF615" s="294"/>
      <c r="PPG615" s="294"/>
      <c r="PPH615" s="294"/>
      <c r="PPI615" s="294"/>
      <c r="PPJ615" s="294"/>
      <c r="PPK615" s="294"/>
      <c r="PPL615" s="294"/>
      <c r="PPM615" s="294"/>
      <c r="PPN615" s="294"/>
      <c r="PPO615" s="294"/>
      <c r="PPP615" s="294"/>
      <c r="PPQ615" s="294"/>
      <c r="PPR615" s="294"/>
      <c r="PPS615" s="294"/>
      <c r="PPT615" s="294"/>
      <c r="PPU615" s="294"/>
      <c r="PPV615" s="294"/>
      <c r="PPW615" s="294"/>
      <c r="PPX615" s="294"/>
      <c r="PPY615" s="294"/>
      <c r="PPZ615" s="294"/>
      <c r="PQA615" s="294"/>
      <c r="PQB615" s="294"/>
      <c r="PQC615" s="294"/>
      <c r="PQD615" s="294"/>
      <c r="PQE615" s="294"/>
      <c r="PQF615" s="294"/>
      <c r="PQG615" s="294"/>
      <c r="PQH615" s="294"/>
      <c r="PQI615" s="294"/>
      <c r="PQJ615" s="294"/>
      <c r="PQK615" s="294"/>
      <c r="PQL615" s="294"/>
      <c r="PQM615" s="294"/>
      <c r="PQN615" s="294"/>
      <c r="PQO615" s="294"/>
      <c r="PQP615" s="294"/>
      <c r="PQQ615" s="294"/>
      <c r="PQR615" s="294"/>
      <c r="PQS615" s="294"/>
      <c r="PQT615" s="294"/>
      <c r="PQU615" s="294"/>
      <c r="PQV615" s="294"/>
      <c r="PQW615" s="294"/>
      <c r="PQX615" s="294"/>
      <c r="PQY615" s="294"/>
      <c r="PQZ615" s="294"/>
      <c r="PRA615" s="294"/>
      <c r="PRB615" s="294"/>
      <c r="PRC615" s="294"/>
      <c r="PRD615" s="294"/>
      <c r="PRE615" s="294"/>
      <c r="PRF615" s="294"/>
      <c r="PRG615" s="294"/>
      <c r="PRH615" s="294"/>
      <c r="PRI615" s="294"/>
      <c r="PRJ615" s="294"/>
      <c r="PRK615" s="294"/>
      <c r="PRL615" s="294"/>
      <c r="PRM615" s="294"/>
      <c r="PRN615" s="294"/>
      <c r="PRO615" s="294"/>
      <c r="PRP615" s="294"/>
      <c r="PRQ615" s="294"/>
      <c r="PRR615" s="294"/>
      <c r="PRS615" s="294"/>
      <c r="PRT615" s="294"/>
      <c r="PRU615" s="294"/>
      <c r="PRV615" s="294"/>
      <c r="PRW615" s="294"/>
      <c r="PRX615" s="294"/>
      <c r="PRY615" s="294"/>
      <c r="PRZ615" s="294"/>
      <c r="PSA615" s="294"/>
      <c r="PSB615" s="294"/>
      <c r="PSC615" s="294"/>
      <c r="PSD615" s="294"/>
      <c r="PSE615" s="294"/>
      <c r="PSF615" s="294"/>
      <c r="PSG615" s="294"/>
      <c r="PSH615" s="294"/>
      <c r="PSI615" s="294"/>
      <c r="PSJ615" s="294"/>
      <c r="PSK615" s="294"/>
      <c r="PSL615" s="294"/>
      <c r="PSM615" s="294"/>
      <c r="PSN615" s="294"/>
      <c r="PSO615" s="294"/>
      <c r="PSP615" s="294"/>
      <c r="PSQ615" s="294"/>
      <c r="PSR615" s="294"/>
      <c r="PSS615" s="294"/>
      <c r="PST615" s="294"/>
      <c r="PSU615" s="294"/>
      <c r="PSV615" s="294"/>
      <c r="PSW615" s="294"/>
      <c r="PSX615" s="294"/>
      <c r="PSY615" s="294"/>
      <c r="PSZ615" s="294"/>
      <c r="PTA615" s="294"/>
      <c r="PTB615" s="294"/>
      <c r="PTC615" s="294"/>
      <c r="PTD615" s="294"/>
      <c r="PTE615" s="294"/>
      <c r="PTF615" s="294"/>
      <c r="PTG615" s="294"/>
      <c r="PTH615" s="294"/>
      <c r="PTI615" s="294"/>
      <c r="PTJ615" s="294"/>
      <c r="PTK615" s="294"/>
      <c r="PTL615" s="294"/>
      <c r="PTM615" s="294"/>
      <c r="PTN615" s="294"/>
      <c r="PTO615" s="294"/>
      <c r="PTP615" s="294"/>
      <c r="PTQ615" s="294"/>
      <c r="PTR615" s="294"/>
      <c r="PTS615" s="294"/>
      <c r="PTT615" s="294"/>
      <c r="PTU615" s="294"/>
      <c r="PTV615" s="294"/>
      <c r="PTW615" s="294"/>
      <c r="PTX615" s="294"/>
      <c r="PTY615" s="294"/>
      <c r="PTZ615" s="294"/>
      <c r="PUA615" s="294"/>
      <c r="PUB615" s="294"/>
      <c r="PUC615" s="294"/>
      <c r="PUD615" s="294"/>
      <c r="PUE615" s="294"/>
      <c r="PUF615" s="294"/>
      <c r="PUG615" s="294"/>
      <c r="PUH615" s="294"/>
      <c r="PUI615" s="294"/>
      <c r="PUJ615" s="294"/>
      <c r="PUK615" s="294"/>
      <c r="PUL615" s="294"/>
      <c r="PUM615" s="294"/>
      <c r="PUN615" s="294"/>
      <c r="PUO615" s="294"/>
      <c r="PUP615" s="294"/>
      <c r="PUQ615" s="294"/>
      <c r="PUR615" s="294"/>
      <c r="PUS615" s="294"/>
      <c r="PUT615" s="294"/>
      <c r="PUU615" s="294"/>
      <c r="PUV615" s="294"/>
      <c r="PUW615" s="294"/>
      <c r="PUX615" s="294"/>
      <c r="PUY615" s="294"/>
      <c r="PUZ615" s="294"/>
      <c r="PVA615" s="294"/>
      <c r="PVB615" s="294"/>
      <c r="PVC615" s="294"/>
      <c r="PVD615" s="294"/>
      <c r="PVE615" s="294"/>
      <c r="PVF615" s="294"/>
      <c r="PVG615" s="294"/>
      <c r="PVH615" s="294"/>
      <c r="PVI615" s="294"/>
      <c r="PVJ615" s="294"/>
      <c r="PVK615" s="294"/>
      <c r="PVL615" s="294"/>
      <c r="PVM615" s="294"/>
      <c r="PVN615" s="294"/>
      <c r="PVO615" s="294"/>
      <c r="PVP615" s="294"/>
      <c r="PVQ615" s="294"/>
      <c r="PVR615" s="294"/>
      <c r="PVS615" s="294"/>
      <c r="PVT615" s="294"/>
      <c r="PVU615" s="294"/>
      <c r="PVV615" s="294"/>
      <c r="PVW615" s="294"/>
      <c r="PVX615" s="294"/>
      <c r="PVY615" s="294"/>
      <c r="PVZ615" s="294"/>
      <c r="PWA615" s="294"/>
      <c r="PWB615" s="294"/>
      <c r="PWC615" s="294"/>
      <c r="PWD615" s="294"/>
      <c r="PWE615" s="294"/>
      <c r="PWF615" s="294"/>
      <c r="PWG615" s="294"/>
      <c r="PWH615" s="294"/>
      <c r="PWI615" s="294"/>
      <c r="PWJ615" s="294"/>
      <c r="PWK615" s="294"/>
      <c r="PWL615" s="294"/>
      <c r="PWM615" s="294"/>
      <c r="PWN615" s="294"/>
      <c r="PWO615" s="294"/>
      <c r="PWP615" s="294"/>
      <c r="PWQ615" s="294"/>
      <c r="PWR615" s="294"/>
      <c r="PWS615" s="294"/>
      <c r="PWT615" s="294"/>
      <c r="PWU615" s="294"/>
      <c r="PWV615" s="294"/>
      <c r="PWW615" s="294"/>
      <c r="PWX615" s="294"/>
      <c r="PWY615" s="294"/>
      <c r="PWZ615" s="294"/>
      <c r="PXA615" s="294"/>
      <c r="PXB615" s="294"/>
      <c r="PXC615" s="294"/>
      <c r="PXD615" s="294"/>
      <c r="PXE615" s="294"/>
      <c r="PXF615" s="294"/>
      <c r="PXG615" s="294"/>
      <c r="PXH615" s="294"/>
      <c r="PXI615" s="294"/>
      <c r="PXJ615" s="294"/>
      <c r="PXK615" s="294"/>
      <c r="PXL615" s="294"/>
      <c r="PXM615" s="294"/>
      <c r="PXN615" s="294"/>
      <c r="PXO615" s="294"/>
      <c r="PXP615" s="294"/>
      <c r="PXQ615" s="294"/>
      <c r="PXR615" s="294"/>
      <c r="PXS615" s="294"/>
      <c r="PXT615" s="294"/>
      <c r="PXU615" s="294"/>
      <c r="PXV615" s="294"/>
      <c r="PXW615" s="294"/>
      <c r="PXX615" s="294"/>
      <c r="PXY615" s="294"/>
      <c r="PXZ615" s="294"/>
      <c r="PYA615" s="294"/>
      <c r="PYB615" s="294"/>
      <c r="PYC615" s="294"/>
      <c r="PYD615" s="294"/>
      <c r="PYE615" s="294"/>
      <c r="PYF615" s="294"/>
      <c r="PYG615" s="294"/>
      <c r="PYH615" s="294"/>
      <c r="PYI615" s="294"/>
      <c r="PYJ615" s="294"/>
      <c r="PYK615" s="294"/>
      <c r="PYL615" s="294"/>
      <c r="PYM615" s="294"/>
      <c r="PYN615" s="294"/>
      <c r="PYO615" s="294"/>
      <c r="PYP615" s="294"/>
      <c r="PYQ615" s="294"/>
      <c r="PYR615" s="294"/>
      <c r="PYS615" s="294"/>
      <c r="PYT615" s="294"/>
      <c r="PYU615" s="294"/>
      <c r="PYV615" s="294"/>
      <c r="PYW615" s="294"/>
      <c r="PYX615" s="294"/>
      <c r="PYY615" s="294"/>
      <c r="PYZ615" s="294"/>
      <c r="PZA615" s="294"/>
      <c r="PZB615" s="294"/>
      <c r="PZC615" s="294"/>
      <c r="PZD615" s="294"/>
      <c r="PZE615" s="294"/>
      <c r="PZF615" s="294"/>
      <c r="PZG615" s="294"/>
      <c r="PZH615" s="294"/>
      <c r="PZI615" s="294"/>
      <c r="PZJ615" s="294"/>
      <c r="PZK615" s="294"/>
      <c r="PZL615" s="294"/>
      <c r="PZM615" s="294"/>
      <c r="PZN615" s="294"/>
      <c r="PZO615" s="294"/>
      <c r="PZP615" s="294"/>
      <c r="PZQ615" s="294"/>
      <c r="PZR615" s="294"/>
      <c r="PZS615" s="294"/>
      <c r="PZT615" s="294"/>
      <c r="PZU615" s="294"/>
      <c r="PZV615" s="294"/>
      <c r="PZW615" s="294"/>
      <c r="PZX615" s="294"/>
      <c r="PZY615" s="294"/>
      <c r="PZZ615" s="294"/>
      <c r="QAA615" s="294"/>
      <c r="QAB615" s="294"/>
      <c r="QAC615" s="294"/>
      <c r="QAD615" s="294"/>
      <c r="QAE615" s="294"/>
      <c r="QAF615" s="294"/>
      <c r="QAG615" s="294"/>
      <c r="QAH615" s="294"/>
      <c r="QAI615" s="294"/>
      <c r="QAJ615" s="294"/>
      <c r="QAK615" s="294"/>
      <c r="QAL615" s="294"/>
      <c r="QAM615" s="294"/>
      <c r="QAN615" s="294"/>
      <c r="QAO615" s="294"/>
      <c r="QAP615" s="294"/>
      <c r="QAQ615" s="294"/>
      <c r="QAR615" s="294"/>
      <c r="QAS615" s="294"/>
      <c r="QAT615" s="294"/>
      <c r="QAU615" s="294"/>
      <c r="QAV615" s="294"/>
      <c r="QAW615" s="294"/>
      <c r="QAX615" s="294"/>
      <c r="QAY615" s="294"/>
      <c r="QAZ615" s="294"/>
      <c r="QBA615" s="294"/>
      <c r="QBB615" s="294"/>
      <c r="QBC615" s="294"/>
      <c r="QBD615" s="294"/>
      <c r="QBE615" s="294"/>
      <c r="QBF615" s="294"/>
      <c r="QBG615" s="294"/>
      <c r="QBH615" s="294"/>
      <c r="QBI615" s="294"/>
      <c r="QBJ615" s="294"/>
      <c r="QBK615" s="294"/>
      <c r="QBL615" s="294"/>
      <c r="QBM615" s="294"/>
      <c r="QBN615" s="294"/>
      <c r="QBO615" s="294"/>
      <c r="QBP615" s="294"/>
      <c r="QBQ615" s="294"/>
      <c r="QBR615" s="294"/>
      <c r="QBS615" s="294"/>
      <c r="QBT615" s="294"/>
      <c r="QBU615" s="294"/>
      <c r="QBV615" s="294"/>
      <c r="QBW615" s="294"/>
      <c r="QBX615" s="294"/>
      <c r="QBY615" s="294"/>
      <c r="QBZ615" s="294"/>
      <c r="QCA615" s="294"/>
      <c r="QCB615" s="294"/>
      <c r="QCC615" s="294"/>
      <c r="QCD615" s="294"/>
      <c r="QCE615" s="294"/>
      <c r="QCF615" s="294"/>
      <c r="QCG615" s="294"/>
      <c r="QCH615" s="294"/>
      <c r="QCI615" s="294"/>
      <c r="QCJ615" s="294"/>
      <c r="QCK615" s="294"/>
      <c r="QCL615" s="294"/>
      <c r="QCM615" s="294"/>
      <c r="QCN615" s="294"/>
      <c r="QCO615" s="294"/>
      <c r="QCP615" s="294"/>
      <c r="QCQ615" s="294"/>
      <c r="QCR615" s="294"/>
      <c r="QCS615" s="294"/>
      <c r="QCT615" s="294"/>
      <c r="QCU615" s="294"/>
      <c r="QCV615" s="294"/>
      <c r="QCW615" s="294"/>
      <c r="QCX615" s="294"/>
      <c r="QCY615" s="294"/>
      <c r="QCZ615" s="294"/>
      <c r="QDA615" s="294"/>
      <c r="QDB615" s="294"/>
      <c r="QDC615" s="294"/>
      <c r="QDD615" s="294"/>
      <c r="QDE615" s="294"/>
      <c r="QDF615" s="294"/>
      <c r="QDG615" s="294"/>
      <c r="QDH615" s="294"/>
      <c r="QDI615" s="294"/>
      <c r="QDJ615" s="294"/>
      <c r="QDK615" s="294"/>
      <c r="QDL615" s="294"/>
      <c r="QDM615" s="294"/>
      <c r="QDN615" s="294"/>
      <c r="QDO615" s="294"/>
      <c r="QDP615" s="294"/>
      <c r="QDQ615" s="294"/>
      <c r="QDR615" s="294"/>
      <c r="QDS615" s="294"/>
      <c r="QDT615" s="294"/>
      <c r="QDU615" s="294"/>
      <c r="QDV615" s="294"/>
      <c r="QDW615" s="294"/>
      <c r="QDX615" s="294"/>
      <c r="QDY615" s="294"/>
      <c r="QDZ615" s="294"/>
      <c r="QEA615" s="294"/>
      <c r="QEB615" s="294"/>
      <c r="QEC615" s="294"/>
      <c r="QED615" s="294"/>
      <c r="QEE615" s="294"/>
      <c r="QEF615" s="294"/>
      <c r="QEG615" s="294"/>
      <c r="QEH615" s="294"/>
      <c r="QEI615" s="294"/>
      <c r="QEJ615" s="294"/>
      <c r="QEK615" s="294"/>
      <c r="QEL615" s="294"/>
      <c r="QEM615" s="294"/>
      <c r="QEN615" s="294"/>
      <c r="QEO615" s="294"/>
      <c r="QEP615" s="294"/>
      <c r="QEQ615" s="294"/>
      <c r="QER615" s="294"/>
      <c r="QES615" s="294"/>
      <c r="QET615" s="294"/>
      <c r="QEU615" s="294"/>
      <c r="QEV615" s="294"/>
      <c r="QEW615" s="294"/>
      <c r="QEX615" s="294"/>
      <c r="QEY615" s="294"/>
      <c r="QEZ615" s="294"/>
      <c r="QFA615" s="294"/>
      <c r="QFB615" s="294"/>
      <c r="QFC615" s="294"/>
      <c r="QFD615" s="294"/>
      <c r="QFE615" s="294"/>
      <c r="QFF615" s="294"/>
      <c r="QFG615" s="294"/>
      <c r="QFH615" s="294"/>
      <c r="QFI615" s="294"/>
      <c r="QFJ615" s="294"/>
      <c r="QFK615" s="294"/>
      <c r="QFL615" s="294"/>
      <c r="QFM615" s="294"/>
      <c r="QFN615" s="294"/>
      <c r="QFO615" s="294"/>
      <c r="QFP615" s="294"/>
      <c r="QFQ615" s="294"/>
      <c r="QFR615" s="294"/>
      <c r="QFS615" s="294"/>
      <c r="QFT615" s="294"/>
      <c r="QFU615" s="294"/>
      <c r="QFV615" s="294"/>
      <c r="QFW615" s="294"/>
      <c r="QFX615" s="294"/>
      <c r="QFY615" s="294"/>
      <c r="QFZ615" s="294"/>
      <c r="QGA615" s="294"/>
      <c r="QGB615" s="294"/>
      <c r="QGC615" s="294"/>
      <c r="QGD615" s="294"/>
      <c r="QGE615" s="294"/>
      <c r="QGF615" s="294"/>
      <c r="QGG615" s="294"/>
      <c r="QGH615" s="294"/>
      <c r="QGI615" s="294"/>
      <c r="QGJ615" s="294"/>
      <c r="QGK615" s="294"/>
      <c r="QGL615" s="294"/>
      <c r="QGM615" s="294"/>
      <c r="QGN615" s="294"/>
      <c r="QGO615" s="294"/>
      <c r="QGP615" s="294"/>
      <c r="QGQ615" s="294"/>
      <c r="QGR615" s="294"/>
      <c r="QGS615" s="294"/>
      <c r="QGT615" s="294"/>
      <c r="QGU615" s="294"/>
      <c r="QGV615" s="294"/>
      <c r="QGW615" s="294"/>
      <c r="QGX615" s="294"/>
      <c r="QGY615" s="294"/>
      <c r="QGZ615" s="294"/>
      <c r="QHA615" s="294"/>
      <c r="QHB615" s="294"/>
      <c r="QHC615" s="294"/>
      <c r="QHD615" s="294"/>
      <c r="QHE615" s="294"/>
      <c r="QHF615" s="294"/>
      <c r="QHG615" s="294"/>
      <c r="QHH615" s="294"/>
      <c r="QHI615" s="294"/>
      <c r="QHJ615" s="294"/>
      <c r="QHK615" s="294"/>
      <c r="QHL615" s="294"/>
      <c r="QHM615" s="294"/>
      <c r="QHN615" s="294"/>
      <c r="QHO615" s="294"/>
      <c r="QHP615" s="294"/>
      <c r="QHQ615" s="294"/>
      <c r="QHR615" s="294"/>
      <c r="QHS615" s="294"/>
      <c r="QHT615" s="294"/>
      <c r="QHU615" s="294"/>
      <c r="QHV615" s="294"/>
      <c r="QHW615" s="294"/>
      <c r="QHX615" s="294"/>
      <c r="QHY615" s="294"/>
      <c r="QHZ615" s="294"/>
      <c r="QIA615" s="294"/>
      <c r="QIB615" s="294"/>
      <c r="QIC615" s="294"/>
      <c r="QID615" s="294"/>
      <c r="QIE615" s="294"/>
      <c r="QIF615" s="294"/>
      <c r="QIG615" s="294"/>
      <c r="QIH615" s="294"/>
      <c r="QII615" s="294"/>
      <c r="QIJ615" s="294"/>
      <c r="QIK615" s="294"/>
      <c r="QIL615" s="294"/>
      <c r="QIM615" s="294"/>
      <c r="QIN615" s="294"/>
      <c r="QIO615" s="294"/>
      <c r="QIP615" s="294"/>
      <c r="QIQ615" s="294"/>
      <c r="QIR615" s="294"/>
      <c r="QIS615" s="294"/>
      <c r="QIT615" s="294"/>
      <c r="QIU615" s="294"/>
      <c r="QIV615" s="294"/>
      <c r="QIW615" s="294"/>
      <c r="QIX615" s="294"/>
      <c r="QIY615" s="294"/>
      <c r="QIZ615" s="294"/>
      <c r="QJA615" s="294"/>
      <c r="QJB615" s="294"/>
      <c r="QJC615" s="294"/>
      <c r="QJD615" s="294"/>
      <c r="QJE615" s="294"/>
      <c r="QJF615" s="294"/>
      <c r="QJG615" s="294"/>
      <c r="QJH615" s="294"/>
      <c r="QJI615" s="294"/>
      <c r="QJJ615" s="294"/>
      <c r="QJK615" s="294"/>
      <c r="QJL615" s="294"/>
      <c r="QJM615" s="294"/>
      <c r="QJN615" s="294"/>
      <c r="QJO615" s="294"/>
      <c r="QJP615" s="294"/>
      <c r="QJQ615" s="294"/>
      <c r="QJR615" s="294"/>
      <c r="QJS615" s="294"/>
      <c r="QJT615" s="294"/>
      <c r="QJU615" s="294"/>
      <c r="QJV615" s="294"/>
      <c r="QJW615" s="294"/>
      <c r="QJX615" s="294"/>
      <c r="QJY615" s="294"/>
      <c r="QJZ615" s="294"/>
      <c r="QKA615" s="294"/>
      <c r="QKB615" s="294"/>
      <c r="QKC615" s="294"/>
      <c r="QKD615" s="294"/>
      <c r="QKE615" s="294"/>
      <c r="QKF615" s="294"/>
      <c r="QKG615" s="294"/>
      <c r="QKH615" s="294"/>
      <c r="QKI615" s="294"/>
      <c r="QKJ615" s="294"/>
      <c r="QKK615" s="294"/>
      <c r="QKL615" s="294"/>
      <c r="QKM615" s="294"/>
      <c r="QKN615" s="294"/>
      <c r="QKO615" s="294"/>
      <c r="QKP615" s="294"/>
      <c r="QKQ615" s="294"/>
      <c r="QKR615" s="294"/>
      <c r="QKS615" s="294"/>
      <c r="QKT615" s="294"/>
      <c r="QKU615" s="294"/>
      <c r="QKV615" s="294"/>
      <c r="QKW615" s="294"/>
      <c r="QKX615" s="294"/>
      <c r="QKY615" s="294"/>
      <c r="QKZ615" s="294"/>
      <c r="QLA615" s="294"/>
      <c r="QLB615" s="294"/>
      <c r="QLC615" s="294"/>
      <c r="QLD615" s="294"/>
      <c r="QLE615" s="294"/>
      <c r="QLF615" s="294"/>
      <c r="QLG615" s="294"/>
      <c r="QLH615" s="294"/>
      <c r="QLI615" s="294"/>
      <c r="QLJ615" s="294"/>
      <c r="QLK615" s="294"/>
      <c r="QLL615" s="294"/>
      <c r="QLM615" s="294"/>
      <c r="QLN615" s="294"/>
      <c r="QLO615" s="294"/>
      <c r="QLP615" s="294"/>
      <c r="QLQ615" s="294"/>
      <c r="QLR615" s="294"/>
      <c r="QLS615" s="294"/>
      <c r="QLT615" s="294"/>
      <c r="QLU615" s="294"/>
      <c r="QLV615" s="294"/>
      <c r="QLW615" s="294"/>
      <c r="QLX615" s="294"/>
      <c r="QLY615" s="294"/>
      <c r="QLZ615" s="294"/>
      <c r="QMA615" s="294"/>
      <c r="QMB615" s="294"/>
      <c r="QMC615" s="294"/>
      <c r="QMD615" s="294"/>
      <c r="QME615" s="294"/>
      <c r="QMF615" s="294"/>
      <c r="QMG615" s="294"/>
      <c r="QMH615" s="294"/>
      <c r="QMI615" s="294"/>
      <c r="QMJ615" s="294"/>
      <c r="QMK615" s="294"/>
      <c r="QML615" s="294"/>
      <c r="QMM615" s="294"/>
      <c r="QMN615" s="294"/>
      <c r="QMO615" s="294"/>
      <c r="QMP615" s="294"/>
      <c r="QMQ615" s="294"/>
      <c r="QMR615" s="294"/>
      <c r="QMS615" s="294"/>
      <c r="QMT615" s="294"/>
      <c r="QMU615" s="294"/>
      <c r="QMV615" s="294"/>
      <c r="QMW615" s="294"/>
      <c r="QMX615" s="294"/>
      <c r="QMY615" s="294"/>
      <c r="QMZ615" s="294"/>
      <c r="QNA615" s="294"/>
      <c r="QNB615" s="294"/>
      <c r="QNC615" s="294"/>
      <c r="QND615" s="294"/>
      <c r="QNE615" s="294"/>
      <c r="QNF615" s="294"/>
      <c r="QNG615" s="294"/>
      <c r="QNH615" s="294"/>
      <c r="QNI615" s="294"/>
      <c r="QNJ615" s="294"/>
      <c r="QNK615" s="294"/>
      <c r="QNL615" s="294"/>
      <c r="QNM615" s="294"/>
      <c r="QNN615" s="294"/>
      <c r="QNO615" s="294"/>
      <c r="QNP615" s="294"/>
      <c r="QNQ615" s="294"/>
      <c r="QNR615" s="294"/>
      <c r="QNS615" s="294"/>
      <c r="QNT615" s="294"/>
      <c r="QNU615" s="294"/>
      <c r="QNV615" s="294"/>
      <c r="QNW615" s="294"/>
      <c r="QNX615" s="294"/>
      <c r="QNY615" s="294"/>
      <c r="QNZ615" s="294"/>
      <c r="QOA615" s="294"/>
      <c r="QOB615" s="294"/>
      <c r="QOC615" s="294"/>
      <c r="QOD615" s="294"/>
      <c r="QOE615" s="294"/>
      <c r="QOF615" s="294"/>
      <c r="QOG615" s="294"/>
      <c r="QOH615" s="294"/>
      <c r="QOI615" s="294"/>
      <c r="QOJ615" s="294"/>
      <c r="QOK615" s="294"/>
      <c r="QOL615" s="294"/>
      <c r="QOM615" s="294"/>
      <c r="QON615" s="294"/>
      <c r="QOO615" s="294"/>
      <c r="QOP615" s="294"/>
      <c r="QOQ615" s="294"/>
      <c r="QOR615" s="294"/>
      <c r="QOS615" s="294"/>
      <c r="QOT615" s="294"/>
      <c r="QOU615" s="294"/>
      <c r="QOV615" s="294"/>
      <c r="QOW615" s="294"/>
      <c r="QOX615" s="294"/>
      <c r="QOY615" s="294"/>
      <c r="QOZ615" s="294"/>
      <c r="QPA615" s="294"/>
      <c r="QPB615" s="294"/>
      <c r="QPC615" s="294"/>
      <c r="QPD615" s="294"/>
      <c r="QPE615" s="294"/>
      <c r="QPF615" s="294"/>
      <c r="QPG615" s="294"/>
      <c r="QPH615" s="294"/>
      <c r="QPI615" s="294"/>
      <c r="QPJ615" s="294"/>
      <c r="QPK615" s="294"/>
      <c r="QPL615" s="294"/>
      <c r="QPM615" s="294"/>
      <c r="QPN615" s="294"/>
      <c r="QPO615" s="294"/>
      <c r="QPP615" s="294"/>
      <c r="QPQ615" s="294"/>
      <c r="QPR615" s="294"/>
      <c r="QPS615" s="294"/>
      <c r="QPT615" s="294"/>
      <c r="QPU615" s="294"/>
      <c r="QPV615" s="294"/>
      <c r="QPW615" s="294"/>
      <c r="QPX615" s="294"/>
      <c r="QPY615" s="294"/>
      <c r="QPZ615" s="294"/>
      <c r="QQA615" s="294"/>
      <c r="QQB615" s="294"/>
      <c r="QQC615" s="294"/>
      <c r="QQD615" s="294"/>
      <c r="QQE615" s="294"/>
      <c r="QQF615" s="294"/>
      <c r="QQG615" s="294"/>
      <c r="QQH615" s="294"/>
      <c r="QQI615" s="294"/>
      <c r="QQJ615" s="294"/>
      <c r="QQK615" s="294"/>
      <c r="QQL615" s="294"/>
      <c r="QQM615" s="294"/>
      <c r="QQN615" s="294"/>
      <c r="QQO615" s="294"/>
      <c r="QQP615" s="294"/>
      <c r="QQQ615" s="294"/>
      <c r="QQR615" s="294"/>
      <c r="QQS615" s="294"/>
      <c r="QQT615" s="294"/>
      <c r="QQU615" s="294"/>
      <c r="QQV615" s="294"/>
      <c r="QQW615" s="294"/>
      <c r="QQX615" s="294"/>
      <c r="QQY615" s="294"/>
      <c r="QQZ615" s="294"/>
      <c r="QRA615" s="294"/>
      <c r="QRB615" s="294"/>
      <c r="QRC615" s="294"/>
      <c r="QRD615" s="294"/>
      <c r="QRE615" s="294"/>
      <c r="QRF615" s="294"/>
      <c r="QRG615" s="294"/>
      <c r="QRH615" s="294"/>
      <c r="QRI615" s="294"/>
      <c r="QRJ615" s="294"/>
      <c r="QRK615" s="294"/>
      <c r="QRL615" s="294"/>
      <c r="QRM615" s="294"/>
      <c r="QRN615" s="294"/>
      <c r="QRO615" s="294"/>
      <c r="QRP615" s="294"/>
      <c r="QRQ615" s="294"/>
      <c r="QRR615" s="294"/>
      <c r="QRS615" s="294"/>
      <c r="QRT615" s="294"/>
      <c r="QRU615" s="294"/>
      <c r="QRV615" s="294"/>
      <c r="QRW615" s="294"/>
      <c r="QRX615" s="294"/>
      <c r="QRY615" s="294"/>
      <c r="QRZ615" s="294"/>
      <c r="QSA615" s="294"/>
      <c r="QSB615" s="294"/>
      <c r="QSC615" s="294"/>
      <c r="QSD615" s="294"/>
      <c r="QSE615" s="294"/>
      <c r="QSF615" s="294"/>
      <c r="QSG615" s="294"/>
      <c r="QSH615" s="294"/>
      <c r="QSI615" s="294"/>
      <c r="QSJ615" s="294"/>
      <c r="QSK615" s="294"/>
      <c r="QSL615" s="294"/>
      <c r="QSM615" s="294"/>
      <c r="QSN615" s="294"/>
      <c r="QSO615" s="294"/>
      <c r="QSP615" s="294"/>
      <c r="QSQ615" s="294"/>
      <c r="QSR615" s="294"/>
      <c r="QSS615" s="294"/>
      <c r="QST615" s="294"/>
      <c r="QSU615" s="294"/>
      <c r="QSV615" s="294"/>
      <c r="QSW615" s="294"/>
      <c r="QSX615" s="294"/>
      <c r="QSY615" s="294"/>
      <c r="QSZ615" s="294"/>
      <c r="QTA615" s="294"/>
      <c r="QTB615" s="294"/>
      <c r="QTC615" s="294"/>
      <c r="QTD615" s="294"/>
      <c r="QTE615" s="294"/>
      <c r="QTF615" s="294"/>
      <c r="QTG615" s="294"/>
      <c r="QTH615" s="294"/>
      <c r="QTI615" s="294"/>
      <c r="QTJ615" s="294"/>
      <c r="QTK615" s="294"/>
      <c r="QTL615" s="294"/>
      <c r="QTM615" s="294"/>
      <c r="QTN615" s="294"/>
      <c r="QTO615" s="294"/>
      <c r="QTP615" s="294"/>
      <c r="QTQ615" s="294"/>
      <c r="QTR615" s="294"/>
      <c r="QTS615" s="294"/>
      <c r="QTT615" s="294"/>
      <c r="QTU615" s="294"/>
      <c r="QTV615" s="294"/>
      <c r="QTW615" s="294"/>
      <c r="QTX615" s="294"/>
      <c r="QTY615" s="294"/>
      <c r="QTZ615" s="294"/>
      <c r="QUA615" s="294"/>
      <c r="QUB615" s="294"/>
      <c r="QUC615" s="294"/>
      <c r="QUD615" s="294"/>
      <c r="QUE615" s="294"/>
      <c r="QUF615" s="294"/>
      <c r="QUG615" s="294"/>
      <c r="QUH615" s="294"/>
      <c r="QUI615" s="294"/>
      <c r="QUJ615" s="294"/>
      <c r="QUK615" s="294"/>
      <c r="QUL615" s="294"/>
      <c r="QUM615" s="294"/>
      <c r="QUN615" s="294"/>
      <c r="QUO615" s="294"/>
      <c r="QUP615" s="294"/>
      <c r="QUQ615" s="294"/>
      <c r="QUR615" s="294"/>
      <c r="QUS615" s="294"/>
      <c r="QUT615" s="294"/>
      <c r="QUU615" s="294"/>
      <c r="QUV615" s="294"/>
      <c r="QUW615" s="294"/>
      <c r="QUX615" s="294"/>
      <c r="QUY615" s="294"/>
      <c r="QUZ615" s="294"/>
      <c r="QVA615" s="294"/>
      <c r="QVB615" s="294"/>
      <c r="QVC615" s="294"/>
      <c r="QVD615" s="294"/>
      <c r="QVE615" s="294"/>
      <c r="QVF615" s="294"/>
      <c r="QVG615" s="294"/>
      <c r="QVH615" s="294"/>
      <c r="QVI615" s="294"/>
      <c r="QVJ615" s="294"/>
      <c r="QVK615" s="294"/>
      <c r="QVL615" s="294"/>
      <c r="QVM615" s="294"/>
      <c r="QVN615" s="294"/>
      <c r="QVO615" s="294"/>
      <c r="QVP615" s="294"/>
      <c r="QVQ615" s="294"/>
      <c r="QVR615" s="294"/>
      <c r="QVS615" s="294"/>
      <c r="QVT615" s="294"/>
      <c r="QVU615" s="294"/>
      <c r="QVV615" s="294"/>
      <c r="QVW615" s="294"/>
      <c r="QVX615" s="294"/>
      <c r="QVY615" s="294"/>
      <c r="QVZ615" s="294"/>
      <c r="QWA615" s="294"/>
      <c r="QWB615" s="294"/>
      <c r="QWC615" s="294"/>
      <c r="QWD615" s="294"/>
      <c r="QWE615" s="294"/>
      <c r="QWF615" s="294"/>
      <c r="QWG615" s="294"/>
      <c r="QWH615" s="294"/>
      <c r="QWI615" s="294"/>
      <c r="QWJ615" s="294"/>
      <c r="QWK615" s="294"/>
      <c r="QWL615" s="294"/>
      <c r="QWM615" s="294"/>
      <c r="QWN615" s="294"/>
      <c r="QWO615" s="294"/>
      <c r="QWP615" s="294"/>
      <c r="QWQ615" s="294"/>
      <c r="QWR615" s="294"/>
      <c r="QWS615" s="294"/>
      <c r="QWT615" s="294"/>
      <c r="QWU615" s="294"/>
      <c r="QWV615" s="294"/>
      <c r="QWW615" s="294"/>
      <c r="QWX615" s="294"/>
      <c r="QWY615" s="294"/>
      <c r="QWZ615" s="294"/>
      <c r="QXA615" s="294"/>
      <c r="QXB615" s="294"/>
      <c r="QXC615" s="294"/>
      <c r="QXD615" s="294"/>
      <c r="QXE615" s="294"/>
      <c r="QXF615" s="294"/>
      <c r="QXG615" s="294"/>
      <c r="QXH615" s="294"/>
      <c r="QXI615" s="294"/>
      <c r="QXJ615" s="294"/>
      <c r="QXK615" s="294"/>
      <c r="QXL615" s="294"/>
      <c r="QXM615" s="294"/>
      <c r="QXN615" s="294"/>
      <c r="QXO615" s="294"/>
      <c r="QXP615" s="294"/>
      <c r="QXQ615" s="294"/>
      <c r="QXR615" s="294"/>
      <c r="QXS615" s="294"/>
      <c r="QXT615" s="294"/>
      <c r="QXU615" s="294"/>
      <c r="QXV615" s="294"/>
      <c r="QXW615" s="294"/>
      <c r="QXX615" s="294"/>
      <c r="QXY615" s="294"/>
      <c r="QXZ615" s="294"/>
      <c r="QYA615" s="294"/>
      <c r="QYB615" s="294"/>
      <c r="QYC615" s="294"/>
      <c r="QYD615" s="294"/>
      <c r="QYE615" s="294"/>
      <c r="QYF615" s="294"/>
      <c r="QYG615" s="294"/>
      <c r="QYH615" s="294"/>
      <c r="QYI615" s="294"/>
      <c r="QYJ615" s="294"/>
      <c r="QYK615" s="294"/>
      <c r="QYL615" s="294"/>
      <c r="QYM615" s="294"/>
      <c r="QYN615" s="294"/>
      <c r="QYO615" s="294"/>
      <c r="QYP615" s="294"/>
      <c r="QYQ615" s="294"/>
      <c r="QYR615" s="294"/>
      <c r="QYS615" s="294"/>
      <c r="QYT615" s="294"/>
      <c r="QYU615" s="294"/>
      <c r="QYV615" s="294"/>
      <c r="QYW615" s="294"/>
      <c r="QYX615" s="294"/>
      <c r="QYY615" s="294"/>
      <c r="QYZ615" s="294"/>
      <c r="QZA615" s="294"/>
      <c r="QZB615" s="294"/>
      <c r="QZC615" s="294"/>
      <c r="QZD615" s="294"/>
      <c r="QZE615" s="294"/>
      <c r="QZF615" s="294"/>
      <c r="QZG615" s="294"/>
      <c r="QZH615" s="294"/>
      <c r="QZI615" s="294"/>
      <c r="QZJ615" s="294"/>
      <c r="QZK615" s="294"/>
      <c r="QZL615" s="294"/>
      <c r="QZM615" s="294"/>
      <c r="QZN615" s="294"/>
      <c r="QZO615" s="294"/>
      <c r="QZP615" s="294"/>
      <c r="QZQ615" s="294"/>
      <c r="QZR615" s="294"/>
      <c r="QZS615" s="294"/>
      <c r="QZT615" s="294"/>
      <c r="QZU615" s="294"/>
      <c r="QZV615" s="294"/>
      <c r="QZW615" s="294"/>
      <c r="QZX615" s="294"/>
      <c r="QZY615" s="294"/>
      <c r="QZZ615" s="294"/>
      <c r="RAA615" s="294"/>
      <c r="RAB615" s="294"/>
      <c r="RAC615" s="294"/>
      <c r="RAD615" s="294"/>
      <c r="RAE615" s="294"/>
      <c r="RAF615" s="294"/>
      <c r="RAG615" s="294"/>
      <c r="RAH615" s="294"/>
      <c r="RAI615" s="294"/>
      <c r="RAJ615" s="294"/>
      <c r="RAK615" s="294"/>
      <c r="RAL615" s="294"/>
      <c r="RAM615" s="294"/>
      <c r="RAN615" s="294"/>
      <c r="RAO615" s="294"/>
      <c r="RAP615" s="294"/>
      <c r="RAQ615" s="294"/>
      <c r="RAR615" s="294"/>
      <c r="RAS615" s="294"/>
      <c r="RAT615" s="294"/>
      <c r="RAU615" s="294"/>
      <c r="RAV615" s="294"/>
      <c r="RAW615" s="294"/>
      <c r="RAX615" s="294"/>
      <c r="RAY615" s="294"/>
      <c r="RAZ615" s="294"/>
      <c r="RBA615" s="294"/>
      <c r="RBB615" s="294"/>
      <c r="RBC615" s="294"/>
      <c r="RBD615" s="294"/>
      <c r="RBE615" s="294"/>
      <c r="RBF615" s="294"/>
      <c r="RBG615" s="294"/>
      <c r="RBH615" s="294"/>
      <c r="RBI615" s="294"/>
      <c r="RBJ615" s="294"/>
      <c r="RBK615" s="294"/>
      <c r="RBL615" s="294"/>
      <c r="RBM615" s="294"/>
      <c r="RBN615" s="294"/>
      <c r="RBO615" s="294"/>
      <c r="RBP615" s="294"/>
      <c r="RBQ615" s="294"/>
      <c r="RBR615" s="294"/>
      <c r="RBS615" s="294"/>
      <c r="RBT615" s="294"/>
      <c r="RBU615" s="294"/>
      <c r="RBV615" s="294"/>
      <c r="RBW615" s="294"/>
      <c r="RBX615" s="294"/>
      <c r="RBY615" s="294"/>
      <c r="RBZ615" s="294"/>
      <c r="RCA615" s="294"/>
      <c r="RCB615" s="294"/>
      <c r="RCC615" s="294"/>
      <c r="RCD615" s="294"/>
      <c r="RCE615" s="294"/>
      <c r="RCF615" s="294"/>
      <c r="RCG615" s="294"/>
      <c r="RCH615" s="294"/>
      <c r="RCI615" s="294"/>
      <c r="RCJ615" s="294"/>
      <c r="RCK615" s="294"/>
      <c r="RCL615" s="294"/>
      <c r="RCM615" s="294"/>
      <c r="RCN615" s="294"/>
      <c r="RCO615" s="294"/>
      <c r="RCP615" s="294"/>
      <c r="RCQ615" s="294"/>
      <c r="RCR615" s="294"/>
      <c r="RCS615" s="294"/>
      <c r="RCT615" s="294"/>
      <c r="RCU615" s="294"/>
      <c r="RCV615" s="294"/>
      <c r="RCW615" s="294"/>
      <c r="RCX615" s="294"/>
      <c r="RCY615" s="294"/>
      <c r="RCZ615" s="294"/>
      <c r="RDA615" s="294"/>
      <c r="RDB615" s="294"/>
      <c r="RDC615" s="294"/>
      <c r="RDD615" s="294"/>
      <c r="RDE615" s="294"/>
      <c r="RDF615" s="294"/>
      <c r="RDG615" s="294"/>
      <c r="RDH615" s="294"/>
      <c r="RDI615" s="294"/>
      <c r="RDJ615" s="294"/>
      <c r="RDK615" s="294"/>
      <c r="RDL615" s="294"/>
      <c r="RDM615" s="294"/>
      <c r="RDN615" s="294"/>
      <c r="RDO615" s="294"/>
      <c r="RDP615" s="294"/>
      <c r="RDQ615" s="294"/>
      <c r="RDR615" s="294"/>
      <c r="RDS615" s="294"/>
      <c r="RDT615" s="294"/>
      <c r="RDU615" s="294"/>
      <c r="RDV615" s="294"/>
      <c r="RDW615" s="294"/>
      <c r="RDX615" s="294"/>
      <c r="RDY615" s="294"/>
      <c r="RDZ615" s="294"/>
      <c r="REA615" s="294"/>
      <c r="REB615" s="294"/>
      <c r="REC615" s="294"/>
      <c r="RED615" s="294"/>
      <c r="REE615" s="294"/>
      <c r="REF615" s="294"/>
      <c r="REG615" s="294"/>
      <c r="REH615" s="294"/>
      <c r="REI615" s="294"/>
      <c r="REJ615" s="294"/>
      <c r="REK615" s="294"/>
      <c r="REL615" s="294"/>
      <c r="REM615" s="294"/>
      <c r="REN615" s="294"/>
      <c r="REO615" s="294"/>
      <c r="REP615" s="294"/>
      <c r="REQ615" s="294"/>
      <c r="RER615" s="294"/>
      <c r="RES615" s="294"/>
      <c r="RET615" s="294"/>
      <c r="REU615" s="294"/>
      <c r="REV615" s="294"/>
      <c r="REW615" s="294"/>
      <c r="REX615" s="294"/>
      <c r="REY615" s="294"/>
      <c r="REZ615" s="294"/>
      <c r="RFA615" s="294"/>
      <c r="RFB615" s="294"/>
      <c r="RFC615" s="294"/>
      <c r="RFD615" s="294"/>
      <c r="RFE615" s="294"/>
      <c r="RFF615" s="294"/>
      <c r="RFG615" s="294"/>
      <c r="RFH615" s="294"/>
      <c r="RFI615" s="294"/>
      <c r="RFJ615" s="294"/>
      <c r="RFK615" s="294"/>
      <c r="RFL615" s="294"/>
      <c r="RFM615" s="294"/>
      <c r="RFN615" s="294"/>
      <c r="RFO615" s="294"/>
      <c r="RFP615" s="294"/>
      <c r="RFQ615" s="294"/>
      <c r="RFR615" s="294"/>
      <c r="RFS615" s="294"/>
      <c r="RFT615" s="294"/>
      <c r="RFU615" s="294"/>
      <c r="RFV615" s="294"/>
      <c r="RFW615" s="294"/>
      <c r="RFX615" s="294"/>
      <c r="RFY615" s="294"/>
      <c r="RFZ615" s="294"/>
      <c r="RGA615" s="294"/>
      <c r="RGB615" s="294"/>
      <c r="RGC615" s="294"/>
      <c r="RGD615" s="294"/>
      <c r="RGE615" s="294"/>
      <c r="RGF615" s="294"/>
      <c r="RGG615" s="294"/>
      <c r="RGH615" s="294"/>
      <c r="RGI615" s="294"/>
      <c r="RGJ615" s="294"/>
      <c r="RGK615" s="294"/>
      <c r="RGL615" s="294"/>
      <c r="RGM615" s="294"/>
      <c r="RGN615" s="294"/>
      <c r="RGO615" s="294"/>
      <c r="RGP615" s="294"/>
      <c r="RGQ615" s="294"/>
      <c r="RGR615" s="294"/>
      <c r="RGS615" s="294"/>
      <c r="RGT615" s="294"/>
      <c r="RGU615" s="294"/>
      <c r="RGV615" s="294"/>
      <c r="RGW615" s="294"/>
      <c r="RGX615" s="294"/>
      <c r="RGY615" s="294"/>
      <c r="RGZ615" s="294"/>
      <c r="RHA615" s="294"/>
      <c r="RHB615" s="294"/>
      <c r="RHC615" s="294"/>
      <c r="RHD615" s="294"/>
      <c r="RHE615" s="294"/>
      <c r="RHF615" s="294"/>
      <c r="RHG615" s="294"/>
      <c r="RHH615" s="294"/>
      <c r="RHI615" s="294"/>
      <c r="RHJ615" s="294"/>
      <c r="RHK615" s="294"/>
      <c r="RHL615" s="294"/>
      <c r="RHM615" s="294"/>
      <c r="RHN615" s="294"/>
      <c r="RHO615" s="294"/>
      <c r="RHP615" s="294"/>
      <c r="RHQ615" s="294"/>
      <c r="RHR615" s="294"/>
      <c r="RHS615" s="294"/>
      <c r="RHT615" s="294"/>
      <c r="RHU615" s="294"/>
      <c r="RHV615" s="294"/>
      <c r="RHW615" s="294"/>
      <c r="RHX615" s="294"/>
      <c r="RHY615" s="294"/>
      <c r="RHZ615" s="294"/>
      <c r="RIA615" s="294"/>
      <c r="RIB615" s="294"/>
      <c r="RIC615" s="294"/>
      <c r="RID615" s="294"/>
      <c r="RIE615" s="294"/>
      <c r="RIF615" s="294"/>
      <c r="RIG615" s="294"/>
      <c r="RIH615" s="294"/>
      <c r="RII615" s="294"/>
      <c r="RIJ615" s="294"/>
      <c r="RIK615" s="294"/>
      <c r="RIL615" s="294"/>
      <c r="RIM615" s="294"/>
      <c r="RIN615" s="294"/>
      <c r="RIO615" s="294"/>
      <c r="RIP615" s="294"/>
      <c r="RIQ615" s="294"/>
      <c r="RIR615" s="294"/>
      <c r="RIS615" s="294"/>
      <c r="RIT615" s="294"/>
      <c r="RIU615" s="294"/>
      <c r="RIV615" s="294"/>
      <c r="RIW615" s="294"/>
      <c r="RIX615" s="294"/>
      <c r="RIY615" s="294"/>
      <c r="RIZ615" s="294"/>
      <c r="RJA615" s="294"/>
      <c r="RJB615" s="294"/>
      <c r="RJC615" s="294"/>
      <c r="RJD615" s="294"/>
      <c r="RJE615" s="294"/>
      <c r="RJF615" s="294"/>
      <c r="RJG615" s="294"/>
      <c r="RJH615" s="294"/>
      <c r="RJI615" s="294"/>
      <c r="RJJ615" s="294"/>
      <c r="RJK615" s="294"/>
      <c r="RJL615" s="294"/>
      <c r="RJM615" s="294"/>
      <c r="RJN615" s="294"/>
      <c r="RJO615" s="294"/>
      <c r="RJP615" s="294"/>
      <c r="RJQ615" s="294"/>
      <c r="RJR615" s="294"/>
      <c r="RJS615" s="294"/>
      <c r="RJT615" s="294"/>
      <c r="RJU615" s="294"/>
      <c r="RJV615" s="294"/>
      <c r="RJW615" s="294"/>
      <c r="RJX615" s="294"/>
      <c r="RJY615" s="294"/>
      <c r="RJZ615" s="294"/>
      <c r="RKA615" s="294"/>
      <c r="RKB615" s="294"/>
      <c r="RKC615" s="294"/>
      <c r="RKD615" s="294"/>
      <c r="RKE615" s="294"/>
      <c r="RKF615" s="294"/>
      <c r="RKG615" s="294"/>
      <c r="RKH615" s="294"/>
      <c r="RKI615" s="294"/>
      <c r="RKJ615" s="294"/>
      <c r="RKK615" s="294"/>
      <c r="RKL615" s="294"/>
      <c r="RKM615" s="294"/>
      <c r="RKN615" s="294"/>
      <c r="RKO615" s="294"/>
      <c r="RKP615" s="294"/>
      <c r="RKQ615" s="294"/>
      <c r="RKR615" s="294"/>
      <c r="RKS615" s="294"/>
      <c r="RKT615" s="294"/>
      <c r="RKU615" s="294"/>
      <c r="RKV615" s="294"/>
      <c r="RKW615" s="294"/>
      <c r="RKX615" s="294"/>
      <c r="RKY615" s="294"/>
      <c r="RKZ615" s="294"/>
      <c r="RLA615" s="294"/>
      <c r="RLB615" s="294"/>
      <c r="RLC615" s="294"/>
      <c r="RLD615" s="294"/>
      <c r="RLE615" s="294"/>
      <c r="RLF615" s="294"/>
      <c r="RLG615" s="294"/>
      <c r="RLH615" s="294"/>
      <c r="RLI615" s="294"/>
      <c r="RLJ615" s="294"/>
      <c r="RLK615" s="294"/>
      <c r="RLL615" s="294"/>
      <c r="RLM615" s="294"/>
      <c r="RLN615" s="294"/>
      <c r="RLO615" s="294"/>
      <c r="RLP615" s="294"/>
      <c r="RLQ615" s="294"/>
      <c r="RLR615" s="294"/>
      <c r="RLS615" s="294"/>
      <c r="RLT615" s="294"/>
      <c r="RLU615" s="294"/>
      <c r="RLV615" s="294"/>
      <c r="RLW615" s="294"/>
      <c r="RLX615" s="294"/>
      <c r="RLY615" s="294"/>
      <c r="RLZ615" s="294"/>
      <c r="RMA615" s="294"/>
      <c r="RMB615" s="294"/>
      <c r="RMC615" s="294"/>
      <c r="RMD615" s="294"/>
      <c r="RME615" s="294"/>
      <c r="RMF615" s="294"/>
      <c r="RMG615" s="294"/>
      <c r="RMH615" s="294"/>
      <c r="RMI615" s="294"/>
      <c r="RMJ615" s="294"/>
      <c r="RMK615" s="294"/>
      <c r="RML615" s="294"/>
      <c r="RMM615" s="294"/>
      <c r="RMN615" s="294"/>
      <c r="RMO615" s="294"/>
      <c r="RMP615" s="294"/>
      <c r="RMQ615" s="294"/>
      <c r="RMR615" s="294"/>
      <c r="RMS615" s="294"/>
      <c r="RMT615" s="294"/>
      <c r="RMU615" s="294"/>
      <c r="RMV615" s="294"/>
      <c r="RMW615" s="294"/>
      <c r="RMX615" s="294"/>
      <c r="RMY615" s="294"/>
      <c r="RMZ615" s="294"/>
      <c r="RNA615" s="294"/>
      <c r="RNB615" s="294"/>
      <c r="RNC615" s="294"/>
      <c r="RND615" s="294"/>
      <c r="RNE615" s="294"/>
      <c r="RNF615" s="294"/>
      <c r="RNG615" s="294"/>
      <c r="RNH615" s="294"/>
      <c r="RNI615" s="294"/>
      <c r="RNJ615" s="294"/>
      <c r="RNK615" s="294"/>
      <c r="RNL615" s="294"/>
      <c r="RNM615" s="294"/>
      <c r="RNN615" s="294"/>
      <c r="RNO615" s="294"/>
      <c r="RNP615" s="294"/>
      <c r="RNQ615" s="294"/>
      <c r="RNR615" s="294"/>
      <c r="RNS615" s="294"/>
      <c r="RNT615" s="294"/>
      <c r="RNU615" s="294"/>
      <c r="RNV615" s="294"/>
      <c r="RNW615" s="294"/>
      <c r="RNX615" s="294"/>
      <c r="RNY615" s="294"/>
      <c r="RNZ615" s="294"/>
      <c r="ROA615" s="294"/>
      <c r="ROB615" s="294"/>
      <c r="ROC615" s="294"/>
      <c r="ROD615" s="294"/>
      <c r="ROE615" s="294"/>
      <c r="ROF615" s="294"/>
      <c r="ROG615" s="294"/>
      <c r="ROH615" s="294"/>
      <c r="ROI615" s="294"/>
      <c r="ROJ615" s="294"/>
      <c r="ROK615" s="294"/>
      <c r="ROL615" s="294"/>
      <c r="ROM615" s="294"/>
      <c r="RON615" s="294"/>
      <c r="ROO615" s="294"/>
      <c r="ROP615" s="294"/>
      <c r="ROQ615" s="294"/>
      <c r="ROR615" s="294"/>
      <c r="ROS615" s="294"/>
      <c r="ROT615" s="294"/>
      <c r="ROU615" s="294"/>
      <c r="ROV615" s="294"/>
      <c r="ROW615" s="294"/>
      <c r="ROX615" s="294"/>
      <c r="ROY615" s="294"/>
      <c r="ROZ615" s="294"/>
      <c r="RPA615" s="294"/>
      <c r="RPB615" s="294"/>
      <c r="RPC615" s="294"/>
      <c r="RPD615" s="294"/>
      <c r="RPE615" s="294"/>
      <c r="RPF615" s="294"/>
      <c r="RPG615" s="294"/>
      <c r="RPH615" s="294"/>
      <c r="RPI615" s="294"/>
      <c r="RPJ615" s="294"/>
      <c r="RPK615" s="294"/>
      <c r="RPL615" s="294"/>
      <c r="RPM615" s="294"/>
      <c r="RPN615" s="294"/>
      <c r="RPO615" s="294"/>
      <c r="RPP615" s="294"/>
      <c r="RPQ615" s="294"/>
      <c r="RPR615" s="294"/>
      <c r="RPS615" s="294"/>
      <c r="RPT615" s="294"/>
      <c r="RPU615" s="294"/>
      <c r="RPV615" s="294"/>
      <c r="RPW615" s="294"/>
      <c r="RPX615" s="294"/>
      <c r="RPY615" s="294"/>
      <c r="RPZ615" s="294"/>
      <c r="RQA615" s="294"/>
      <c r="RQB615" s="294"/>
      <c r="RQC615" s="294"/>
      <c r="RQD615" s="294"/>
      <c r="RQE615" s="294"/>
      <c r="RQF615" s="294"/>
      <c r="RQG615" s="294"/>
      <c r="RQH615" s="294"/>
      <c r="RQI615" s="294"/>
      <c r="RQJ615" s="294"/>
      <c r="RQK615" s="294"/>
      <c r="RQL615" s="294"/>
      <c r="RQM615" s="294"/>
      <c r="RQN615" s="294"/>
      <c r="RQO615" s="294"/>
      <c r="RQP615" s="294"/>
      <c r="RQQ615" s="294"/>
      <c r="RQR615" s="294"/>
      <c r="RQS615" s="294"/>
      <c r="RQT615" s="294"/>
      <c r="RQU615" s="294"/>
      <c r="RQV615" s="294"/>
      <c r="RQW615" s="294"/>
      <c r="RQX615" s="294"/>
      <c r="RQY615" s="294"/>
      <c r="RQZ615" s="294"/>
      <c r="RRA615" s="294"/>
      <c r="RRB615" s="294"/>
      <c r="RRC615" s="294"/>
      <c r="RRD615" s="294"/>
      <c r="RRE615" s="294"/>
      <c r="RRF615" s="294"/>
      <c r="RRG615" s="294"/>
      <c r="RRH615" s="294"/>
      <c r="RRI615" s="294"/>
      <c r="RRJ615" s="294"/>
      <c r="RRK615" s="294"/>
      <c r="RRL615" s="294"/>
      <c r="RRM615" s="294"/>
      <c r="RRN615" s="294"/>
      <c r="RRO615" s="294"/>
      <c r="RRP615" s="294"/>
      <c r="RRQ615" s="294"/>
      <c r="RRR615" s="294"/>
      <c r="RRS615" s="294"/>
      <c r="RRT615" s="294"/>
      <c r="RRU615" s="294"/>
      <c r="RRV615" s="294"/>
      <c r="RRW615" s="294"/>
      <c r="RRX615" s="294"/>
      <c r="RRY615" s="294"/>
      <c r="RRZ615" s="294"/>
      <c r="RSA615" s="294"/>
      <c r="RSB615" s="294"/>
      <c r="RSC615" s="294"/>
      <c r="RSD615" s="294"/>
      <c r="RSE615" s="294"/>
      <c r="RSF615" s="294"/>
      <c r="RSG615" s="294"/>
      <c r="RSH615" s="294"/>
      <c r="RSI615" s="294"/>
      <c r="RSJ615" s="294"/>
      <c r="RSK615" s="294"/>
      <c r="RSL615" s="294"/>
      <c r="RSM615" s="294"/>
      <c r="RSN615" s="294"/>
      <c r="RSO615" s="294"/>
      <c r="RSP615" s="294"/>
      <c r="RSQ615" s="294"/>
      <c r="RSR615" s="294"/>
      <c r="RSS615" s="294"/>
      <c r="RST615" s="294"/>
      <c r="RSU615" s="294"/>
      <c r="RSV615" s="294"/>
      <c r="RSW615" s="294"/>
      <c r="RSX615" s="294"/>
      <c r="RSY615" s="294"/>
      <c r="RSZ615" s="294"/>
      <c r="RTA615" s="294"/>
      <c r="RTB615" s="294"/>
      <c r="RTC615" s="294"/>
      <c r="RTD615" s="294"/>
      <c r="RTE615" s="294"/>
      <c r="RTF615" s="294"/>
      <c r="RTG615" s="294"/>
      <c r="RTH615" s="294"/>
      <c r="RTI615" s="294"/>
      <c r="RTJ615" s="294"/>
      <c r="RTK615" s="294"/>
      <c r="RTL615" s="294"/>
      <c r="RTM615" s="294"/>
      <c r="RTN615" s="294"/>
      <c r="RTO615" s="294"/>
      <c r="RTP615" s="294"/>
      <c r="RTQ615" s="294"/>
      <c r="RTR615" s="294"/>
      <c r="RTS615" s="294"/>
      <c r="RTT615" s="294"/>
      <c r="RTU615" s="294"/>
      <c r="RTV615" s="294"/>
      <c r="RTW615" s="294"/>
      <c r="RTX615" s="294"/>
      <c r="RTY615" s="294"/>
      <c r="RTZ615" s="294"/>
      <c r="RUA615" s="294"/>
      <c r="RUB615" s="294"/>
      <c r="RUC615" s="294"/>
      <c r="RUD615" s="294"/>
      <c r="RUE615" s="294"/>
      <c r="RUF615" s="294"/>
      <c r="RUG615" s="294"/>
      <c r="RUH615" s="294"/>
      <c r="RUI615" s="294"/>
      <c r="RUJ615" s="294"/>
      <c r="RUK615" s="294"/>
      <c r="RUL615" s="294"/>
      <c r="RUM615" s="294"/>
      <c r="RUN615" s="294"/>
      <c r="RUO615" s="294"/>
      <c r="RUP615" s="294"/>
      <c r="RUQ615" s="294"/>
      <c r="RUR615" s="294"/>
      <c r="RUS615" s="294"/>
      <c r="RUT615" s="294"/>
      <c r="RUU615" s="294"/>
      <c r="RUV615" s="294"/>
      <c r="RUW615" s="294"/>
      <c r="RUX615" s="294"/>
      <c r="RUY615" s="294"/>
      <c r="RUZ615" s="294"/>
      <c r="RVA615" s="294"/>
      <c r="RVB615" s="294"/>
      <c r="RVC615" s="294"/>
      <c r="RVD615" s="294"/>
      <c r="RVE615" s="294"/>
      <c r="RVF615" s="294"/>
      <c r="RVG615" s="294"/>
      <c r="RVH615" s="294"/>
      <c r="RVI615" s="294"/>
      <c r="RVJ615" s="294"/>
      <c r="RVK615" s="294"/>
      <c r="RVL615" s="294"/>
      <c r="RVM615" s="294"/>
      <c r="RVN615" s="294"/>
      <c r="RVO615" s="294"/>
      <c r="RVP615" s="294"/>
      <c r="RVQ615" s="294"/>
      <c r="RVR615" s="294"/>
      <c r="RVS615" s="294"/>
      <c r="RVT615" s="294"/>
      <c r="RVU615" s="294"/>
      <c r="RVV615" s="294"/>
      <c r="RVW615" s="294"/>
      <c r="RVX615" s="294"/>
      <c r="RVY615" s="294"/>
      <c r="RVZ615" s="294"/>
      <c r="RWA615" s="294"/>
      <c r="RWB615" s="294"/>
      <c r="RWC615" s="294"/>
      <c r="RWD615" s="294"/>
      <c r="RWE615" s="294"/>
      <c r="RWF615" s="294"/>
      <c r="RWG615" s="294"/>
      <c r="RWH615" s="294"/>
      <c r="RWI615" s="294"/>
      <c r="RWJ615" s="294"/>
      <c r="RWK615" s="294"/>
      <c r="RWL615" s="294"/>
      <c r="RWM615" s="294"/>
      <c r="RWN615" s="294"/>
      <c r="RWO615" s="294"/>
      <c r="RWP615" s="294"/>
      <c r="RWQ615" s="294"/>
      <c r="RWR615" s="294"/>
      <c r="RWS615" s="294"/>
      <c r="RWT615" s="294"/>
      <c r="RWU615" s="294"/>
      <c r="RWV615" s="294"/>
      <c r="RWW615" s="294"/>
      <c r="RWX615" s="294"/>
      <c r="RWY615" s="294"/>
      <c r="RWZ615" s="294"/>
      <c r="RXA615" s="294"/>
      <c r="RXB615" s="294"/>
      <c r="RXC615" s="294"/>
      <c r="RXD615" s="294"/>
      <c r="RXE615" s="294"/>
      <c r="RXF615" s="294"/>
      <c r="RXG615" s="294"/>
      <c r="RXH615" s="294"/>
      <c r="RXI615" s="294"/>
      <c r="RXJ615" s="294"/>
      <c r="RXK615" s="294"/>
      <c r="RXL615" s="294"/>
      <c r="RXM615" s="294"/>
      <c r="RXN615" s="294"/>
      <c r="RXO615" s="294"/>
      <c r="RXP615" s="294"/>
      <c r="RXQ615" s="294"/>
      <c r="RXR615" s="294"/>
      <c r="RXS615" s="294"/>
      <c r="RXT615" s="294"/>
      <c r="RXU615" s="294"/>
      <c r="RXV615" s="294"/>
      <c r="RXW615" s="294"/>
      <c r="RXX615" s="294"/>
      <c r="RXY615" s="294"/>
      <c r="RXZ615" s="294"/>
      <c r="RYA615" s="294"/>
      <c r="RYB615" s="294"/>
      <c r="RYC615" s="294"/>
      <c r="RYD615" s="294"/>
      <c r="RYE615" s="294"/>
      <c r="RYF615" s="294"/>
      <c r="RYG615" s="294"/>
      <c r="RYH615" s="294"/>
      <c r="RYI615" s="294"/>
      <c r="RYJ615" s="294"/>
      <c r="RYK615" s="294"/>
      <c r="RYL615" s="294"/>
      <c r="RYM615" s="294"/>
      <c r="RYN615" s="294"/>
      <c r="RYO615" s="294"/>
      <c r="RYP615" s="294"/>
      <c r="RYQ615" s="294"/>
      <c r="RYR615" s="294"/>
      <c r="RYS615" s="294"/>
      <c r="RYT615" s="294"/>
      <c r="RYU615" s="294"/>
      <c r="RYV615" s="294"/>
      <c r="RYW615" s="294"/>
      <c r="RYX615" s="294"/>
      <c r="RYY615" s="294"/>
      <c r="RYZ615" s="294"/>
      <c r="RZA615" s="294"/>
      <c r="RZB615" s="294"/>
      <c r="RZC615" s="294"/>
      <c r="RZD615" s="294"/>
      <c r="RZE615" s="294"/>
      <c r="RZF615" s="294"/>
      <c r="RZG615" s="294"/>
      <c r="RZH615" s="294"/>
      <c r="RZI615" s="294"/>
      <c r="RZJ615" s="294"/>
      <c r="RZK615" s="294"/>
      <c r="RZL615" s="294"/>
      <c r="RZM615" s="294"/>
      <c r="RZN615" s="294"/>
      <c r="RZO615" s="294"/>
      <c r="RZP615" s="294"/>
      <c r="RZQ615" s="294"/>
      <c r="RZR615" s="294"/>
      <c r="RZS615" s="294"/>
      <c r="RZT615" s="294"/>
      <c r="RZU615" s="294"/>
      <c r="RZV615" s="294"/>
      <c r="RZW615" s="294"/>
      <c r="RZX615" s="294"/>
      <c r="RZY615" s="294"/>
      <c r="RZZ615" s="294"/>
      <c r="SAA615" s="294"/>
      <c r="SAB615" s="294"/>
      <c r="SAC615" s="294"/>
      <c r="SAD615" s="294"/>
      <c r="SAE615" s="294"/>
      <c r="SAF615" s="294"/>
      <c r="SAG615" s="294"/>
      <c r="SAH615" s="294"/>
      <c r="SAI615" s="294"/>
      <c r="SAJ615" s="294"/>
      <c r="SAK615" s="294"/>
      <c r="SAL615" s="294"/>
      <c r="SAM615" s="294"/>
      <c r="SAN615" s="294"/>
      <c r="SAO615" s="294"/>
      <c r="SAP615" s="294"/>
      <c r="SAQ615" s="294"/>
      <c r="SAR615" s="294"/>
      <c r="SAS615" s="294"/>
      <c r="SAT615" s="294"/>
      <c r="SAU615" s="294"/>
      <c r="SAV615" s="294"/>
      <c r="SAW615" s="294"/>
      <c r="SAX615" s="294"/>
      <c r="SAY615" s="294"/>
      <c r="SAZ615" s="294"/>
      <c r="SBA615" s="294"/>
      <c r="SBB615" s="294"/>
      <c r="SBC615" s="294"/>
      <c r="SBD615" s="294"/>
      <c r="SBE615" s="294"/>
      <c r="SBF615" s="294"/>
      <c r="SBG615" s="294"/>
      <c r="SBH615" s="294"/>
      <c r="SBI615" s="294"/>
      <c r="SBJ615" s="294"/>
      <c r="SBK615" s="294"/>
      <c r="SBL615" s="294"/>
      <c r="SBM615" s="294"/>
      <c r="SBN615" s="294"/>
      <c r="SBO615" s="294"/>
      <c r="SBP615" s="294"/>
      <c r="SBQ615" s="294"/>
      <c r="SBR615" s="294"/>
      <c r="SBS615" s="294"/>
      <c r="SBT615" s="294"/>
      <c r="SBU615" s="294"/>
      <c r="SBV615" s="294"/>
      <c r="SBW615" s="294"/>
      <c r="SBX615" s="294"/>
      <c r="SBY615" s="294"/>
      <c r="SBZ615" s="294"/>
      <c r="SCA615" s="294"/>
      <c r="SCB615" s="294"/>
      <c r="SCC615" s="294"/>
      <c r="SCD615" s="294"/>
      <c r="SCE615" s="294"/>
      <c r="SCF615" s="294"/>
      <c r="SCG615" s="294"/>
      <c r="SCH615" s="294"/>
      <c r="SCI615" s="294"/>
      <c r="SCJ615" s="294"/>
      <c r="SCK615" s="294"/>
      <c r="SCL615" s="294"/>
      <c r="SCM615" s="294"/>
      <c r="SCN615" s="294"/>
      <c r="SCO615" s="294"/>
      <c r="SCP615" s="294"/>
      <c r="SCQ615" s="294"/>
      <c r="SCR615" s="294"/>
      <c r="SCS615" s="294"/>
      <c r="SCT615" s="294"/>
      <c r="SCU615" s="294"/>
      <c r="SCV615" s="294"/>
      <c r="SCW615" s="294"/>
      <c r="SCX615" s="294"/>
      <c r="SCY615" s="294"/>
      <c r="SCZ615" s="294"/>
      <c r="SDA615" s="294"/>
      <c r="SDB615" s="294"/>
      <c r="SDC615" s="294"/>
      <c r="SDD615" s="294"/>
      <c r="SDE615" s="294"/>
      <c r="SDF615" s="294"/>
      <c r="SDG615" s="294"/>
      <c r="SDH615" s="294"/>
      <c r="SDI615" s="294"/>
      <c r="SDJ615" s="294"/>
      <c r="SDK615" s="294"/>
      <c r="SDL615" s="294"/>
      <c r="SDM615" s="294"/>
      <c r="SDN615" s="294"/>
      <c r="SDO615" s="294"/>
      <c r="SDP615" s="294"/>
      <c r="SDQ615" s="294"/>
      <c r="SDR615" s="294"/>
      <c r="SDS615" s="294"/>
      <c r="SDT615" s="294"/>
      <c r="SDU615" s="294"/>
      <c r="SDV615" s="294"/>
      <c r="SDW615" s="294"/>
      <c r="SDX615" s="294"/>
      <c r="SDY615" s="294"/>
      <c r="SDZ615" s="294"/>
      <c r="SEA615" s="294"/>
      <c r="SEB615" s="294"/>
      <c r="SEC615" s="294"/>
      <c r="SED615" s="294"/>
      <c r="SEE615" s="294"/>
      <c r="SEF615" s="294"/>
      <c r="SEG615" s="294"/>
      <c r="SEH615" s="294"/>
      <c r="SEI615" s="294"/>
      <c r="SEJ615" s="294"/>
      <c r="SEK615" s="294"/>
      <c r="SEL615" s="294"/>
      <c r="SEM615" s="294"/>
      <c r="SEN615" s="294"/>
      <c r="SEO615" s="294"/>
      <c r="SEP615" s="294"/>
      <c r="SEQ615" s="294"/>
      <c r="SER615" s="294"/>
      <c r="SES615" s="294"/>
      <c r="SET615" s="294"/>
      <c r="SEU615" s="294"/>
      <c r="SEV615" s="294"/>
      <c r="SEW615" s="294"/>
      <c r="SEX615" s="294"/>
      <c r="SEY615" s="294"/>
      <c r="SEZ615" s="294"/>
      <c r="SFA615" s="294"/>
      <c r="SFB615" s="294"/>
      <c r="SFC615" s="294"/>
      <c r="SFD615" s="294"/>
      <c r="SFE615" s="294"/>
      <c r="SFF615" s="294"/>
      <c r="SFG615" s="294"/>
      <c r="SFH615" s="294"/>
      <c r="SFI615" s="294"/>
      <c r="SFJ615" s="294"/>
      <c r="SFK615" s="294"/>
      <c r="SFL615" s="294"/>
      <c r="SFM615" s="294"/>
      <c r="SFN615" s="294"/>
      <c r="SFO615" s="294"/>
      <c r="SFP615" s="294"/>
      <c r="SFQ615" s="294"/>
      <c r="SFR615" s="294"/>
      <c r="SFS615" s="294"/>
      <c r="SFT615" s="294"/>
      <c r="SFU615" s="294"/>
      <c r="SFV615" s="294"/>
      <c r="SFW615" s="294"/>
      <c r="SFX615" s="294"/>
      <c r="SFY615" s="294"/>
      <c r="SFZ615" s="294"/>
      <c r="SGA615" s="294"/>
      <c r="SGB615" s="294"/>
      <c r="SGC615" s="294"/>
      <c r="SGD615" s="294"/>
      <c r="SGE615" s="294"/>
      <c r="SGF615" s="294"/>
      <c r="SGG615" s="294"/>
      <c r="SGH615" s="294"/>
      <c r="SGI615" s="294"/>
      <c r="SGJ615" s="294"/>
      <c r="SGK615" s="294"/>
      <c r="SGL615" s="294"/>
      <c r="SGM615" s="294"/>
      <c r="SGN615" s="294"/>
      <c r="SGO615" s="294"/>
      <c r="SGP615" s="294"/>
      <c r="SGQ615" s="294"/>
      <c r="SGR615" s="294"/>
      <c r="SGS615" s="294"/>
      <c r="SGT615" s="294"/>
      <c r="SGU615" s="294"/>
      <c r="SGV615" s="294"/>
      <c r="SGW615" s="294"/>
      <c r="SGX615" s="294"/>
      <c r="SGY615" s="294"/>
      <c r="SGZ615" s="294"/>
      <c r="SHA615" s="294"/>
      <c r="SHB615" s="294"/>
      <c r="SHC615" s="294"/>
      <c r="SHD615" s="294"/>
      <c r="SHE615" s="294"/>
      <c r="SHF615" s="294"/>
      <c r="SHG615" s="294"/>
      <c r="SHH615" s="294"/>
      <c r="SHI615" s="294"/>
      <c r="SHJ615" s="294"/>
      <c r="SHK615" s="294"/>
      <c r="SHL615" s="294"/>
      <c r="SHM615" s="294"/>
      <c r="SHN615" s="294"/>
      <c r="SHO615" s="294"/>
      <c r="SHP615" s="294"/>
      <c r="SHQ615" s="294"/>
      <c r="SHR615" s="294"/>
      <c r="SHS615" s="294"/>
      <c r="SHT615" s="294"/>
      <c r="SHU615" s="294"/>
      <c r="SHV615" s="294"/>
      <c r="SHW615" s="294"/>
      <c r="SHX615" s="294"/>
      <c r="SHY615" s="294"/>
      <c r="SHZ615" s="294"/>
      <c r="SIA615" s="294"/>
      <c r="SIB615" s="294"/>
      <c r="SIC615" s="294"/>
      <c r="SID615" s="294"/>
      <c r="SIE615" s="294"/>
      <c r="SIF615" s="294"/>
      <c r="SIG615" s="294"/>
      <c r="SIH615" s="294"/>
      <c r="SII615" s="294"/>
      <c r="SIJ615" s="294"/>
      <c r="SIK615" s="294"/>
      <c r="SIL615" s="294"/>
      <c r="SIM615" s="294"/>
      <c r="SIN615" s="294"/>
      <c r="SIO615" s="294"/>
      <c r="SIP615" s="294"/>
      <c r="SIQ615" s="294"/>
      <c r="SIR615" s="294"/>
      <c r="SIS615" s="294"/>
      <c r="SIT615" s="294"/>
      <c r="SIU615" s="294"/>
      <c r="SIV615" s="294"/>
      <c r="SIW615" s="294"/>
      <c r="SIX615" s="294"/>
      <c r="SIY615" s="294"/>
      <c r="SIZ615" s="294"/>
      <c r="SJA615" s="294"/>
      <c r="SJB615" s="294"/>
      <c r="SJC615" s="294"/>
      <c r="SJD615" s="294"/>
      <c r="SJE615" s="294"/>
      <c r="SJF615" s="294"/>
      <c r="SJG615" s="294"/>
      <c r="SJH615" s="294"/>
      <c r="SJI615" s="294"/>
      <c r="SJJ615" s="294"/>
      <c r="SJK615" s="294"/>
      <c r="SJL615" s="294"/>
      <c r="SJM615" s="294"/>
      <c r="SJN615" s="294"/>
      <c r="SJO615" s="294"/>
      <c r="SJP615" s="294"/>
      <c r="SJQ615" s="294"/>
      <c r="SJR615" s="294"/>
      <c r="SJS615" s="294"/>
      <c r="SJT615" s="294"/>
      <c r="SJU615" s="294"/>
      <c r="SJV615" s="294"/>
      <c r="SJW615" s="294"/>
      <c r="SJX615" s="294"/>
      <c r="SJY615" s="294"/>
      <c r="SJZ615" s="294"/>
      <c r="SKA615" s="294"/>
      <c r="SKB615" s="294"/>
      <c r="SKC615" s="294"/>
      <c r="SKD615" s="294"/>
      <c r="SKE615" s="294"/>
      <c r="SKF615" s="294"/>
      <c r="SKG615" s="294"/>
      <c r="SKH615" s="294"/>
      <c r="SKI615" s="294"/>
      <c r="SKJ615" s="294"/>
      <c r="SKK615" s="294"/>
      <c r="SKL615" s="294"/>
      <c r="SKM615" s="294"/>
      <c r="SKN615" s="294"/>
      <c r="SKO615" s="294"/>
      <c r="SKP615" s="294"/>
      <c r="SKQ615" s="294"/>
      <c r="SKR615" s="294"/>
      <c r="SKS615" s="294"/>
      <c r="SKT615" s="294"/>
      <c r="SKU615" s="294"/>
      <c r="SKV615" s="294"/>
      <c r="SKW615" s="294"/>
      <c r="SKX615" s="294"/>
      <c r="SKY615" s="294"/>
      <c r="SKZ615" s="294"/>
      <c r="SLA615" s="294"/>
      <c r="SLB615" s="294"/>
      <c r="SLC615" s="294"/>
      <c r="SLD615" s="294"/>
      <c r="SLE615" s="294"/>
      <c r="SLF615" s="294"/>
      <c r="SLG615" s="294"/>
      <c r="SLH615" s="294"/>
      <c r="SLI615" s="294"/>
      <c r="SLJ615" s="294"/>
      <c r="SLK615" s="294"/>
      <c r="SLL615" s="294"/>
      <c r="SLM615" s="294"/>
      <c r="SLN615" s="294"/>
      <c r="SLO615" s="294"/>
      <c r="SLP615" s="294"/>
      <c r="SLQ615" s="294"/>
      <c r="SLR615" s="294"/>
      <c r="SLS615" s="294"/>
      <c r="SLT615" s="294"/>
      <c r="SLU615" s="294"/>
      <c r="SLV615" s="294"/>
      <c r="SLW615" s="294"/>
      <c r="SLX615" s="294"/>
      <c r="SLY615" s="294"/>
      <c r="SLZ615" s="294"/>
      <c r="SMA615" s="294"/>
      <c r="SMB615" s="294"/>
      <c r="SMC615" s="294"/>
      <c r="SMD615" s="294"/>
      <c r="SME615" s="294"/>
      <c r="SMF615" s="294"/>
      <c r="SMG615" s="294"/>
      <c r="SMH615" s="294"/>
      <c r="SMI615" s="294"/>
      <c r="SMJ615" s="294"/>
      <c r="SMK615" s="294"/>
      <c r="SML615" s="294"/>
      <c r="SMM615" s="294"/>
      <c r="SMN615" s="294"/>
      <c r="SMO615" s="294"/>
      <c r="SMP615" s="294"/>
      <c r="SMQ615" s="294"/>
      <c r="SMR615" s="294"/>
      <c r="SMS615" s="294"/>
      <c r="SMT615" s="294"/>
      <c r="SMU615" s="294"/>
      <c r="SMV615" s="294"/>
      <c r="SMW615" s="294"/>
      <c r="SMX615" s="294"/>
      <c r="SMY615" s="294"/>
      <c r="SMZ615" s="294"/>
      <c r="SNA615" s="294"/>
      <c r="SNB615" s="294"/>
      <c r="SNC615" s="294"/>
      <c r="SND615" s="294"/>
      <c r="SNE615" s="294"/>
      <c r="SNF615" s="294"/>
      <c r="SNG615" s="294"/>
      <c r="SNH615" s="294"/>
      <c r="SNI615" s="294"/>
      <c r="SNJ615" s="294"/>
      <c r="SNK615" s="294"/>
      <c r="SNL615" s="294"/>
      <c r="SNM615" s="294"/>
      <c r="SNN615" s="294"/>
      <c r="SNO615" s="294"/>
      <c r="SNP615" s="294"/>
      <c r="SNQ615" s="294"/>
      <c r="SNR615" s="294"/>
      <c r="SNS615" s="294"/>
      <c r="SNT615" s="294"/>
      <c r="SNU615" s="294"/>
      <c r="SNV615" s="294"/>
      <c r="SNW615" s="294"/>
      <c r="SNX615" s="294"/>
      <c r="SNY615" s="294"/>
      <c r="SNZ615" s="294"/>
      <c r="SOA615" s="294"/>
      <c r="SOB615" s="294"/>
      <c r="SOC615" s="294"/>
      <c r="SOD615" s="294"/>
      <c r="SOE615" s="294"/>
      <c r="SOF615" s="294"/>
      <c r="SOG615" s="294"/>
      <c r="SOH615" s="294"/>
      <c r="SOI615" s="294"/>
      <c r="SOJ615" s="294"/>
      <c r="SOK615" s="294"/>
      <c r="SOL615" s="294"/>
      <c r="SOM615" s="294"/>
      <c r="SON615" s="294"/>
      <c r="SOO615" s="294"/>
      <c r="SOP615" s="294"/>
      <c r="SOQ615" s="294"/>
      <c r="SOR615" s="294"/>
      <c r="SOS615" s="294"/>
      <c r="SOT615" s="294"/>
      <c r="SOU615" s="294"/>
      <c r="SOV615" s="294"/>
      <c r="SOW615" s="294"/>
      <c r="SOX615" s="294"/>
      <c r="SOY615" s="294"/>
      <c r="SOZ615" s="294"/>
      <c r="SPA615" s="294"/>
      <c r="SPB615" s="294"/>
      <c r="SPC615" s="294"/>
      <c r="SPD615" s="294"/>
      <c r="SPE615" s="294"/>
      <c r="SPF615" s="294"/>
      <c r="SPG615" s="294"/>
      <c r="SPH615" s="294"/>
      <c r="SPI615" s="294"/>
      <c r="SPJ615" s="294"/>
      <c r="SPK615" s="294"/>
      <c r="SPL615" s="294"/>
      <c r="SPM615" s="294"/>
      <c r="SPN615" s="294"/>
      <c r="SPO615" s="294"/>
      <c r="SPP615" s="294"/>
      <c r="SPQ615" s="294"/>
      <c r="SPR615" s="294"/>
      <c r="SPS615" s="294"/>
      <c r="SPT615" s="294"/>
      <c r="SPU615" s="294"/>
      <c r="SPV615" s="294"/>
      <c r="SPW615" s="294"/>
      <c r="SPX615" s="294"/>
      <c r="SPY615" s="294"/>
      <c r="SPZ615" s="294"/>
      <c r="SQA615" s="294"/>
      <c r="SQB615" s="294"/>
      <c r="SQC615" s="294"/>
      <c r="SQD615" s="294"/>
      <c r="SQE615" s="294"/>
      <c r="SQF615" s="294"/>
      <c r="SQG615" s="294"/>
      <c r="SQH615" s="294"/>
      <c r="SQI615" s="294"/>
      <c r="SQJ615" s="294"/>
      <c r="SQK615" s="294"/>
      <c r="SQL615" s="294"/>
      <c r="SQM615" s="294"/>
      <c r="SQN615" s="294"/>
      <c r="SQO615" s="294"/>
      <c r="SQP615" s="294"/>
      <c r="SQQ615" s="294"/>
      <c r="SQR615" s="294"/>
      <c r="SQS615" s="294"/>
      <c r="SQT615" s="294"/>
      <c r="SQU615" s="294"/>
      <c r="SQV615" s="294"/>
      <c r="SQW615" s="294"/>
      <c r="SQX615" s="294"/>
      <c r="SQY615" s="294"/>
      <c r="SQZ615" s="294"/>
      <c r="SRA615" s="294"/>
      <c r="SRB615" s="294"/>
      <c r="SRC615" s="294"/>
      <c r="SRD615" s="294"/>
      <c r="SRE615" s="294"/>
      <c r="SRF615" s="294"/>
      <c r="SRG615" s="294"/>
      <c r="SRH615" s="294"/>
      <c r="SRI615" s="294"/>
      <c r="SRJ615" s="294"/>
      <c r="SRK615" s="294"/>
      <c r="SRL615" s="294"/>
      <c r="SRM615" s="294"/>
      <c r="SRN615" s="294"/>
      <c r="SRO615" s="294"/>
      <c r="SRP615" s="294"/>
      <c r="SRQ615" s="294"/>
      <c r="SRR615" s="294"/>
      <c r="SRS615" s="294"/>
      <c r="SRT615" s="294"/>
      <c r="SRU615" s="294"/>
      <c r="SRV615" s="294"/>
      <c r="SRW615" s="294"/>
      <c r="SRX615" s="294"/>
      <c r="SRY615" s="294"/>
      <c r="SRZ615" s="294"/>
      <c r="SSA615" s="294"/>
      <c r="SSB615" s="294"/>
      <c r="SSC615" s="294"/>
      <c r="SSD615" s="294"/>
      <c r="SSE615" s="294"/>
      <c r="SSF615" s="294"/>
      <c r="SSG615" s="294"/>
      <c r="SSH615" s="294"/>
      <c r="SSI615" s="294"/>
      <c r="SSJ615" s="294"/>
      <c r="SSK615" s="294"/>
      <c r="SSL615" s="294"/>
      <c r="SSM615" s="294"/>
      <c r="SSN615" s="294"/>
      <c r="SSO615" s="294"/>
      <c r="SSP615" s="294"/>
      <c r="SSQ615" s="294"/>
      <c r="SSR615" s="294"/>
      <c r="SSS615" s="294"/>
      <c r="SST615" s="294"/>
      <c r="SSU615" s="294"/>
      <c r="SSV615" s="294"/>
      <c r="SSW615" s="294"/>
      <c r="SSX615" s="294"/>
      <c r="SSY615" s="294"/>
      <c r="SSZ615" s="294"/>
      <c r="STA615" s="294"/>
      <c r="STB615" s="294"/>
      <c r="STC615" s="294"/>
      <c r="STD615" s="294"/>
      <c r="STE615" s="294"/>
      <c r="STF615" s="294"/>
      <c r="STG615" s="294"/>
      <c r="STH615" s="294"/>
      <c r="STI615" s="294"/>
      <c r="STJ615" s="294"/>
      <c r="STK615" s="294"/>
      <c r="STL615" s="294"/>
      <c r="STM615" s="294"/>
      <c r="STN615" s="294"/>
      <c r="STO615" s="294"/>
      <c r="STP615" s="294"/>
      <c r="STQ615" s="294"/>
      <c r="STR615" s="294"/>
      <c r="STS615" s="294"/>
      <c r="STT615" s="294"/>
      <c r="STU615" s="294"/>
      <c r="STV615" s="294"/>
      <c r="STW615" s="294"/>
      <c r="STX615" s="294"/>
      <c r="STY615" s="294"/>
      <c r="STZ615" s="294"/>
      <c r="SUA615" s="294"/>
      <c r="SUB615" s="294"/>
      <c r="SUC615" s="294"/>
      <c r="SUD615" s="294"/>
      <c r="SUE615" s="294"/>
      <c r="SUF615" s="294"/>
      <c r="SUG615" s="294"/>
      <c r="SUH615" s="294"/>
      <c r="SUI615" s="294"/>
      <c r="SUJ615" s="294"/>
      <c r="SUK615" s="294"/>
      <c r="SUL615" s="294"/>
      <c r="SUM615" s="294"/>
      <c r="SUN615" s="294"/>
      <c r="SUO615" s="294"/>
      <c r="SUP615" s="294"/>
      <c r="SUQ615" s="294"/>
      <c r="SUR615" s="294"/>
      <c r="SUS615" s="294"/>
      <c r="SUT615" s="294"/>
      <c r="SUU615" s="294"/>
      <c r="SUV615" s="294"/>
      <c r="SUW615" s="294"/>
      <c r="SUX615" s="294"/>
      <c r="SUY615" s="294"/>
      <c r="SUZ615" s="294"/>
      <c r="SVA615" s="294"/>
      <c r="SVB615" s="294"/>
      <c r="SVC615" s="294"/>
      <c r="SVD615" s="294"/>
      <c r="SVE615" s="294"/>
      <c r="SVF615" s="294"/>
      <c r="SVG615" s="294"/>
      <c r="SVH615" s="294"/>
      <c r="SVI615" s="294"/>
      <c r="SVJ615" s="294"/>
      <c r="SVK615" s="294"/>
      <c r="SVL615" s="294"/>
      <c r="SVM615" s="294"/>
      <c r="SVN615" s="294"/>
      <c r="SVO615" s="294"/>
      <c r="SVP615" s="294"/>
      <c r="SVQ615" s="294"/>
      <c r="SVR615" s="294"/>
      <c r="SVS615" s="294"/>
      <c r="SVT615" s="294"/>
      <c r="SVU615" s="294"/>
      <c r="SVV615" s="294"/>
      <c r="SVW615" s="294"/>
      <c r="SVX615" s="294"/>
      <c r="SVY615" s="294"/>
      <c r="SVZ615" s="294"/>
      <c r="SWA615" s="294"/>
      <c r="SWB615" s="294"/>
      <c r="SWC615" s="294"/>
      <c r="SWD615" s="294"/>
      <c r="SWE615" s="294"/>
      <c r="SWF615" s="294"/>
      <c r="SWG615" s="294"/>
      <c r="SWH615" s="294"/>
      <c r="SWI615" s="294"/>
      <c r="SWJ615" s="294"/>
      <c r="SWK615" s="294"/>
      <c r="SWL615" s="294"/>
      <c r="SWM615" s="294"/>
      <c r="SWN615" s="294"/>
      <c r="SWO615" s="294"/>
      <c r="SWP615" s="294"/>
      <c r="SWQ615" s="294"/>
      <c r="SWR615" s="294"/>
      <c r="SWS615" s="294"/>
      <c r="SWT615" s="294"/>
      <c r="SWU615" s="294"/>
      <c r="SWV615" s="294"/>
      <c r="SWW615" s="294"/>
      <c r="SWX615" s="294"/>
      <c r="SWY615" s="294"/>
      <c r="SWZ615" s="294"/>
      <c r="SXA615" s="294"/>
      <c r="SXB615" s="294"/>
      <c r="SXC615" s="294"/>
      <c r="SXD615" s="294"/>
      <c r="SXE615" s="294"/>
      <c r="SXF615" s="294"/>
      <c r="SXG615" s="294"/>
      <c r="SXH615" s="294"/>
      <c r="SXI615" s="294"/>
      <c r="SXJ615" s="294"/>
      <c r="SXK615" s="294"/>
      <c r="SXL615" s="294"/>
      <c r="SXM615" s="294"/>
      <c r="SXN615" s="294"/>
      <c r="SXO615" s="294"/>
      <c r="SXP615" s="294"/>
      <c r="SXQ615" s="294"/>
      <c r="SXR615" s="294"/>
      <c r="SXS615" s="294"/>
      <c r="SXT615" s="294"/>
      <c r="SXU615" s="294"/>
      <c r="SXV615" s="294"/>
      <c r="SXW615" s="294"/>
      <c r="SXX615" s="294"/>
      <c r="SXY615" s="294"/>
      <c r="SXZ615" s="294"/>
      <c r="SYA615" s="294"/>
      <c r="SYB615" s="294"/>
      <c r="SYC615" s="294"/>
      <c r="SYD615" s="294"/>
      <c r="SYE615" s="294"/>
      <c r="SYF615" s="294"/>
      <c r="SYG615" s="294"/>
      <c r="SYH615" s="294"/>
      <c r="SYI615" s="294"/>
      <c r="SYJ615" s="294"/>
      <c r="SYK615" s="294"/>
      <c r="SYL615" s="294"/>
      <c r="SYM615" s="294"/>
      <c r="SYN615" s="294"/>
      <c r="SYO615" s="294"/>
      <c r="SYP615" s="294"/>
      <c r="SYQ615" s="294"/>
      <c r="SYR615" s="294"/>
      <c r="SYS615" s="294"/>
      <c r="SYT615" s="294"/>
      <c r="SYU615" s="294"/>
      <c r="SYV615" s="294"/>
      <c r="SYW615" s="294"/>
      <c r="SYX615" s="294"/>
      <c r="SYY615" s="294"/>
      <c r="SYZ615" s="294"/>
      <c r="SZA615" s="294"/>
      <c r="SZB615" s="294"/>
      <c r="SZC615" s="294"/>
      <c r="SZD615" s="294"/>
      <c r="SZE615" s="294"/>
      <c r="SZF615" s="294"/>
      <c r="SZG615" s="294"/>
      <c r="SZH615" s="294"/>
      <c r="SZI615" s="294"/>
      <c r="SZJ615" s="294"/>
      <c r="SZK615" s="294"/>
      <c r="SZL615" s="294"/>
      <c r="SZM615" s="294"/>
      <c r="SZN615" s="294"/>
      <c r="SZO615" s="294"/>
      <c r="SZP615" s="294"/>
      <c r="SZQ615" s="294"/>
      <c r="SZR615" s="294"/>
      <c r="SZS615" s="294"/>
      <c r="SZT615" s="294"/>
      <c r="SZU615" s="294"/>
      <c r="SZV615" s="294"/>
      <c r="SZW615" s="294"/>
      <c r="SZX615" s="294"/>
      <c r="SZY615" s="294"/>
      <c r="SZZ615" s="294"/>
      <c r="TAA615" s="294"/>
      <c r="TAB615" s="294"/>
      <c r="TAC615" s="294"/>
      <c r="TAD615" s="294"/>
      <c r="TAE615" s="294"/>
      <c r="TAF615" s="294"/>
      <c r="TAG615" s="294"/>
      <c r="TAH615" s="294"/>
      <c r="TAI615" s="294"/>
      <c r="TAJ615" s="294"/>
      <c r="TAK615" s="294"/>
      <c r="TAL615" s="294"/>
      <c r="TAM615" s="294"/>
      <c r="TAN615" s="294"/>
      <c r="TAO615" s="294"/>
      <c r="TAP615" s="294"/>
      <c r="TAQ615" s="294"/>
      <c r="TAR615" s="294"/>
      <c r="TAS615" s="294"/>
      <c r="TAT615" s="294"/>
      <c r="TAU615" s="294"/>
      <c r="TAV615" s="294"/>
      <c r="TAW615" s="294"/>
      <c r="TAX615" s="294"/>
      <c r="TAY615" s="294"/>
      <c r="TAZ615" s="294"/>
      <c r="TBA615" s="294"/>
      <c r="TBB615" s="294"/>
      <c r="TBC615" s="294"/>
      <c r="TBD615" s="294"/>
      <c r="TBE615" s="294"/>
      <c r="TBF615" s="294"/>
      <c r="TBG615" s="294"/>
      <c r="TBH615" s="294"/>
      <c r="TBI615" s="294"/>
      <c r="TBJ615" s="294"/>
      <c r="TBK615" s="294"/>
      <c r="TBL615" s="294"/>
      <c r="TBM615" s="294"/>
      <c r="TBN615" s="294"/>
      <c r="TBO615" s="294"/>
      <c r="TBP615" s="294"/>
      <c r="TBQ615" s="294"/>
      <c r="TBR615" s="294"/>
      <c r="TBS615" s="294"/>
      <c r="TBT615" s="294"/>
      <c r="TBU615" s="294"/>
      <c r="TBV615" s="294"/>
      <c r="TBW615" s="294"/>
      <c r="TBX615" s="294"/>
      <c r="TBY615" s="294"/>
      <c r="TBZ615" s="294"/>
      <c r="TCA615" s="294"/>
      <c r="TCB615" s="294"/>
      <c r="TCC615" s="294"/>
      <c r="TCD615" s="294"/>
      <c r="TCE615" s="294"/>
      <c r="TCF615" s="294"/>
      <c r="TCG615" s="294"/>
      <c r="TCH615" s="294"/>
      <c r="TCI615" s="294"/>
      <c r="TCJ615" s="294"/>
      <c r="TCK615" s="294"/>
      <c r="TCL615" s="294"/>
      <c r="TCM615" s="294"/>
      <c r="TCN615" s="294"/>
      <c r="TCO615" s="294"/>
      <c r="TCP615" s="294"/>
      <c r="TCQ615" s="294"/>
      <c r="TCR615" s="294"/>
      <c r="TCS615" s="294"/>
      <c r="TCT615" s="294"/>
      <c r="TCU615" s="294"/>
      <c r="TCV615" s="294"/>
      <c r="TCW615" s="294"/>
      <c r="TCX615" s="294"/>
      <c r="TCY615" s="294"/>
      <c r="TCZ615" s="294"/>
      <c r="TDA615" s="294"/>
      <c r="TDB615" s="294"/>
      <c r="TDC615" s="294"/>
      <c r="TDD615" s="294"/>
      <c r="TDE615" s="294"/>
      <c r="TDF615" s="294"/>
      <c r="TDG615" s="294"/>
      <c r="TDH615" s="294"/>
      <c r="TDI615" s="294"/>
      <c r="TDJ615" s="294"/>
      <c r="TDK615" s="294"/>
      <c r="TDL615" s="294"/>
      <c r="TDM615" s="294"/>
      <c r="TDN615" s="294"/>
      <c r="TDO615" s="294"/>
      <c r="TDP615" s="294"/>
      <c r="TDQ615" s="294"/>
      <c r="TDR615" s="294"/>
      <c r="TDS615" s="294"/>
      <c r="TDT615" s="294"/>
      <c r="TDU615" s="294"/>
      <c r="TDV615" s="294"/>
      <c r="TDW615" s="294"/>
      <c r="TDX615" s="294"/>
      <c r="TDY615" s="294"/>
      <c r="TDZ615" s="294"/>
      <c r="TEA615" s="294"/>
      <c r="TEB615" s="294"/>
      <c r="TEC615" s="294"/>
      <c r="TED615" s="294"/>
      <c r="TEE615" s="294"/>
      <c r="TEF615" s="294"/>
      <c r="TEG615" s="294"/>
      <c r="TEH615" s="294"/>
      <c r="TEI615" s="294"/>
      <c r="TEJ615" s="294"/>
      <c r="TEK615" s="294"/>
      <c r="TEL615" s="294"/>
      <c r="TEM615" s="294"/>
      <c r="TEN615" s="294"/>
      <c r="TEO615" s="294"/>
      <c r="TEP615" s="294"/>
      <c r="TEQ615" s="294"/>
      <c r="TER615" s="294"/>
      <c r="TES615" s="294"/>
      <c r="TET615" s="294"/>
      <c r="TEU615" s="294"/>
      <c r="TEV615" s="294"/>
      <c r="TEW615" s="294"/>
      <c r="TEX615" s="294"/>
      <c r="TEY615" s="294"/>
      <c r="TEZ615" s="294"/>
      <c r="TFA615" s="294"/>
      <c r="TFB615" s="294"/>
      <c r="TFC615" s="294"/>
      <c r="TFD615" s="294"/>
      <c r="TFE615" s="294"/>
      <c r="TFF615" s="294"/>
      <c r="TFG615" s="294"/>
      <c r="TFH615" s="294"/>
      <c r="TFI615" s="294"/>
      <c r="TFJ615" s="294"/>
      <c r="TFK615" s="294"/>
      <c r="TFL615" s="294"/>
      <c r="TFM615" s="294"/>
      <c r="TFN615" s="294"/>
      <c r="TFO615" s="294"/>
      <c r="TFP615" s="294"/>
      <c r="TFQ615" s="294"/>
      <c r="TFR615" s="294"/>
      <c r="TFS615" s="294"/>
      <c r="TFT615" s="294"/>
      <c r="TFU615" s="294"/>
      <c r="TFV615" s="294"/>
      <c r="TFW615" s="294"/>
      <c r="TFX615" s="294"/>
      <c r="TFY615" s="294"/>
      <c r="TFZ615" s="294"/>
      <c r="TGA615" s="294"/>
      <c r="TGB615" s="294"/>
      <c r="TGC615" s="294"/>
      <c r="TGD615" s="294"/>
      <c r="TGE615" s="294"/>
      <c r="TGF615" s="294"/>
      <c r="TGG615" s="294"/>
      <c r="TGH615" s="294"/>
      <c r="TGI615" s="294"/>
      <c r="TGJ615" s="294"/>
      <c r="TGK615" s="294"/>
      <c r="TGL615" s="294"/>
      <c r="TGM615" s="294"/>
      <c r="TGN615" s="294"/>
      <c r="TGO615" s="294"/>
      <c r="TGP615" s="294"/>
      <c r="TGQ615" s="294"/>
      <c r="TGR615" s="294"/>
      <c r="TGS615" s="294"/>
      <c r="TGT615" s="294"/>
      <c r="TGU615" s="294"/>
      <c r="TGV615" s="294"/>
      <c r="TGW615" s="294"/>
      <c r="TGX615" s="294"/>
      <c r="TGY615" s="294"/>
      <c r="TGZ615" s="294"/>
      <c r="THA615" s="294"/>
      <c r="THB615" s="294"/>
      <c r="THC615" s="294"/>
      <c r="THD615" s="294"/>
      <c r="THE615" s="294"/>
      <c r="THF615" s="294"/>
      <c r="THG615" s="294"/>
      <c r="THH615" s="294"/>
      <c r="THI615" s="294"/>
      <c r="THJ615" s="294"/>
      <c r="THK615" s="294"/>
      <c r="THL615" s="294"/>
      <c r="THM615" s="294"/>
      <c r="THN615" s="294"/>
      <c r="THO615" s="294"/>
      <c r="THP615" s="294"/>
      <c r="THQ615" s="294"/>
      <c r="THR615" s="294"/>
      <c r="THS615" s="294"/>
      <c r="THT615" s="294"/>
      <c r="THU615" s="294"/>
      <c r="THV615" s="294"/>
      <c r="THW615" s="294"/>
      <c r="THX615" s="294"/>
      <c r="THY615" s="294"/>
      <c r="THZ615" s="294"/>
      <c r="TIA615" s="294"/>
      <c r="TIB615" s="294"/>
      <c r="TIC615" s="294"/>
      <c r="TID615" s="294"/>
      <c r="TIE615" s="294"/>
      <c r="TIF615" s="294"/>
      <c r="TIG615" s="294"/>
      <c r="TIH615" s="294"/>
      <c r="TII615" s="294"/>
      <c r="TIJ615" s="294"/>
      <c r="TIK615" s="294"/>
      <c r="TIL615" s="294"/>
      <c r="TIM615" s="294"/>
      <c r="TIN615" s="294"/>
      <c r="TIO615" s="294"/>
      <c r="TIP615" s="294"/>
      <c r="TIQ615" s="294"/>
      <c r="TIR615" s="294"/>
      <c r="TIS615" s="294"/>
      <c r="TIT615" s="294"/>
      <c r="TIU615" s="294"/>
      <c r="TIV615" s="294"/>
      <c r="TIW615" s="294"/>
      <c r="TIX615" s="294"/>
      <c r="TIY615" s="294"/>
      <c r="TIZ615" s="294"/>
      <c r="TJA615" s="294"/>
      <c r="TJB615" s="294"/>
      <c r="TJC615" s="294"/>
      <c r="TJD615" s="294"/>
      <c r="TJE615" s="294"/>
      <c r="TJF615" s="294"/>
      <c r="TJG615" s="294"/>
      <c r="TJH615" s="294"/>
      <c r="TJI615" s="294"/>
      <c r="TJJ615" s="294"/>
      <c r="TJK615" s="294"/>
      <c r="TJL615" s="294"/>
      <c r="TJM615" s="294"/>
      <c r="TJN615" s="294"/>
      <c r="TJO615" s="294"/>
      <c r="TJP615" s="294"/>
      <c r="TJQ615" s="294"/>
      <c r="TJR615" s="294"/>
      <c r="TJS615" s="294"/>
      <c r="TJT615" s="294"/>
      <c r="TJU615" s="294"/>
      <c r="TJV615" s="294"/>
      <c r="TJW615" s="294"/>
      <c r="TJX615" s="294"/>
      <c r="TJY615" s="294"/>
      <c r="TJZ615" s="294"/>
      <c r="TKA615" s="294"/>
      <c r="TKB615" s="294"/>
      <c r="TKC615" s="294"/>
      <c r="TKD615" s="294"/>
      <c r="TKE615" s="294"/>
      <c r="TKF615" s="294"/>
      <c r="TKG615" s="294"/>
      <c r="TKH615" s="294"/>
      <c r="TKI615" s="294"/>
      <c r="TKJ615" s="294"/>
      <c r="TKK615" s="294"/>
      <c r="TKL615" s="294"/>
      <c r="TKM615" s="294"/>
      <c r="TKN615" s="294"/>
      <c r="TKO615" s="294"/>
      <c r="TKP615" s="294"/>
      <c r="TKQ615" s="294"/>
      <c r="TKR615" s="294"/>
      <c r="TKS615" s="294"/>
      <c r="TKT615" s="294"/>
      <c r="TKU615" s="294"/>
      <c r="TKV615" s="294"/>
      <c r="TKW615" s="294"/>
      <c r="TKX615" s="294"/>
      <c r="TKY615" s="294"/>
      <c r="TKZ615" s="294"/>
      <c r="TLA615" s="294"/>
      <c r="TLB615" s="294"/>
      <c r="TLC615" s="294"/>
      <c r="TLD615" s="294"/>
      <c r="TLE615" s="294"/>
      <c r="TLF615" s="294"/>
      <c r="TLG615" s="294"/>
      <c r="TLH615" s="294"/>
      <c r="TLI615" s="294"/>
      <c r="TLJ615" s="294"/>
      <c r="TLK615" s="294"/>
      <c r="TLL615" s="294"/>
      <c r="TLM615" s="294"/>
      <c r="TLN615" s="294"/>
      <c r="TLO615" s="294"/>
      <c r="TLP615" s="294"/>
      <c r="TLQ615" s="294"/>
      <c r="TLR615" s="294"/>
      <c r="TLS615" s="294"/>
      <c r="TLT615" s="294"/>
      <c r="TLU615" s="294"/>
      <c r="TLV615" s="294"/>
      <c r="TLW615" s="294"/>
      <c r="TLX615" s="294"/>
      <c r="TLY615" s="294"/>
      <c r="TLZ615" s="294"/>
      <c r="TMA615" s="294"/>
      <c r="TMB615" s="294"/>
      <c r="TMC615" s="294"/>
      <c r="TMD615" s="294"/>
      <c r="TME615" s="294"/>
      <c r="TMF615" s="294"/>
      <c r="TMG615" s="294"/>
      <c r="TMH615" s="294"/>
      <c r="TMI615" s="294"/>
      <c r="TMJ615" s="294"/>
      <c r="TMK615" s="294"/>
      <c r="TML615" s="294"/>
      <c r="TMM615" s="294"/>
      <c r="TMN615" s="294"/>
      <c r="TMO615" s="294"/>
      <c r="TMP615" s="294"/>
      <c r="TMQ615" s="294"/>
      <c r="TMR615" s="294"/>
      <c r="TMS615" s="294"/>
      <c r="TMT615" s="294"/>
      <c r="TMU615" s="294"/>
      <c r="TMV615" s="294"/>
      <c r="TMW615" s="294"/>
      <c r="TMX615" s="294"/>
      <c r="TMY615" s="294"/>
      <c r="TMZ615" s="294"/>
      <c r="TNA615" s="294"/>
      <c r="TNB615" s="294"/>
      <c r="TNC615" s="294"/>
      <c r="TND615" s="294"/>
      <c r="TNE615" s="294"/>
      <c r="TNF615" s="294"/>
      <c r="TNG615" s="294"/>
      <c r="TNH615" s="294"/>
      <c r="TNI615" s="294"/>
      <c r="TNJ615" s="294"/>
      <c r="TNK615" s="294"/>
      <c r="TNL615" s="294"/>
      <c r="TNM615" s="294"/>
      <c r="TNN615" s="294"/>
      <c r="TNO615" s="294"/>
      <c r="TNP615" s="294"/>
      <c r="TNQ615" s="294"/>
      <c r="TNR615" s="294"/>
      <c r="TNS615" s="294"/>
      <c r="TNT615" s="294"/>
      <c r="TNU615" s="294"/>
      <c r="TNV615" s="294"/>
      <c r="TNW615" s="294"/>
      <c r="TNX615" s="294"/>
      <c r="TNY615" s="294"/>
      <c r="TNZ615" s="294"/>
      <c r="TOA615" s="294"/>
      <c r="TOB615" s="294"/>
      <c r="TOC615" s="294"/>
      <c r="TOD615" s="294"/>
      <c r="TOE615" s="294"/>
      <c r="TOF615" s="294"/>
      <c r="TOG615" s="294"/>
      <c r="TOH615" s="294"/>
      <c r="TOI615" s="294"/>
      <c r="TOJ615" s="294"/>
      <c r="TOK615" s="294"/>
      <c r="TOL615" s="294"/>
      <c r="TOM615" s="294"/>
      <c r="TON615" s="294"/>
      <c r="TOO615" s="294"/>
      <c r="TOP615" s="294"/>
      <c r="TOQ615" s="294"/>
      <c r="TOR615" s="294"/>
      <c r="TOS615" s="294"/>
      <c r="TOT615" s="294"/>
      <c r="TOU615" s="294"/>
      <c r="TOV615" s="294"/>
      <c r="TOW615" s="294"/>
      <c r="TOX615" s="294"/>
      <c r="TOY615" s="294"/>
      <c r="TOZ615" s="294"/>
      <c r="TPA615" s="294"/>
      <c r="TPB615" s="294"/>
      <c r="TPC615" s="294"/>
      <c r="TPD615" s="294"/>
      <c r="TPE615" s="294"/>
      <c r="TPF615" s="294"/>
      <c r="TPG615" s="294"/>
      <c r="TPH615" s="294"/>
      <c r="TPI615" s="294"/>
      <c r="TPJ615" s="294"/>
      <c r="TPK615" s="294"/>
      <c r="TPL615" s="294"/>
      <c r="TPM615" s="294"/>
      <c r="TPN615" s="294"/>
      <c r="TPO615" s="294"/>
      <c r="TPP615" s="294"/>
      <c r="TPQ615" s="294"/>
      <c r="TPR615" s="294"/>
      <c r="TPS615" s="294"/>
      <c r="TPT615" s="294"/>
      <c r="TPU615" s="294"/>
      <c r="TPV615" s="294"/>
      <c r="TPW615" s="294"/>
      <c r="TPX615" s="294"/>
      <c r="TPY615" s="294"/>
      <c r="TPZ615" s="294"/>
      <c r="TQA615" s="294"/>
      <c r="TQB615" s="294"/>
      <c r="TQC615" s="294"/>
      <c r="TQD615" s="294"/>
      <c r="TQE615" s="294"/>
      <c r="TQF615" s="294"/>
      <c r="TQG615" s="294"/>
      <c r="TQH615" s="294"/>
      <c r="TQI615" s="294"/>
      <c r="TQJ615" s="294"/>
      <c r="TQK615" s="294"/>
      <c r="TQL615" s="294"/>
      <c r="TQM615" s="294"/>
      <c r="TQN615" s="294"/>
      <c r="TQO615" s="294"/>
      <c r="TQP615" s="294"/>
      <c r="TQQ615" s="294"/>
      <c r="TQR615" s="294"/>
      <c r="TQS615" s="294"/>
      <c r="TQT615" s="294"/>
      <c r="TQU615" s="294"/>
      <c r="TQV615" s="294"/>
      <c r="TQW615" s="294"/>
      <c r="TQX615" s="294"/>
      <c r="TQY615" s="294"/>
      <c r="TQZ615" s="294"/>
      <c r="TRA615" s="294"/>
      <c r="TRB615" s="294"/>
      <c r="TRC615" s="294"/>
      <c r="TRD615" s="294"/>
      <c r="TRE615" s="294"/>
      <c r="TRF615" s="294"/>
      <c r="TRG615" s="294"/>
      <c r="TRH615" s="294"/>
      <c r="TRI615" s="294"/>
      <c r="TRJ615" s="294"/>
      <c r="TRK615" s="294"/>
      <c r="TRL615" s="294"/>
      <c r="TRM615" s="294"/>
      <c r="TRN615" s="294"/>
      <c r="TRO615" s="294"/>
      <c r="TRP615" s="294"/>
      <c r="TRQ615" s="294"/>
      <c r="TRR615" s="294"/>
      <c r="TRS615" s="294"/>
      <c r="TRT615" s="294"/>
      <c r="TRU615" s="294"/>
      <c r="TRV615" s="294"/>
      <c r="TRW615" s="294"/>
      <c r="TRX615" s="294"/>
      <c r="TRY615" s="294"/>
      <c r="TRZ615" s="294"/>
      <c r="TSA615" s="294"/>
      <c r="TSB615" s="294"/>
      <c r="TSC615" s="294"/>
      <c r="TSD615" s="294"/>
      <c r="TSE615" s="294"/>
      <c r="TSF615" s="294"/>
      <c r="TSG615" s="294"/>
      <c r="TSH615" s="294"/>
      <c r="TSI615" s="294"/>
      <c r="TSJ615" s="294"/>
      <c r="TSK615" s="294"/>
      <c r="TSL615" s="294"/>
      <c r="TSM615" s="294"/>
      <c r="TSN615" s="294"/>
      <c r="TSO615" s="294"/>
      <c r="TSP615" s="294"/>
      <c r="TSQ615" s="294"/>
      <c r="TSR615" s="294"/>
      <c r="TSS615" s="294"/>
      <c r="TST615" s="294"/>
      <c r="TSU615" s="294"/>
      <c r="TSV615" s="294"/>
      <c r="TSW615" s="294"/>
      <c r="TSX615" s="294"/>
      <c r="TSY615" s="294"/>
      <c r="TSZ615" s="294"/>
      <c r="TTA615" s="294"/>
      <c r="TTB615" s="294"/>
      <c r="TTC615" s="294"/>
      <c r="TTD615" s="294"/>
      <c r="TTE615" s="294"/>
      <c r="TTF615" s="294"/>
      <c r="TTG615" s="294"/>
      <c r="TTH615" s="294"/>
      <c r="TTI615" s="294"/>
      <c r="TTJ615" s="294"/>
      <c r="TTK615" s="294"/>
      <c r="TTL615" s="294"/>
      <c r="TTM615" s="294"/>
      <c r="TTN615" s="294"/>
      <c r="TTO615" s="294"/>
      <c r="TTP615" s="294"/>
      <c r="TTQ615" s="294"/>
      <c r="TTR615" s="294"/>
      <c r="TTS615" s="294"/>
      <c r="TTT615" s="294"/>
      <c r="TTU615" s="294"/>
      <c r="TTV615" s="294"/>
      <c r="TTW615" s="294"/>
      <c r="TTX615" s="294"/>
      <c r="TTY615" s="294"/>
      <c r="TTZ615" s="294"/>
      <c r="TUA615" s="294"/>
      <c r="TUB615" s="294"/>
      <c r="TUC615" s="294"/>
      <c r="TUD615" s="294"/>
      <c r="TUE615" s="294"/>
      <c r="TUF615" s="294"/>
      <c r="TUG615" s="294"/>
      <c r="TUH615" s="294"/>
      <c r="TUI615" s="294"/>
      <c r="TUJ615" s="294"/>
      <c r="TUK615" s="294"/>
      <c r="TUL615" s="294"/>
      <c r="TUM615" s="294"/>
      <c r="TUN615" s="294"/>
      <c r="TUO615" s="294"/>
      <c r="TUP615" s="294"/>
      <c r="TUQ615" s="294"/>
      <c r="TUR615" s="294"/>
      <c r="TUS615" s="294"/>
      <c r="TUT615" s="294"/>
      <c r="TUU615" s="294"/>
      <c r="TUV615" s="294"/>
      <c r="TUW615" s="294"/>
      <c r="TUX615" s="294"/>
      <c r="TUY615" s="294"/>
      <c r="TUZ615" s="294"/>
      <c r="TVA615" s="294"/>
      <c r="TVB615" s="294"/>
      <c r="TVC615" s="294"/>
      <c r="TVD615" s="294"/>
      <c r="TVE615" s="294"/>
      <c r="TVF615" s="294"/>
      <c r="TVG615" s="294"/>
      <c r="TVH615" s="294"/>
      <c r="TVI615" s="294"/>
      <c r="TVJ615" s="294"/>
      <c r="TVK615" s="294"/>
      <c r="TVL615" s="294"/>
      <c r="TVM615" s="294"/>
      <c r="TVN615" s="294"/>
      <c r="TVO615" s="294"/>
      <c r="TVP615" s="294"/>
      <c r="TVQ615" s="294"/>
      <c r="TVR615" s="294"/>
      <c r="TVS615" s="294"/>
      <c r="TVT615" s="294"/>
      <c r="TVU615" s="294"/>
      <c r="TVV615" s="294"/>
      <c r="TVW615" s="294"/>
      <c r="TVX615" s="294"/>
      <c r="TVY615" s="294"/>
      <c r="TVZ615" s="294"/>
      <c r="TWA615" s="294"/>
      <c r="TWB615" s="294"/>
      <c r="TWC615" s="294"/>
      <c r="TWD615" s="294"/>
      <c r="TWE615" s="294"/>
      <c r="TWF615" s="294"/>
      <c r="TWG615" s="294"/>
      <c r="TWH615" s="294"/>
      <c r="TWI615" s="294"/>
      <c r="TWJ615" s="294"/>
      <c r="TWK615" s="294"/>
      <c r="TWL615" s="294"/>
      <c r="TWM615" s="294"/>
      <c r="TWN615" s="294"/>
      <c r="TWO615" s="294"/>
      <c r="TWP615" s="294"/>
      <c r="TWQ615" s="294"/>
      <c r="TWR615" s="294"/>
      <c r="TWS615" s="294"/>
      <c r="TWT615" s="294"/>
      <c r="TWU615" s="294"/>
      <c r="TWV615" s="294"/>
      <c r="TWW615" s="294"/>
      <c r="TWX615" s="294"/>
      <c r="TWY615" s="294"/>
      <c r="TWZ615" s="294"/>
      <c r="TXA615" s="294"/>
      <c r="TXB615" s="294"/>
      <c r="TXC615" s="294"/>
      <c r="TXD615" s="294"/>
      <c r="TXE615" s="294"/>
      <c r="TXF615" s="294"/>
      <c r="TXG615" s="294"/>
      <c r="TXH615" s="294"/>
      <c r="TXI615" s="294"/>
      <c r="TXJ615" s="294"/>
      <c r="TXK615" s="294"/>
      <c r="TXL615" s="294"/>
      <c r="TXM615" s="294"/>
      <c r="TXN615" s="294"/>
      <c r="TXO615" s="294"/>
      <c r="TXP615" s="294"/>
      <c r="TXQ615" s="294"/>
      <c r="TXR615" s="294"/>
      <c r="TXS615" s="294"/>
      <c r="TXT615" s="294"/>
      <c r="TXU615" s="294"/>
      <c r="TXV615" s="294"/>
      <c r="TXW615" s="294"/>
      <c r="TXX615" s="294"/>
      <c r="TXY615" s="294"/>
      <c r="TXZ615" s="294"/>
      <c r="TYA615" s="294"/>
      <c r="TYB615" s="294"/>
      <c r="TYC615" s="294"/>
      <c r="TYD615" s="294"/>
      <c r="TYE615" s="294"/>
      <c r="TYF615" s="294"/>
      <c r="TYG615" s="294"/>
      <c r="TYH615" s="294"/>
      <c r="TYI615" s="294"/>
      <c r="TYJ615" s="294"/>
      <c r="TYK615" s="294"/>
      <c r="TYL615" s="294"/>
      <c r="TYM615" s="294"/>
      <c r="TYN615" s="294"/>
      <c r="TYO615" s="294"/>
      <c r="TYP615" s="294"/>
      <c r="TYQ615" s="294"/>
      <c r="TYR615" s="294"/>
      <c r="TYS615" s="294"/>
      <c r="TYT615" s="294"/>
      <c r="TYU615" s="294"/>
      <c r="TYV615" s="294"/>
      <c r="TYW615" s="294"/>
      <c r="TYX615" s="294"/>
      <c r="TYY615" s="294"/>
      <c r="TYZ615" s="294"/>
      <c r="TZA615" s="294"/>
      <c r="TZB615" s="294"/>
      <c r="TZC615" s="294"/>
      <c r="TZD615" s="294"/>
      <c r="TZE615" s="294"/>
      <c r="TZF615" s="294"/>
      <c r="TZG615" s="294"/>
      <c r="TZH615" s="294"/>
      <c r="TZI615" s="294"/>
      <c r="TZJ615" s="294"/>
      <c r="TZK615" s="294"/>
      <c r="TZL615" s="294"/>
      <c r="TZM615" s="294"/>
      <c r="TZN615" s="294"/>
      <c r="TZO615" s="294"/>
      <c r="TZP615" s="294"/>
      <c r="TZQ615" s="294"/>
      <c r="TZR615" s="294"/>
      <c r="TZS615" s="294"/>
      <c r="TZT615" s="294"/>
      <c r="TZU615" s="294"/>
      <c r="TZV615" s="294"/>
      <c r="TZW615" s="294"/>
      <c r="TZX615" s="294"/>
      <c r="TZY615" s="294"/>
      <c r="TZZ615" s="294"/>
      <c r="UAA615" s="294"/>
      <c r="UAB615" s="294"/>
      <c r="UAC615" s="294"/>
      <c r="UAD615" s="294"/>
      <c r="UAE615" s="294"/>
      <c r="UAF615" s="294"/>
      <c r="UAG615" s="294"/>
      <c r="UAH615" s="294"/>
      <c r="UAI615" s="294"/>
      <c r="UAJ615" s="294"/>
      <c r="UAK615" s="294"/>
      <c r="UAL615" s="294"/>
      <c r="UAM615" s="294"/>
      <c r="UAN615" s="294"/>
      <c r="UAO615" s="294"/>
      <c r="UAP615" s="294"/>
      <c r="UAQ615" s="294"/>
      <c r="UAR615" s="294"/>
      <c r="UAS615" s="294"/>
      <c r="UAT615" s="294"/>
      <c r="UAU615" s="294"/>
      <c r="UAV615" s="294"/>
      <c r="UAW615" s="294"/>
      <c r="UAX615" s="294"/>
      <c r="UAY615" s="294"/>
      <c r="UAZ615" s="294"/>
      <c r="UBA615" s="294"/>
      <c r="UBB615" s="294"/>
      <c r="UBC615" s="294"/>
      <c r="UBD615" s="294"/>
      <c r="UBE615" s="294"/>
      <c r="UBF615" s="294"/>
      <c r="UBG615" s="294"/>
      <c r="UBH615" s="294"/>
      <c r="UBI615" s="294"/>
      <c r="UBJ615" s="294"/>
      <c r="UBK615" s="294"/>
      <c r="UBL615" s="294"/>
      <c r="UBM615" s="294"/>
      <c r="UBN615" s="294"/>
      <c r="UBO615" s="294"/>
      <c r="UBP615" s="294"/>
      <c r="UBQ615" s="294"/>
      <c r="UBR615" s="294"/>
      <c r="UBS615" s="294"/>
      <c r="UBT615" s="294"/>
      <c r="UBU615" s="294"/>
      <c r="UBV615" s="294"/>
      <c r="UBW615" s="294"/>
      <c r="UBX615" s="294"/>
      <c r="UBY615" s="294"/>
      <c r="UBZ615" s="294"/>
      <c r="UCA615" s="294"/>
      <c r="UCB615" s="294"/>
      <c r="UCC615" s="294"/>
      <c r="UCD615" s="294"/>
      <c r="UCE615" s="294"/>
      <c r="UCF615" s="294"/>
      <c r="UCG615" s="294"/>
      <c r="UCH615" s="294"/>
      <c r="UCI615" s="294"/>
      <c r="UCJ615" s="294"/>
      <c r="UCK615" s="294"/>
      <c r="UCL615" s="294"/>
      <c r="UCM615" s="294"/>
      <c r="UCN615" s="294"/>
      <c r="UCO615" s="294"/>
      <c r="UCP615" s="294"/>
      <c r="UCQ615" s="294"/>
      <c r="UCR615" s="294"/>
      <c r="UCS615" s="294"/>
      <c r="UCT615" s="294"/>
      <c r="UCU615" s="294"/>
      <c r="UCV615" s="294"/>
      <c r="UCW615" s="294"/>
      <c r="UCX615" s="294"/>
      <c r="UCY615" s="294"/>
      <c r="UCZ615" s="294"/>
      <c r="UDA615" s="294"/>
      <c r="UDB615" s="294"/>
      <c r="UDC615" s="294"/>
      <c r="UDD615" s="294"/>
      <c r="UDE615" s="294"/>
      <c r="UDF615" s="294"/>
      <c r="UDG615" s="294"/>
      <c r="UDH615" s="294"/>
      <c r="UDI615" s="294"/>
      <c r="UDJ615" s="294"/>
      <c r="UDK615" s="294"/>
      <c r="UDL615" s="294"/>
      <c r="UDM615" s="294"/>
      <c r="UDN615" s="294"/>
      <c r="UDO615" s="294"/>
      <c r="UDP615" s="294"/>
      <c r="UDQ615" s="294"/>
      <c r="UDR615" s="294"/>
      <c r="UDS615" s="294"/>
      <c r="UDT615" s="294"/>
      <c r="UDU615" s="294"/>
      <c r="UDV615" s="294"/>
      <c r="UDW615" s="294"/>
      <c r="UDX615" s="294"/>
      <c r="UDY615" s="294"/>
      <c r="UDZ615" s="294"/>
      <c r="UEA615" s="294"/>
      <c r="UEB615" s="294"/>
      <c r="UEC615" s="294"/>
      <c r="UED615" s="294"/>
      <c r="UEE615" s="294"/>
      <c r="UEF615" s="294"/>
      <c r="UEG615" s="294"/>
      <c r="UEH615" s="294"/>
      <c r="UEI615" s="294"/>
      <c r="UEJ615" s="294"/>
      <c r="UEK615" s="294"/>
      <c r="UEL615" s="294"/>
      <c r="UEM615" s="294"/>
      <c r="UEN615" s="294"/>
      <c r="UEO615" s="294"/>
      <c r="UEP615" s="294"/>
      <c r="UEQ615" s="294"/>
      <c r="UER615" s="294"/>
      <c r="UES615" s="294"/>
      <c r="UET615" s="294"/>
      <c r="UEU615" s="294"/>
      <c r="UEV615" s="294"/>
      <c r="UEW615" s="294"/>
      <c r="UEX615" s="294"/>
      <c r="UEY615" s="294"/>
      <c r="UEZ615" s="294"/>
      <c r="UFA615" s="294"/>
      <c r="UFB615" s="294"/>
      <c r="UFC615" s="294"/>
      <c r="UFD615" s="294"/>
      <c r="UFE615" s="294"/>
      <c r="UFF615" s="294"/>
      <c r="UFG615" s="294"/>
      <c r="UFH615" s="294"/>
      <c r="UFI615" s="294"/>
      <c r="UFJ615" s="294"/>
      <c r="UFK615" s="294"/>
      <c r="UFL615" s="294"/>
      <c r="UFM615" s="294"/>
      <c r="UFN615" s="294"/>
      <c r="UFO615" s="294"/>
      <c r="UFP615" s="294"/>
      <c r="UFQ615" s="294"/>
      <c r="UFR615" s="294"/>
      <c r="UFS615" s="294"/>
      <c r="UFT615" s="294"/>
      <c r="UFU615" s="294"/>
      <c r="UFV615" s="294"/>
      <c r="UFW615" s="294"/>
      <c r="UFX615" s="294"/>
      <c r="UFY615" s="294"/>
      <c r="UFZ615" s="294"/>
      <c r="UGA615" s="294"/>
      <c r="UGB615" s="294"/>
      <c r="UGC615" s="294"/>
      <c r="UGD615" s="294"/>
      <c r="UGE615" s="294"/>
      <c r="UGF615" s="294"/>
      <c r="UGG615" s="294"/>
      <c r="UGH615" s="294"/>
      <c r="UGI615" s="294"/>
      <c r="UGJ615" s="294"/>
      <c r="UGK615" s="294"/>
      <c r="UGL615" s="294"/>
      <c r="UGM615" s="294"/>
      <c r="UGN615" s="294"/>
      <c r="UGO615" s="294"/>
      <c r="UGP615" s="294"/>
      <c r="UGQ615" s="294"/>
      <c r="UGR615" s="294"/>
      <c r="UGS615" s="294"/>
      <c r="UGT615" s="294"/>
      <c r="UGU615" s="294"/>
      <c r="UGV615" s="294"/>
      <c r="UGW615" s="294"/>
      <c r="UGX615" s="294"/>
      <c r="UGY615" s="294"/>
      <c r="UGZ615" s="294"/>
      <c r="UHA615" s="294"/>
      <c r="UHB615" s="294"/>
      <c r="UHC615" s="294"/>
      <c r="UHD615" s="294"/>
      <c r="UHE615" s="294"/>
      <c r="UHF615" s="294"/>
      <c r="UHG615" s="294"/>
      <c r="UHH615" s="294"/>
      <c r="UHI615" s="294"/>
      <c r="UHJ615" s="294"/>
      <c r="UHK615" s="294"/>
      <c r="UHL615" s="294"/>
      <c r="UHM615" s="294"/>
      <c r="UHN615" s="294"/>
      <c r="UHO615" s="294"/>
      <c r="UHP615" s="294"/>
      <c r="UHQ615" s="294"/>
      <c r="UHR615" s="294"/>
      <c r="UHS615" s="294"/>
      <c r="UHT615" s="294"/>
      <c r="UHU615" s="294"/>
      <c r="UHV615" s="294"/>
      <c r="UHW615" s="294"/>
      <c r="UHX615" s="294"/>
      <c r="UHY615" s="294"/>
      <c r="UHZ615" s="294"/>
      <c r="UIA615" s="294"/>
      <c r="UIB615" s="294"/>
      <c r="UIC615" s="294"/>
      <c r="UID615" s="294"/>
      <c r="UIE615" s="294"/>
      <c r="UIF615" s="294"/>
      <c r="UIG615" s="294"/>
      <c r="UIH615" s="294"/>
      <c r="UII615" s="294"/>
      <c r="UIJ615" s="294"/>
      <c r="UIK615" s="294"/>
      <c r="UIL615" s="294"/>
      <c r="UIM615" s="294"/>
      <c r="UIN615" s="294"/>
      <c r="UIO615" s="294"/>
      <c r="UIP615" s="294"/>
      <c r="UIQ615" s="294"/>
      <c r="UIR615" s="294"/>
      <c r="UIS615" s="294"/>
      <c r="UIT615" s="294"/>
      <c r="UIU615" s="294"/>
      <c r="UIV615" s="294"/>
      <c r="UIW615" s="294"/>
      <c r="UIX615" s="294"/>
      <c r="UIY615" s="294"/>
      <c r="UIZ615" s="294"/>
      <c r="UJA615" s="294"/>
      <c r="UJB615" s="294"/>
      <c r="UJC615" s="294"/>
      <c r="UJD615" s="294"/>
      <c r="UJE615" s="294"/>
      <c r="UJF615" s="294"/>
      <c r="UJG615" s="294"/>
      <c r="UJH615" s="294"/>
      <c r="UJI615" s="294"/>
      <c r="UJJ615" s="294"/>
      <c r="UJK615" s="294"/>
      <c r="UJL615" s="294"/>
      <c r="UJM615" s="294"/>
      <c r="UJN615" s="294"/>
      <c r="UJO615" s="294"/>
      <c r="UJP615" s="294"/>
      <c r="UJQ615" s="294"/>
      <c r="UJR615" s="294"/>
      <c r="UJS615" s="294"/>
      <c r="UJT615" s="294"/>
      <c r="UJU615" s="294"/>
      <c r="UJV615" s="294"/>
      <c r="UJW615" s="294"/>
      <c r="UJX615" s="294"/>
      <c r="UJY615" s="294"/>
      <c r="UJZ615" s="294"/>
      <c r="UKA615" s="294"/>
      <c r="UKB615" s="294"/>
      <c r="UKC615" s="294"/>
      <c r="UKD615" s="294"/>
      <c r="UKE615" s="294"/>
      <c r="UKF615" s="294"/>
      <c r="UKG615" s="294"/>
      <c r="UKH615" s="294"/>
      <c r="UKI615" s="294"/>
      <c r="UKJ615" s="294"/>
      <c r="UKK615" s="294"/>
      <c r="UKL615" s="294"/>
      <c r="UKM615" s="294"/>
      <c r="UKN615" s="294"/>
      <c r="UKO615" s="294"/>
      <c r="UKP615" s="294"/>
      <c r="UKQ615" s="294"/>
      <c r="UKR615" s="294"/>
      <c r="UKS615" s="294"/>
      <c r="UKT615" s="294"/>
      <c r="UKU615" s="294"/>
      <c r="UKV615" s="294"/>
      <c r="UKW615" s="294"/>
      <c r="UKX615" s="294"/>
      <c r="UKY615" s="294"/>
      <c r="UKZ615" s="294"/>
      <c r="ULA615" s="294"/>
      <c r="ULB615" s="294"/>
      <c r="ULC615" s="294"/>
      <c r="ULD615" s="294"/>
      <c r="ULE615" s="294"/>
      <c r="ULF615" s="294"/>
      <c r="ULG615" s="294"/>
      <c r="ULH615" s="294"/>
      <c r="ULI615" s="294"/>
      <c r="ULJ615" s="294"/>
      <c r="ULK615" s="294"/>
      <c r="ULL615" s="294"/>
      <c r="ULM615" s="294"/>
      <c r="ULN615" s="294"/>
      <c r="ULO615" s="294"/>
      <c r="ULP615" s="294"/>
      <c r="ULQ615" s="294"/>
      <c r="ULR615" s="294"/>
      <c r="ULS615" s="294"/>
      <c r="ULT615" s="294"/>
      <c r="ULU615" s="294"/>
      <c r="ULV615" s="294"/>
      <c r="ULW615" s="294"/>
      <c r="ULX615" s="294"/>
      <c r="ULY615" s="294"/>
      <c r="ULZ615" s="294"/>
      <c r="UMA615" s="294"/>
      <c r="UMB615" s="294"/>
      <c r="UMC615" s="294"/>
      <c r="UMD615" s="294"/>
      <c r="UME615" s="294"/>
      <c r="UMF615" s="294"/>
      <c r="UMG615" s="294"/>
      <c r="UMH615" s="294"/>
      <c r="UMI615" s="294"/>
      <c r="UMJ615" s="294"/>
      <c r="UMK615" s="294"/>
      <c r="UML615" s="294"/>
      <c r="UMM615" s="294"/>
      <c r="UMN615" s="294"/>
      <c r="UMO615" s="294"/>
      <c r="UMP615" s="294"/>
      <c r="UMQ615" s="294"/>
      <c r="UMR615" s="294"/>
      <c r="UMS615" s="294"/>
      <c r="UMT615" s="294"/>
      <c r="UMU615" s="294"/>
      <c r="UMV615" s="294"/>
      <c r="UMW615" s="294"/>
      <c r="UMX615" s="294"/>
      <c r="UMY615" s="294"/>
      <c r="UMZ615" s="294"/>
      <c r="UNA615" s="294"/>
      <c r="UNB615" s="294"/>
      <c r="UNC615" s="294"/>
      <c r="UND615" s="294"/>
      <c r="UNE615" s="294"/>
      <c r="UNF615" s="294"/>
      <c r="UNG615" s="294"/>
      <c r="UNH615" s="294"/>
      <c r="UNI615" s="294"/>
      <c r="UNJ615" s="294"/>
      <c r="UNK615" s="294"/>
      <c r="UNL615" s="294"/>
      <c r="UNM615" s="294"/>
      <c r="UNN615" s="294"/>
      <c r="UNO615" s="294"/>
      <c r="UNP615" s="294"/>
      <c r="UNQ615" s="294"/>
      <c r="UNR615" s="294"/>
      <c r="UNS615" s="294"/>
      <c r="UNT615" s="294"/>
      <c r="UNU615" s="294"/>
      <c r="UNV615" s="294"/>
      <c r="UNW615" s="294"/>
      <c r="UNX615" s="294"/>
      <c r="UNY615" s="294"/>
      <c r="UNZ615" s="294"/>
      <c r="UOA615" s="294"/>
      <c r="UOB615" s="294"/>
      <c r="UOC615" s="294"/>
      <c r="UOD615" s="294"/>
      <c r="UOE615" s="294"/>
      <c r="UOF615" s="294"/>
      <c r="UOG615" s="294"/>
      <c r="UOH615" s="294"/>
      <c r="UOI615" s="294"/>
      <c r="UOJ615" s="294"/>
      <c r="UOK615" s="294"/>
      <c r="UOL615" s="294"/>
      <c r="UOM615" s="294"/>
      <c r="UON615" s="294"/>
      <c r="UOO615" s="294"/>
      <c r="UOP615" s="294"/>
      <c r="UOQ615" s="294"/>
      <c r="UOR615" s="294"/>
      <c r="UOS615" s="294"/>
      <c r="UOT615" s="294"/>
      <c r="UOU615" s="294"/>
      <c r="UOV615" s="294"/>
      <c r="UOW615" s="294"/>
      <c r="UOX615" s="294"/>
      <c r="UOY615" s="294"/>
      <c r="UOZ615" s="294"/>
      <c r="UPA615" s="294"/>
      <c r="UPB615" s="294"/>
      <c r="UPC615" s="294"/>
      <c r="UPD615" s="294"/>
      <c r="UPE615" s="294"/>
      <c r="UPF615" s="294"/>
      <c r="UPG615" s="294"/>
      <c r="UPH615" s="294"/>
      <c r="UPI615" s="294"/>
      <c r="UPJ615" s="294"/>
      <c r="UPK615" s="294"/>
      <c r="UPL615" s="294"/>
      <c r="UPM615" s="294"/>
      <c r="UPN615" s="294"/>
      <c r="UPO615" s="294"/>
      <c r="UPP615" s="294"/>
      <c r="UPQ615" s="294"/>
      <c r="UPR615" s="294"/>
      <c r="UPS615" s="294"/>
      <c r="UPT615" s="294"/>
      <c r="UPU615" s="294"/>
      <c r="UPV615" s="294"/>
      <c r="UPW615" s="294"/>
      <c r="UPX615" s="294"/>
      <c r="UPY615" s="294"/>
      <c r="UPZ615" s="294"/>
      <c r="UQA615" s="294"/>
      <c r="UQB615" s="294"/>
      <c r="UQC615" s="294"/>
      <c r="UQD615" s="294"/>
      <c r="UQE615" s="294"/>
      <c r="UQF615" s="294"/>
      <c r="UQG615" s="294"/>
      <c r="UQH615" s="294"/>
      <c r="UQI615" s="294"/>
      <c r="UQJ615" s="294"/>
      <c r="UQK615" s="294"/>
      <c r="UQL615" s="294"/>
      <c r="UQM615" s="294"/>
      <c r="UQN615" s="294"/>
      <c r="UQO615" s="294"/>
      <c r="UQP615" s="294"/>
      <c r="UQQ615" s="294"/>
      <c r="UQR615" s="294"/>
      <c r="UQS615" s="294"/>
      <c r="UQT615" s="294"/>
      <c r="UQU615" s="294"/>
      <c r="UQV615" s="294"/>
      <c r="UQW615" s="294"/>
      <c r="UQX615" s="294"/>
      <c r="UQY615" s="294"/>
      <c r="UQZ615" s="294"/>
      <c r="URA615" s="294"/>
      <c r="URB615" s="294"/>
      <c r="URC615" s="294"/>
      <c r="URD615" s="294"/>
      <c r="URE615" s="294"/>
      <c r="URF615" s="294"/>
      <c r="URG615" s="294"/>
      <c r="URH615" s="294"/>
      <c r="URI615" s="294"/>
      <c r="URJ615" s="294"/>
      <c r="URK615" s="294"/>
      <c r="URL615" s="294"/>
      <c r="URM615" s="294"/>
      <c r="URN615" s="294"/>
      <c r="URO615" s="294"/>
      <c r="URP615" s="294"/>
      <c r="URQ615" s="294"/>
      <c r="URR615" s="294"/>
      <c r="URS615" s="294"/>
      <c r="URT615" s="294"/>
      <c r="URU615" s="294"/>
      <c r="URV615" s="294"/>
      <c r="URW615" s="294"/>
      <c r="URX615" s="294"/>
      <c r="URY615" s="294"/>
      <c r="URZ615" s="294"/>
      <c r="USA615" s="294"/>
      <c r="USB615" s="294"/>
      <c r="USC615" s="294"/>
      <c r="USD615" s="294"/>
      <c r="USE615" s="294"/>
      <c r="USF615" s="294"/>
      <c r="USG615" s="294"/>
      <c r="USH615" s="294"/>
      <c r="USI615" s="294"/>
      <c r="USJ615" s="294"/>
      <c r="USK615" s="294"/>
      <c r="USL615" s="294"/>
      <c r="USM615" s="294"/>
      <c r="USN615" s="294"/>
      <c r="USO615" s="294"/>
      <c r="USP615" s="294"/>
      <c r="USQ615" s="294"/>
      <c r="USR615" s="294"/>
      <c r="USS615" s="294"/>
      <c r="UST615" s="294"/>
      <c r="USU615" s="294"/>
      <c r="USV615" s="294"/>
      <c r="USW615" s="294"/>
      <c r="USX615" s="294"/>
      <c r="USY615" s="294"/>
      <c r="USZ615" s="294"/>
      <c r="UTA615" s="294"/>
      <c r="UTB615" s="294"/>
      <c r="UTC615" s="294"/>
      <c r="UTD615" s="294"/>
      <c r="UTE615" s="294"/>
      <c r="UTF615" s="294"/>
      <c r="UTG615" s="294"/>
      <c r="UTH615" s="294"/>
      <c r="UTI615" s="294"/>
      <c r="UTJ615" s="294"/>
      <c r="UTK615" s="294"/>
      <c r="UTL615" s="294"/>
      <c r="UTM615" s="294"/>
      <c r="UTN615" s="294"/>
      <c r="UTO615" s="294"/>
      <c r="UTP615" s="294"/>
      <c r="UTQ615" s="294"/>
      <c r="UTR615" s="294"/>
      <c r="UTS615" s="294"/>
      <c r="UTT615" s="294"/>
      <c r="UTU615" s="294"/>
      <c r="UTV615" s="294"/>
      <c r="UTW615" s="294"/>
      <c r="UTX615" s="294"/>
      <c r="UTY615" s="294"/>
      <c r="UTZ615" s="294"/>
      <c r="UUA615" s="294"/>
      <c r="UUB615" s="294"/>
      <c r="UUC615" s="294"/>
      <c r="UUD615" s="294"/>
      <c r="UUE615" s="294"/>
      <c r="UUF615" s="294"/>
      <c r="UUG615" s="294"/>
      <c r="UUH615" s="294"/>
      <c r="UUI615" s="294"/>
      <c r="UUJ615" s="294"/>
      <c r="UUK615" s="294"/>
      <c r="UUL615" s="294"/>
      <c r="UUM615" s="294"/>
      <c r="UUN615" s="294"/>
      <c r="UUO615" s="294"/>
      <c r="UUP615" s="294"/>
      <c r="UUQ615" s="294"/>
      <c r="UUR615" s="294"/>
      <c r="UUS615" s="294"/>
      <c r="UUT615" s="294"/>
      <c r="UUU615" s="294"/>
      <c r="UUV615" s="294"/>
      <c r="UUW615" s="294"/>
      <c r="UUX615" s="294"/>
      <c r="UUY615" s="294"/>
      <c r="UUZ615" s="294"/>
      <c r="UVA615" s="294"/>
      <c r="UVB615" s="294"/>
      <c r="UVC615" s="294"/>
      <c r="UVD615" s="294"/>
      <c r="UVE615" s="294"/>
      <c r="UVF615" s="294"/>
      <c r="UVG615" s="294"/>
      <c r="UVH615" s="294"/>
      <c r="UVI615" s="294"/>
      <c r="UVJ615" s="294"/>
      <c r="UVK615" s="294"/>
      <c r="UVL615" s="294"/>
      <c r="UVM615" s="294"/>
      <c r="UVN615" s="294"/>
      <c r="UVO615" s="294"/>
      <c r="UVP615" s="294"/>
      <c r="UVQ615" s="294"/>
      <c r="UVR615" s="294"/>
      <c r="UVS615" s="294"/>
      <c r="UVT615" s="294"/>
      <c r="UVU615" s="294"/>
      <c r="UVV615" s="294"/>
      <c r="UVW615" s="294"/>
      <c r="UVX615" s="294"/>
      <c r="UVY615" s="294"/>
      <c r="UVZ615" s="294"/>
      <c r="UWA615" s="294"/>
      <c r="UWB615" s="294"/>
      <c r="UWC615" s="294"/>
      <c r="UWD615" s="294"/>
      <c r="UWE615" s="294"/>
      <c r="UWF615" s="294"/>
      <c r="UWG615" s="294"/>
      <c r="UWH615" s="294"/>
      <c r="UWI615" s="294"/>
      <c r="UWJ615" s="294"/>
      <c r="UWK615" s="294"/>
      <c r="UWL615" s="294"/>
      <c r="UWM615" s="294"/>
      <c r="UWN615" s="294"/>
      <c r="UWO615" s="294"/>
      <c r="UWP615" s="294"/>
      <c r="UWQ615" s="294"/>
      <c r="UWR615" s="294"/>
      <c r="UWS615" s="294"/>
      <c r="UWT615" s="294"/>
      <c r="UWU615" s="294"/>
      <c r="UWV615" s="294"/>
      <c r="UWW615" s="294"/>
      <c r="UWX615" s="294"/>
      <c r="UWY615" s="294"/>
      <c r="UWZ615" s="294"/>
      <c r="UXA615" s="294"/>
      <c r="UXB615" s="294"/>
      <c r="UXC615" s="294"/>
      <c r="UXD615" s="294"/>
      <c r="UXE615" s="294"/>
      <c r="UXF615" s="294"/>
      <c r="UXG615" s="294"/>
      <c r="UXH615" s="294"/>
      <c r="UXI615" s="294"/>
      <c r="UXJ615" s="294"/>
      <c r="UXK615" s="294"/>
      <c r="UXL615" s="294"/>
      <c r="UXM615" s="294"/>
      <c r="UXN615" s="294"/>
      <c r="UXO615" s="294"/>
      <c r="UXP615" s="294"/>
      <c r="UXQ615" s="294"/>
      <c r="UXR615" s="294"/>
      <c r="UXS615" s="294"/>
      <c r="UXT615" s="294"/>
      <c r="UXU615" s="294"/>
      <c r="UXV615" s="294"/>
      <c r="UXW615" s="294"/>
      <c r="UXX615" s="294"/>
      <c r="UXY615" s="294"/>
      <c r="UXZ615" s="294"/>
      <c r="UYA615" s="294"/>
      <c r="UYB615" s="294"/>
      <c r="UYC615" s="294"/>
      <c r="UYD615" s="294"/>
      <c r="UYE615" s="294"/>
      <c r="UYF615" s="294"/>
      <c r="UYG615" s="294"/>
      <c r="UYH615" s="294"/>
      <c r="UYI615" s="294"/>
      <c r="UYJ615" s="294"/>
      <c r="UYK615" s="294"/>
      <c r="UYL615" s="294"/>
      <c r="UYM615" s="294"/>
      <c r="UYN615" s="294"/>
      <c r="UYO615" s="294"/>
      <c r="UYP615" s="294"/>
      <c r="UYQ615" s="294"/>
      <c r="UYR615" s="294"/>
      <c r="UYS615" s="294"/>
      <c r="UYT615" s="294"/>
      <c r="UYU615" s="294"/>
      <c r="UYV615" s="294"/>
      <c r="UYW615" s="294"/>
      <c r="UYX615" s="294"/>
      <c r="UYY615" s="294"/>
      <c r="UYZ615" s="294"/>
      <c r="UZA615" s="294"/>
      <c r="UZB615" s="294"/>
      <c r="UZC615" s="294"/>
      <c r="UZD615" s="294"/>
      <c r="UZE615" s="294"/>
      <c r="UZF615" s="294"/>
      <c r="UZG615" s="294"/>
      <c r="UZH615" s="294"/>
      <c r="UZI615" s="294"/>
      <c r="UZJ615" s="294"/>
      <c r="UZK615" s="294"/>
      <c r="UZL615" s="294"/>
      <c r="UZM615" s="294"/>
      <c r="UZN615" s="294"/>
      <c r="UZO615" s="294"/>
      <c r="UZP615" s="294"/>
      <c r="UZQ615" s="294"/>
      <c r="UZR615" s="294"/>
      <c r="UZS615" s="294"/>
      <c r="UZT615" s="294"/>
      <c r="UZU615" s="294"/>
      <c r="UZV615" s="294"/>
      <c r="UZW615" s="294"/>
      <c r="UZX615" s="294"/>
      <c r="UZY615" s="294"/>
      <c r="UZZ615" s="294"/>
      <c r="VAA615" s="294"/>
      <c r="VAB615" s="294"/>
      <c r="VAC615" s="294"/>
      <c r="VAD615" s="294"/>
      <c r="VAE615" s="294"/>
      <c r="VAF615" s="294"/>
      <c r="VAG615" s="294"/>
      <c r="VAH615" s="294"/>
      <c r="VAI615" s="294"/>
      <c r="VAJ615" s="294"/>
      <c r="VAK615" s="294"/>
      <c r="VAL615" s="294"/>
      <c r="VAM615" s="294"/>
      <c r="VAN615" s="294"/>
      <c r="VAO615" s="294"/>
      <c r="VAP615" s="294"/>
      <c r="VAQ615" s="294"/>
      <c r="VAR615" s="294"/>
      <c r="VAS615" s="294"/>
      <c r="VAT615" s="294"/>
      <c r="VAU615" s="294"/>
      <c r="VAV615" s="294"/>
      <c r="VAW615" s="294"/>
      <c r="VAX615" s="294"/>
      <c r="VAY615" s="294"/>
      <c r="VAZ615" s="294"/>
      <c r="VBA615" s="294"/>
      <c r="VBB615" s="294"/>
      <c r="VBC615" s="294"/>
      <c r="VBD615" s="294"/>
      <c r="VBE615" s="294"/>
      <c r="VBF615" s="294"/>
      <c r="VBG615" s="294"/>
      <c r="VBH615" s="294"/>
      <c r="VBI615" s="294"/>
      <c r="VBJ615" s="294"/>
      <c r="VBK615" s="294"/>
      <c r="VBL615" s="294"/>
      <c r="VBM615" s="294"/>
      <c r="VBN615" s="294"/>
      <c r="VBO615" s="294"/>
      <c r="VBP615" s="294"/>
      <c r="VBQ615" s="294"/>
      <c r="VBR615" s="294"/>
      <c r="VBS615" s="294"/>
      <c r="VBT615" s="294"/>
      <c r="VBU615" s="294"/>
      <c r="VBV615" s="294"/>
      <c r="VBW615" s="294"/>
      <c r="VBX615" s="294"/>
      <c r="VBY615" s="294"/>
      <c r="VBZ615" s="294"/>
      <c r="VCA615" s="294"/>
      <c r="VCB615" s="294"/>
      <c r="VCC615" s="294"/>
      <c r="VCD615" s="294"/>
      <c r="VCE615" s="294"/>
      <c r="VCF615" s="294"/>
      <c r="VCG615" s="294"/>
      <c r="VCH615" s="294"/>
      <c r="VCI615" s="294"/>
      <c r="VCJ615" s="294"/>
      <c r="VCK615" s="294"/>
      <c r="VCL615" s="294"/>
      <c r="VCM615" s="294"/>
      <c r="VCN615" s="294"/>
      <c r="VCO615" s="294"/>
      <c r="VCP615" s="294"/>
      <c r="VCQ615" s="294"/>
      <c r="VCR615" s="294"/>
      <c r="VCS615" s="294"/>
      <c r="VCT615" s="294"/>
      <c r="VCU615" s="294"/>
      <c r="VCV615" s="294"/>
      <c r="VCW615" s="294"/>
      <c r="VCX615" s="294"/>
      <c r="VCY615" s="294"/>
      <c r="VCZ615" s="294"/>
      <c r="VDA615" s="294"/>
      <c r="VDB615" s="294"/>
      <c r="VDC615" s="294"/>
      <c r="VDD615" s="294"/>
      <c r="VDE615" s="294"/>
      <c r="VDF615" s="294"/>
      <c r="VDG615" s="294"/>
      <c r="VDH615" s="294"/>
      <c r="VDI615" s="294"/>
      <c r="VDJ615" s="294"/>
      <c r="VDK615" s="294"/>
      <c r="VDL615" s="294"/>
      <c r="VDM615" s="294"/>
      <c r="VDN615" s="294"/>
      <c r="VDO615" s="294"/>
      <c r="VDP615" s="294"/>
      <c r="VDQ615" s="294"/>
      <c r="VDR615" s="294"/>
      <c r="VDS615" s="294"/>
      <c r="VDT615" s="294"/>
      <c r="VDU615" s="294"/>
      <c r="VDV615" s="294"/>
      <c r="VDW615" s="294"/>
      <c r="VDX615" s="294"/>
      <c r="VDY615" s="294"/>
      <c r="VDZ615" s="294"/>
      <c r="VEA615" s="294"/>
      <c r="VEB615" s="294"/>
      <c r="VEC615" s="294"/>
      <c r="VED615" s="294"/>
      <c r="VEE615" s="294"/>
      <c r="VEF615" s="294"/>
      <c r="VEG615" s="294"/>
      <c r="VEH615" s="294"/>
      <c r="VEI615" s="294"/>
      <c r="VEJ615" s="294"/>
      <c r="VEK615" s="294"/>
      <c r="VEL615" s="294"/>
      <c r="VEM615" s="294"/>
      <c r="VEN615" s="294"/>
      <c r="VEO615" s="294"/>
      <c r="VEP615" s="294"/>
      <c r="VEQ615" s="294"/>
      <c r="VER615" s="294"/>
      <c r="VES615" s="294"/>
      <c r="VET615" s="294"/>
      <c r="VEU615" s="294"/>
      <c r="VEV615" s="294"/>
      <c r="VEW615" s="294"/>
      <c r="VEX615" s="294"/>
      <c r="VEY615" s="294"/>
      <c r="VEZ615" s="294"/>
      <c r="VFA615" s="294"/>
      <c r="VFB615" s="294"/>
      <c r="VFC615" s="294"/>
      <c r="VFD615" s="294"/>
      <c r="VFE615" s="294"/>
      <c r="VFF615" s="294"/>
      <c r="VFG615" s="294"/>
      <c r="VFH615" s="294"/>
      <c r="VFI615" s="294"/>
      <c r="VFJ615" s="294"/>
      <c r="VFK615" s="294"/>
      <c r="VFL615" s="294"/>
      <c r="VFM615" s="294"/>
      <c r="VFN615" s="294"/>
      <c r="VFO615" s="294"/>
      <c r="VFP615" s="294"/>
      <c r="VFQ615" s="294"/>
      <c r="VFR615" s="294"/>
      <c r="VFS615" s="294"/>
      <c r="VFT615" s="294"/>
      <c r="VFU615" s="294"/>
      <c r="VFV615" s="294"/>
      <c r="VFW615" s="294"/>
      <c r="VFX615" s="294"/>
      <c r="VFY615" s="294"/>
      <c r="VFZ615" s="294"/>
      <c r="VGA615" s="294"/>
      <c r="VGB615" s="294"/>
      <c r="VGC615" s="294"/>
      <c r="VGD615" s="294"/>
      <c r="VGE615" s="294"/>
      <c r="VGF615" s="294"/>
      <c r="VGG615" s="294"/>
      <c r="VGH615" s="294"/>
      <c r="VGI615" s="294"/>
      <c r="VGJ615" s="294"/>
      <c r="VGK615" s="294"/>
      <c r="VGL615" s="294"/>
      <c r="VGM615" s="294"/>
      <c r="VGN615" s="294"/>
      <c r="VGO615" s="294"/>
      <c r="VGP615" s="294"/>
      <c r="VGQ615" s="294"/>
      <c r="VGR615" s="294"/>
      <c r="VGS615" s="294"/>
      <c r="VGT615" s="294"/>
      <c r="VGU615" s="294"/>
      <c r="VGV615" s="294"/>
      <c r="VGW615" s="294"/>
      <c r="VGX615" s="294"/>
      <c r="VGY615" s="294"/>
      <c r="VGZ615" s="294"/>
      <c r="VHA615" s="294"/>
      <c r="VHB615" s="294"/>
      <c r="VHC615" s="294"/>
      <c r="VHD615" s="294"/>
      <c r="VHE615" s="294"/>
      <c r="VHF615" s="294"/>
      <c r="VHG615" s="294"/>
      <c r="VHH615" s="294"/>
      <c r="VHI615" s="294"/>
      <c r="VHJ615" s="294"/>
      <c r="VHK615" s="294"/>
      <c r="VHL615" s="294"/>
      <c r="VHM615" s="294"/>
      <c r="VHN615" s="294"/>
      <c r="VHO615" s="294"/>
      <c r="VHP615" s="294"/>
      <c r="VHQ615" s="294"/>
      <c r="VHR615" s="294"/>
      <c r="VHS615" s="294"/>
      <c r="VHT615" s="294"/>
      <c r="VHU615" s="294"/>
      <c r="VHV615" s="294"/>
      <c r="VHW615" s="294"/>
      <c r="VHX615" s="294"/>
      <c r="VHY615" s="294"/>
      <c r="VHZ615" s="294"/>
      <c r="VIA615" s="294"/>
      <c r="VIB615" s="294"/>
      <c r="VIC615" s="294"/>
      <c r="VID615" s="294"/>
      <c r="VIE615" s="294"/>
      <c r="VIF615" s="294"/>
      <c r="VIG615" s="294"/>
      <c r="VIH615" s="294"/>
      <c r="VII615" s="294"/>
      <c r="VIJ615" s="294"/>
      <c r="VIK615" s="294"/>
      <c r="VIL615" s="294"/>
      <c r="VIM615" s="294"/>
      <c r="VIN615" s="294"/>
      <c r="VIO615" s="294"/>
      <c r="VIP615" s="294"/>
      <c r="VIQ615" s="294"/>
      <c r="VIR615" s="294"/>
      <c r="VIS615" s="294"/>
      <c r="VIT615" s="294"/>
      <c r="VIU615" s="294"/>
      <c r="VIV615" s="294"/>
      <c r="VIW615" s="294"/>
      <c r="VIX615" s="294"/>
      <c r="VIY615" s="294"/>
      <c r="VIZ615" s="294"/>
      <c r="VJA615" s="294"/>
      <c r="VJB615" s="294"/>
      <c r="VJC615" s="294"/>
      <c r="VJD615" s="294"/>
      <c r="VJE615" s="294"/>
      <c r="VJF615" s="294"/>
      <c r="VJG615" s="294"/>
      <c r="VJH615" s="294"/>
      <c r="VJI615" s="294"/>
      <c r="VJJ615" s="294"/>
      <c r="VJK615" s="294"/>
      <c r="VJL615" s="294"/>
      <c r="VJM615" s="294"/>
      <c r="VJN615" s="294"/>
      <c r="VJO615" s="294"/>
      <c r="VJP615" s="294"/>
      <c r="VJQ615" s="294"/>
      <c r="VJR615" s="294"/>
      <c r="VJS615" s="294"/>
      <c r="VJT615" s="294"/>
      <c r="VJU615" s="294"/>
      <c r="VJV615" s="294"/>
      <c r="VJW615" s="294"/>
      <c r="VJX615" s="294"/>
      <c r="VJY615" s="294"/>
      <c r="VJZ615" s="294"/>
      <c r="VKA615" s="294"/>
      <c r="VKB615" s="294"/>
      <c r="VKC615" s="294"/>
      <c r="VKD615" s="294"/>
      <c r="VKE615" s="294"/>
      <c r="VKF615" s="294"/>
      <c r="VKG615" s="294"/>
      <c r="VKH615" s="294"/>
      <c r="VKI615" s="294"/>
      <c r="VKJ615" s="294"/>
      <c r="VKK615" s="294"/>
      <c r="VKL615" s="294"/>
      <c r="VKM615" s="294"/>
      <c r="VKN615" s="294"/>
      <c r="VKO615" s="294"/>
      <c r="VKP615" s="294"/>
      <c r="VKQ615" s="294"/>
      <c r="VKR615" s="294"/>
      <c r="VKS615" s="294"/>
      <c r="VKT615" s="294"/>
      <c r="VKU615" s="294"/>
      <c r="VKV615" s="294"/>
      <c r="VKW615" s="294"/>
      <c r="VKX615" s="294"/>
      <c r="VKY615" s="294"/>
      <c r="VKZ615" s="294"/>
      <c r="VLA615" s="294"/>
      <c r="VLB615" s="294"/>
      <c r="VLC615" s="294"/>
      <c r="VLD615" s="294"/>
      <c r="VLE615" s="294"/>
      <c r="VLF615" s="294"/>
      <c r="VLG615" s="294"/>
      <c r="VLH615" s="294"/>
      <c r="VLI615" s="294"/>
      <c r="VLJ615" s="294"/>
      <c r="VLK615" s="294"/>
      <c r="VLL615" s="294"/>
      <c r="VLM615" s="294"/>
      <c r="VLN615" s="294"/>
      <c r="VLO615" s="294"/>
      <c r="VLP615" s="294"/>
      <c r="VLQ615" s="294"/>
      <c r="VLR615" s="294"/>
      <c r="VLS615" s="294"/>
      <c r="VLT615" s="294"/>
      <c r="VLU615" s="294"/>
      <c r="VLV615" s="294"/>
      <c r="VLW615" s="294"/>
      <c r="VLX615" s="294"/>
      <c r="VLY615" s="294"/>
      <c r="VLZ615" s="294"/>
      <c r="VMA615" s="294"/>
      <c r="VMB615" s="294"/>
      <c r="VMC615" s="294"/>
      <c r="VMD615" s="294"/>
      <c r="VME615" s="294"/>
      <c r="VMF615" s="294"/>
      <c r="VMG615" s="294"/>
      <c r="VMH615" s="294"/>
      <c r="VMI615" s="294"/>
      <c r="VMJ615" s="294"/>
      <c r="VMK615" s="294"/>
      <c r="VML615" s="294"/>
      <c r="VMM615" s="294"/>
      <c r="VMN615" s="294"/>
      <c r="VMO615" s="294"/>
      <c r="VMP615" s="294"/>
      <c r="VMQ615" s="294"/>
      <c r="VMR615" s="294"/>
      <c r="VMS615" s="294"/>
      <c r="VMT615" s="294"/>
      <c r="VMU615" s="294"/>
      <c r="VMV615" s="294"/>
      <c r="VMW615" s="294"/>
      <c r="VMX615" s="294"/>
      <c r="VMY615" s="294"/>
      <c r="VMZ615" s="294"/>
      <c r="VNA615" s="294"/>
      <c r="VNB615" s="294"/>
      <c r="VNC615" s="294"/>
      <c r="VND615" s="294"/>
      <c r="VNE615" s="294"/>
      <c r="VNF615" s="294"/>
      <c r="VNG615" s="294"/>
      <c r="VNH615" s="294"/>
      <c r="VNI615" s="294"/>
      <c r="VNJ615" s="294"/>
      <c r="VNK615" s="294"/>
      <c r="VNL615" s="294"/>
      <c r="VNM615" s="294"/>
      <c r="VNN615" s="294"/>
      <c r="VNO615" s="294"/>
      <c r="VNP615" s="294"/>
      <c r="VNQ615" s="294"/>
      <c r="VNR615" s="294"/>
      <c r="VNS615" s="294"/>
      <c r="VNT615" s="294"/>
      <c r="VNU615" s="294"/>
      <c r="VNV615" s="294"/>
      <c r="VNW615" s="294"/>
      <c r="VNX615" s="294"/>
      <c r="VNY615" s="294"/>
      <c r="VNZ615" s="294"/>
      <c r="VOA615" s="294"/>
      <c r="VOB615" s="294"/>
      <c r="VOC615" s="294"/>
      <c r="VOD615" s="294"/>
      <c r="VOE615" s="294"/>
      <c r="VOF615" s="294"/>
      <c r="VOG615" s="294"/>
      <c r="VOH615" s="294"/>
      <c r="VOI615" s="294"/>
      <c r="VOJ615" s="294"/>
      <c r="VOK615" s="294"/>
      <c r="VOL615" s="294"/>
      <c r="VOM615" s="294"/>
      <c r="VON615" s="294"/>
      <c r="VOO615" s="294"/>
      <c r="VOP615" s="294"/>
      <c r="VOQ615" s="294"/>
      <c r="VOR615" s="294"/>
      <c r="VOS615" s="294"/>
      <c r="VOT615" s="294"/>
      <c r="VOU615" s="294"/>
      <c r="VOV615" s="294"/>
      <c r="VOW615" s="294"/>
      <c r="VOX615" s="294"/>
      <c r="VOY615" s="294"/>
      <c r="VOZ615" s="294"/>
      <c r="VPA615" s="294"/>
      <c r="VPB615" s="294"/>
      <c r="VPC615" s="294"/>
      <c r="VPD615" s="294"/>
      <c r="VPE615" s="294"/>
      <c r="VPF615" s="294"/>
      <c r="VPG615" s="294"/>
      <c r="VPH615" s="294"/>
      <c r="VPI615" s="294"/>
      <c r="VPJ615" s="294"/>
      <c r="VPK615" s="294"/>
      <c r="VPL615" s="294"/>
      <c r="VPM615" s="294"/>
      <c r="VPN615" s="294"/>
      <c r="VPO615" s="294"/>
      <c r="VPP615" s="294"/>
      <c r="VPQ615" s="294"/>
      <c r="VPR615" s="294"/>
      <c r="VPS615" s="294"/>
      <c r="VPT615" s="294"/>
      <c r="VPU615" s="294"/>
      <c r="VPV615" s="294"/>
      <c r="VPW615" s="294"/>
      <c r="VPX615" s="294"/>
      <c r="VPY615" s="294"/>
      <c r="VPZ615" s="294"/>
      <c r="VQA615" s="294"/>
      <c r="VQB615" s="294"/>
      <c r="VQC615" s="294"/>
      <c r="VQD615" s="294"/>
      <c r="VQE615" s="294"/>
      <c r="VQF615" s="294"/>
      <c r="VQG615" s="294"/>
      <c r="VQH615" s="294"/>
      <c r="VQI615" s="294"/>
      <c r="VQJ615" s="294"/>
      <c r="VQK615" s="294"/>
      <c r="VQL615" s="294"/>
      <c r="VQM615" s="294"/>
      <c r="VQN615" s="294"/>
      <c r="VQO615" s="294"/>
      <c r="VQP615" s="294"/>
      <c r="VQQ615" s="294"/>
      <c r="VQR615" s="294"/>
      <c r="VQS615" s="294"/>
      <c r="VQT615" s="294"/>
      <c r="VQU615" s="294"/>
      <c r="VQV615" s="294"/>
      <c r="VQW615" s="294"/>
      <c r="VQX615" s="294"/>
      <c r="VQY615" s="294"/>
      <c r="VQZ615" s="294"/>
      <c r="VRA615" s="294"/>
      <c r="VRB615" s="294"/>
      <c r="VRC615" s="294"/>
      <c r="VRD615" s="294"/>
      <c r="VRE615" s="294"/>
      <c r="VRF615" s="294"/>
      <c r="VRG615" s="294"/>
      <c r="VRH615" s="294"/>
      <c r="VRI615" s="294"/>
      <c r="VRJ615" s="294"/>
      <c r="VRK615" s="294"/>
      <c r="VRL615" s="294"/>
      <c r="VRM615" s="294"/>
      <c r="VRN615" s="294"/>
      <c r="VRO615" s="294"/>
      <c r="VRP615" s="294"/>
      <c r="VRQ615" s="294"/>
      <c r="VRR615" s="294"/>
      <c r="VRS615" s="294"/>
      <c r="VRT615" s="294"/>
      <c r="VRU615" s="294"/>
      <c r="VRV615" s="294"/>
      <c r="VRW615" s="294"/>
      <c r="VRX615" s="294"/>
      <c r="VRY615" s="294"/>
      <c r="VRZ615" s="294"/>
      <c r="VSA615" s="294"/>
      <c r="VSB615" s="294"/>
      <c r="VSC615" s="294"/>
      <c r="VSD615" s="294"/>
      <c r="VSE615" s="294"/>
      <c r="VSF615" s="294"/>
      <c r="VSG615" s="294"/>
      <c r="VSH615" s="294"/>
      <c r="VSI615" s="294"/>
      <c r="VSJ615" s="294"/>
      <c r="VSK615" s="294"/>
      <c r="VSL615" s="294"/>
      <c r="VSM615" s="294"/>
      <c r="VSN615" s="294"/>
      <c r="VSO615" s="294"/>
      <c r="VSP615" s="294"/>
      <c r="VSQ615" s="294"/>
      <c r="VSR615" s="294"/>
      <c r="VSS615" s="294"/>
      <c r="VST615" s="294"/>
      <c r="VSU615" s="294"/>
      <c r="VSV615" s="294"/>
      <c r="VSW615" s="294"/>
      <c r="VSX615" s="294"/>
      <c r="VSY615" s="294"/>
      <c r="VSZ615" s="294"/>
      <c r="VTA615" s="294"/>
      <c r="VTB615" s="294"/>
      <c r="VTC615" s="294"/>
      <c r="VTD615" s="294"/>
      <c r="VTE615" s="294"/>
      <c r="VTF615" s="294"/>
      <c r="VTG615" s="294"/>
      <c r="VTH615" s="294"/>
      <c r="VTI615" s="294"/>
      <c r="VTJ615" s="294"/>
      <c r="VTK615" s="294"/>
      <c r="VTL615" s="294"/>
      <c r="VTM615" s="294"/>
      <c r="VTN615" s="294"/>
      <c r="VTO615" s="294"/>
      <c r="VTP615" s="294"/>
      <c r="VTQ615" s="294"/>
      <c r="VTR615" s="294"/>
      <c r="VTS615" s="294"/>
      <c r="VTT615" s="294"/>
      <c r="VTU615" s="294"/>
      <c r="VTV615" s="294"/>
      <c r="VTW615" s="294"/>
      <c r="VTX615" s="294"/>
      <c r="VTY615" s="294"/>
      <c r="VTZ615" s="294"/>
      <c r="VUA615" s="294"/>
      <c r="VUB615" s="294"/>
      <c r="VUC615" s="294"/>
      <c r="VUD615" s="294"/>
      <c r="VUE615" s="294"/>
      <c r="VUF615" s="294"/>
      <c r="VUG615" s="294"/>
      <c r="VUH615" s="294"/>
      <c r="VUI615" s="294"/>
      <c r="VUJ615" s="294"/>
      <c r="VUK615" s="294"/>
      <c r="VUL615" s="294"/>
      <c r="VUM615" s="294"/>
      <c r="VUN615" s="294"/>
      <c r="VUO615" s="294"/>
      <c r="VUP615" s="294"/>
      <c r="VUQ615" s="294"/>
      <c r="VUR615" s="294"/>
      <c r="VUS615" s="294"/>
      <c r="VUT615" s="294"/>
      <c r="VUU615" s="294"/>
      <c r="VUV615" s="294"/>
      <c r="VUW615" s="294"/>
      <c r="VUX615" s="294"/>
      <c r="VUY615" s="294"/>
      <c r="VUZ615" s="294"/>
      <c r="VVA615" s="294"/>
      <c r="VVB615" s="294"/>
      <c r="VVC615" s="294"/>
      <c r="VVD615" s="294"/>
      <c r="VVE615" s="294"/>
      <c r="VVF615" s="294"/>
      <c r="VVG615" s="294"/>
      <c r="VVH615" s="294"/>
      <c r="VVI615" s="294"/>
      <c r="VVJ615" s="294"/>
      <c r="VVK615" s="294"/>
      <c r="VVL615" s="294"/>
      <c r="VVM615" s="294"/>
      <c r="VVN615" s="294"/>
      <c r="VVO615" s="294"/>
      <c r="VVP615" s="294"/>
      <c r="VVQ615" s="294"/>
      <c r="VVR615" s="294"/>
      <c r="VVS615" s="294"/>
      <c r="VVT615" s="294"/>
      <c r="VVU615" s="294"/>
      <c r="VVV615" s="294"/>
      <c r="VVW615" s="294"/>
      <c r="VVX615" s="294"/>
      <c r="VVY615" s="294"/>
      <c r="VVZ615" s="294"/>
      <c r="VWA615" s="294"/>
      <c r="VWB615" s="294"/>
      <c r="VWC615" s="294"/>
      <c r="VWD615" s="294"/>
      <c r="VWE615" s="294"/>
      <c r="VWF615" s="294"/>
      <c r="VWG615" s="294"/>
      <c r="VWH615" s="294"/>
      <c r="VWI615" s="294"/>
      <c r="VWJ615" s="294"/>
      <c r="VWK615" s="294"/>
      <c r="VWL615" s="294"/>
      <c r="VWM615" s="294"/>
      <c r="VWN615" s="294"/>
      <c r="VWO615" s="294"/>
      <c r="VWP615" s="294"/>
      <c r="VWQ615" s="294"/>
      <c r="VWR615" s="294"/>
      <c r="VWS615" s="294"/>
      <c r="VWT615" s="294"/>
      <c r="VWU615" s="294"/>
      <c r="VWV615" s="294"/>
      <c r="VWW615" s="294"/>
      <c r="VWX615" s="294"/>
      <c r="VWY615" s="294"/>
      <c r="VWZ615" s="294"/>
      <c r="VXA615" s="294"/>
      <c r="VXB615" s="294"/>
      <c r="VXC615" s="294"/>
      <c r="VXD615" s="294"/>
      <c r="VXE615" s="294"/>
      <c r="VXF615" s="294"/>
      <c r="VXG615" s="294"/>
      <c r="VXH615" s="294"/>
      <c r="VXI615" s="294"/>
      <c r="VXJ615" s="294"/>
      <c r="VXK615" s="294"/>
      <c r="VXL615" s="294"/>
      <c r="VXM615" s="294"/>
      <c r="VXN615" s="294"/>
      <c r="VXO615" s="294"/>
      <c r="VXP615" s="294"/>
      <c r="VXQ615" s="294"/>
      <c r="VXR615" s="294"/>
      <c r="VXS615" s="294"/>
      <c r="VXT615" s="294"/>
      <c r="VXU615" s="294"/>
      <c r="VXV615" s="294"/>
      <c r="VXW615" s="294"/>
      <c r="VXX615" s="294"/>
      <c r="VXY615" s="294"/>
      <c r="VXZ615" s="294"/>
      <c r="VYA615" s="294"/>
      <c r="VYB615" s="294"/>
      <c r="VYC615" s="294"/>
      <c r="VYD615" s="294"/>
      <c r="VYE615" s="294"/>
      <c r="VYF615" s="294"/>
      <c r="VYG615" s="294"/>
      <c r="VYH615" s="294"/>
      <c r="VYI615" s="294"/>
      <c r="VYJ615" s="294"/>
      <c r="VYK615" s="294"/>
      <c r="VYL615" s="294"/>
      <c r="VYM615" s="294"/>
      <c r="VYN615" s="294"/>
      <c r="VYO615" s="294"/>
      <c r="VYP615" s="294"/>
      <c r="VYQ615" s="294"/>
      <c r="VYR615" s="294"/>
      <c r="VYS615" s="294"/>
      <c r="VYT615" s="294"/>
      <c r="VYU615" s="294"/>
      <c r="VYV615" s="294"/>
      <c r="VYW615" s="294"/>
      <c r="VYX615" s="294"/>
      <c r="VYY615" s="294"/>
      <c r="VYZ615" s="294"/>
      <c r="VZA615" s="294"/>
      <c r="VZB615" s="294"/>
      <c r="VZC615" s="294"/>
      <c r="VZD615" s="294"/>
      <c r="VZE615" s="294"/>
      <c r="VZF615" s="294"/>
      <c r="VZG615" s="294"/>
      <c r="VZH615" s="294"/>
      <c r="VZI615" s="294"/>
      <c r="VZJ615" s="294"/>
      <c r="VZK615" s="294"/>
      <c r="VZL615" s="294"/>
      <c r="VZM615" s="294"/>
      <c r="VZN615" s="294"/>
      <c r="VZO615" s="294"/>
      <c r="VZP615" s="294"/>
      <c r="VZQ615" s="294"/>
      <c r="VZR615" s="294"/>
      <c r="VZS615" s="294"/>
      <c r="VZT615" s="294"/>
      <c r="VZU615" s="294"/>
      <c r="VZV615" s="294"/>
      <c r="VZW615" s="294"/>
      <c r="VZX615" s="294"/>
      <c r="VZY615" s="294"/>
      <c r="VZZ615" s="294"/>
      <c r="WAA615" s="294"/>
      <c r="WAB615" s="294"/>
      <c r="WAC615" s="294"/>
      <c r="WAD615" s="294"/>
      <c r="WAE615" s="294"/>
      <c r="WAF615" s="294"/>
      <c r="WAG615" s="294"/>
      <c r="WAH615" s="294"/>
      <c r="WAI615" s="294"/>
      <c r="WAJ615" s="294"/>
      <c r="WAK615" s="294"/>
      <c r="WAL615" s="294"/>
      <c r="WAM615" s="294"/>
      <c r="WAN615" s="294"/>
      <c r="WAO615" s="294"/>
      <c r="WAP615" s="294"/>
      <c r="WAQ615" s="294"/>
      <c r="WAR615" s="294"/>
      <c r="WAS615" s="294"/>
      <c r="WAT615" s="294"/>
      <c r="WAU615" s="294"/>
      <c r="WAV615" s="294"/>
      <c r="WAW615" s="294"/>
      <c r="WAX615" s="294"/>
      <c r="WAY615" s="294"/>
      <c r="WAZ615" s="294"/>
      <c r="WBA615" s="294"/>
      <c r="WBB615" s="294"/>
      <c r="WBC615" s="294"/>
      <c r="WBD615" s="294"/>
      <c r="WBE615" s="294"/>
      <c r="WBF615" s="294"/>
      <c r="WBG615" s="294"/>
      <c r="WBH615" s="294"/>
      <c r="WBI615" s="294"/>
      <c r="WBJ615" s="294"/>
      <c r="WBK615" s="294"/>
      <c r="WBL615" s="294"/>
      <c r="WBM615" s="294"/>
      <c r="WBN615" s="294"/>
      <c r="WBO615" s="294"/>
      <c r="WBP615" s="294"/>
      <c r="WBQ615" s="294"/>
      <c r="WBR615" s="294"/>
      <c r="WBS615" s="294"/>
      <c r="WBT615" s="294"/>
      <c r="WBU615" s="294"/>
      <c r="WBV615" s="294"/>
      <c r="WBW615" s="294"/>
      <c r="WBX615" s="294"/>
      <c r="WBY615" s="294"/>
      <c r="WBZ615" s="294"/>
      <c r="WCA615" s="294"/>
      <c r="WCB615" s="294"/>
      <c r="WCC615" s="294"/>
      <c r="WCD615" s="294"/>
      <c r="WCE615" s="294"/>
      <c r="WCF615" s="294"/>
      <c r="WCG615" s="294"/>
      <c r="WCH615" s="294"/>
      <c r="WCI615" s="294"/>
      <c r="WCJ615" s="294"/>
      <c r="WCK615" s="294"/>
      <c r="WCL615" s="294"/>
      <c r="WCM615" s="294"/>
      <c r="WCN615" s="294"/>
      <c r="WCO615" s="294"/>
      <c r="WCP615" s="294"/>
      <c r="WCQ615" s="294"/>
      <c r="WCR615" s="294"/>
      <c r="WCS615" s="294"/>
      <c r="WCT615" s="294"/>
      <c r="WCU615" s="294"/>
      <c r="WCV615" s="294"/>
      <c r="WCW615" s="294"/>
      <c r="WCX615" s="294"/>
      <c r="WCY615" s="294"/>
      <c r="WCZ615" s="294"/>
      <c r="WDA615" s="294"/>
      <c r="WDB615" s="294"/>
      <c r="WDC615" s="294"/>
      <c r="WDD615" s="294"/>
      <c r="WDE615" s="294"/>
      <c r="WDF615" s="294"/>
      <c r="WDG615" s="294"/>
      <c r="WDH615" s="294"/>
      <c r="WDI615" s="294"/>
      <c r="WDJ615" s="294"/>
      <c r="WDK615" s="294"/>
      <c r="WDL615" s="294"/>
      <c r="WDM615" s="294"/>
      <c r="WDN615" s="294"/>
      <c r="WDO615" s="294"/>
      <c r="WDP615" s="294"/>
      <c r="WDQ615" s="294"/>
      <c r="WDR615" s="294"/>
      <c r="WDS615" s="294"/>
      <c r="WDT615" s="294"/>
      <c r="WDU615" s="294"/>
      <c r="WDV615" s="294"/>
      <c r="WDW615" s="294"/>
      <c r="WDX615" s="294"/>
      <c r="WDY615" s="294"/>
      <c r="WDZ615" s="294"/>
      <c r="WEA615" s="294"/>
      <c r="WEB615" s="294"/>
      <c r="WEC615" s="294"/>
      <c r="WED615" s="294"/>
      <c r="WEE615" s="294"/>
      <c r="WEF615" s="294"/>
      <c r="WEG615" s="294"/>
      <c r="WEH615" s="294"/>
      <c r="WEI615" s="294"/>
      <c r="WEJ615" s="294"/>
      <c r="WEK615" s="294"/>
      <c r="WEL615" s="294"/>
      <c r="WEM615" s="294"/>
      <c r="WEN615" s="294"/>
      <c r="WEO615" s="294"/>
      <c r="WEP615" s="294"/>
      <c r="WEQ615" s="294"/>
      <c r="WER615" s="294"/>
      <c r="WES615" s="294"/>
      <c r="WET615" s="294"/>
      <c r="WEU615" s="294"/>
      <c r="WEV615" s="294"/>
      <c r="WEW615" s="294"/>
      <c r="WEX615" s="294"/>
      <c r="WEY615" s="294"/>
      <c r="WEZ615" s="294"/>
      <c r="WFA615" s="294"/>
      <c r="WFB615" s="294"/>
      <c r="WFC615" s="294"/>
      <c r="WFD615" s="294"/>
      <c r="WFE615" s="294"/>
      <c r="WFF615" s="294"/>
      <c r="WFG615" s="294"/>
      <c r="WFH615" s="294"/>
      <c r="WFI615" s="294"/>
      <c r="WFJ615" s="294"/>
      <c r="WFK615" s="294"/>
      <c r="WFL615" s="294"/>
      <c r="WFM615" s="294"/>
      <c r="WFN615" s="294"/>
      <c r="WFO615" s="294"/>
      <c r="WFP615" s="294"/>
      <c r="WFQ615" s="294"/>
      <c r="WFR615" s="294"/>
      <c r="WFS615" s="294"/>
      <c r="WFT615" s="294"/>
      <c r="WFU615" s="294"/>
      <c r="WFV615" s="294"/>
      <c r="WFW615" s="294"/>
      <c r="WFX615" s="294"/>
      <c r="WFY615" s="294"/>
      <c r="WFZ615" s="294"/>
      <c r="WGA615" s="294"/>
      <c r="WGB615" s="294"/>
      <c r="WGC615" s="294"/>
      <c r="WGD615" s="294"/>
      <c r="WGE615" s="294"/>
      <c r="WGF615" s="294"/>
      <c r="WGG615" s="294"/>
      <c r="WGH615" s="294"/>
      <c r="WGI615" s="294"/>
      <c r="WGJ615" s="294"/>
      <c r="WGK615" s="294"/>
      <c r="WGL615" s="294"/>
      <c r="WGM615" s="294"/>
      <c r="WGN615" s="294"/>
      <c r="WGO615" s="294"/>
      <c r="WGP615" s="294"/>
      <c r="WGQ615" s="294"/>
      <c r="WGR615" s="294"/>
      <c r="WGS615" s="294"/>
      <c r="WGT615" s="294"/>
      <c r="WGU615" s="294"/>
      <c r="WGV615" s="294"/>
      <c r="WGW615" s="294"/>
      <c r="WGX615" s="294"/>
      <c r="WGY615" s="294"/>
      <c r="WGZ615" s="294"/>
      <c r="WHA615" s="294"/>
      <c r="WHB615" s="294"/>
      <c r="WHC615" s="294"/>
      <c r="WHD615" s="294"/>
      <c r="WHE615" s="294"/>
      <c r="WHF615" s="294"/>
      <c r="WHG615" s="294"/>
      <c r="WHH615" s="294"/>
      <c r="WHI615" s="294"/>
      <c r="WHJ615" s="294"/>
      <c r="WHK615" s="294"/>
      <c r="WHL615" s="294"/>
      <c r="WHM615" s="294"/>
      <c r="WHN615" s="294"/>
      <c r="WHO615" s="294"/>
      <c r="WHP615" s="294"/>
      <c r="WHQ615" s="294"/>
      <c r="WHR615" s="294"/>
      <c r="WHS615" s="294"/>
      <c r="WHT615" s="294"/>
      <c r="WHU615" s="294"/>
      <c r="WHV615" s="294"/>
      <c r="WHW615" s="294"/>
      <c r="WHX615" s="294"/>
      <c r="WHY615" s="294"/>
      <c r="WHZ615" s="294"/>
      <c r="WIA615" s="294"/>
      <c r="WIB615" s="294"/>
      <c r="WIC615" s="294"/>
      <c r="WID615" s="294"/>
      <c r="WIE615" s="294"/>
      <c r="WIF615" s="294"/>
      <c r="WIG615" s="294"/>
      <c r="WIH615" s="294"/>
      <c r="WII615" s="294"/>
      <c r="WIJ615" s="294"/>
      <c r="WIK615" s="294"/>
      <c r="WIL615" s="294"/>
      <c r="WIM615" s="294"/>
      <c r="WIN615" s="294"/>
      <c r="WIO615" s="294"/>
      <c r="WIP615" s="294"/>
      <c r="WIQ615" s="294"/>
      <c r="WIR615" s="294"/>
      <c r="WIS615" s="294"/>
      <c r="WIT615" s="294"/>
      <c r="WIU615" s="294"/>
      <c r="WIV615" s="294"/>
      <c r="WIW615" s="294"/>
      <c r="WIX615" s="294"/>
      <c r="WIY615" s="294"/>
      <c r="WIZ615" s="294"/>
      <c r="WJA615" s="294"/>
      <c r="WJB615" s="294"/>
      <c r="WJC615" s="294"/>
      <c r="WJD615" s="294"/>
      <c r="WJE615" s="294"/>
      <c r="WJF615" s="294"/>
      <c r="WJG615" s="294"/>
      <c r="WJH615" s="294"/>
      <c r="WJI615" s="294"/>
      <c r="WJJ615" s="294"/>
      <c r="WJK615" s="294"/>
      <c r="WJL615" s="294"/>
      <c r="WJM615" s="294"/>
      <c r="WJN615" s="294"/>
      <c r="WJO615" s="294"/>
      <c r="WJP615" s="294"/>
      <c r="WJQ615" s="294"/>
      <c r="WJR615" s="294"/>
      <c r="WJS615" s="294"/>
      <c r="WJT615" s="294"/>
      <c r="WJU615" s="294"/>
      <c r="WJV615" s="294"/>
      <c r="WJW615" s="294"/>
      <c r="WJX615" s="294"/>
      <c r="WJY615" s="294"/>
      <c r="WJZ615" s="294"/>
      <c r="WKA615" s="294"/>
      <c r="WKB615" s="294"/>
      <c r="WKC615" s="294"/>
      <c r="WKD615" s="294"/>
      <c r="WKE615" s="294"/>
      <c r="WKF615" s="294"/>
      <c r="WKG615" s="294"/>
      <c r="WKH615" s="294"/>
      <c r="WKI615" s="294"/>
      <c r="WKJ615" s="294"/>
      <c r="WKK615" s="294"/>
      <c r="WKL615" s="294"/>
      <c r="WKM615" s="294"/>
      <c r="WKN615" s="294"/>
      <c r="WKO615" s="294"/>
      <c r="WKP615" s="294"/>
      <c r="WKQ615" s="294"/>
      <c r="WKR615" s="294"/>
      <c r="WKS615" s="294"/>
      <c r="WKT615" s="294"/>
      <c r="WKU615" s="294"/>
      <c r="WKV615" s="294"/>
      <c r="WKW615" s="294"/>
      <c r="WKX615" s="294"/>
      <c r="WKY615" s="294"/>
      <c r="WKZ615" s="294"/>
      <c r="WLA615" s="294"/>
      <c r="WLB615" s="294"/>
      <c r="WLC615" s="294"/>
      <c r="WLD615" s="294"/>
      <c r="WLE615" s="294"/>
      <c r="WLF615" s="294"/>
      <c r="WLG615" s="294"/>
      <c r="WLH615" s="294"/>
      <c r="WLI615" s="294"/>
      <c r="WLJ615" s="294"/>
      <c r="WLK615" s="294"/>
      <c r="WLL615" s="294"/>
      <c r="WLM615" s="294"/>
      <c r="WLN615" s="294"/>
      <c r="WLO615" s="294"/>
      <c r="WLP615" s="294"/>
      <c r="WLQ615" s="294"/>
      <c r="WLR615" s="294"/>
      <c r="WLS615" s="294"/>
      <c r="WLT615" s="294"/>
      <c r="WLU615" s="294"/>
      <c r="WLV615" s="294"/>
      <c r="WLW615" s="294"/>
      <c r="WLX615" s="294"/>
      <c r="WLY615" s="294"/>
      <c r="WLZ615" s="294"/>
      <c r="WMA615" s="294"/>
      <c r="WMB615" s="294"/>
      <c r="WMC615" s="294"/>
      <c r="WMD615" s="294"/>
      <c r="WME615" s="294"/>
      <c r="WMF615" s="294"/>
      <c r="WMG615" s="294"/>
      <c r="WMH615" s="294"/>
      <c r="WMI615" s="294"/>
      <c r="WMJ615" s="294"/>
      <c r="WMK615" s="294"/>
      <c r="WML615" s="294"/>
      <c r="WMM615" s="294"/>
      <c r="WMN615" s="294"/>
      <c r="WMO615" s="294"/>
      <c r="WMP615" s="294"/>
      <c r="WMQ615" s="294"/>
      <c r="WMR615" s="294"/>
      <c r="WMS615" s="294"/>
      <c r="WMT615" s="294"/>
      <c r="WMU615" s="294"/>
      <c r="WMV615" s="294"/>
      <c r="WMW615" s="294"/>
      <c r="WMX615" s="294"/>
      <c r="WMY615" s="294"/>
      <c r="WMZ615" s="294"/>
      <c r="WNA615" s="294"/>
      <c r="WNB615" s="294"/>
      <c r="WNC615" s="294"/>
      <c r="WND615" s="294"/>
      <c r="WNE615" s="294"/>
      <c r="WNF615" s="294"/>
      <c r="WNG615" s="294"/>
      <c r="WNH615" s="294"/>
      <c r="WNI615" s="294"/>
      <c r="WNJ615" s="294"/>
      <c r="WNK615" s="294"/>
      <c r="WNL615" s="294"/>
      <c r="WNM615" s="294"/>
      <c r="WNN615" s="294"/>
      <c r="WNO615" s="294"/>
      <c r="WNP615" s="294"/>
      <c r="WNQ615" s="294"/>
      <c r="WNR615" s="294"/>
      <c r="WNS615" s="294"/>
      <c r="WNT615" s="294"/>
      <c r="WNU615" s="294"/>
      <c r="WNV615" s="294"/>
      <c r="WNW615" s="294"/>
      <c r="WNX615" s="294"/>
      <c r="WNY615" s="294"/>
      <c r="WNZ615" s="294"/>
      <c r="WOA615" s="294"/>
      <c r="WOB615" s="294"/>
      <c r="WOC615" s="294"/>
      <c r="WOD615" s="294"/>
      <c r="WOE615" s="294"/>
      <c r="WOF615" s="294"/>
      <c r="WOG615" s="294"/>
      <c r="WOH615" s="294"/>
      <c r="WOI615" s="294"/>
      <c r="WOJ615" s="294"/>
      <c r="WOK615" s="294"/>
      <c r="WOL615" s="294"/>
      <c r="WOM615" s="294"/>
      <c r="WON615" s="294"/>
      <c r="WOO615" s="294"/>
      <c r="WOP615" s="294"/>
      <c r="WOQ615" s="294"/>
      <c r="WOR615" s="294"/>
      <c r="WOS615" s="294"/>
      <c r="WOT615" s="294"/>
      <c r="WOU615" s="294"/>
      <c r="WOV615" s="294"/>
      <c r="WOW615" s="294"/>
      <c r="WOX615" s="294"/>
      <c r="WOY615" s="294"/>
      <c r="WOZ615" s="294"/>
      <c r="WPA615" s="294"/>
      <c r="WPB615" s="294"/>
      <c r="WPC615" s="294"/>
      <c r="WPD615" s="294"/>
      <c r="WPE615" s="294"/>
      <c r="WPF615" s="294"/>
      <c r="WPG615" s="294"/>
      <c r="WPH615" s="294"/>
      <c r="WPI615" s="294"/>
      <c r="WPJ615" s="294"/>
      <c r="WPK615" s="294"/>
      <c r="WPL615" s="294"/>
      <c r="WPM615" s="294"/>
      <c r="WPN615" s="294"/>
      <c r="WPO615" s="294"/>
      <c r="WPP615" s="294"/>
      <c r="WPQ615" s="294"/>
      <c r="WPR615" s="294"/>
      <c r="WPS615" s="294"/>
      <c r="WPT615" s="294"/>
      <c r="WPU615" s="294"/>
      <c r="WPV615" s="294"/>
      <c r="WPW615" s="294"/>
      <c r="WPX615" s="294"/>
      <c r="WPY615" s="294"/>
      <c r="WPZ615" s="294"/>
      <c r="WQA615" s="294"/>
      <c r="WQB615" s="294"/>
      <c r="WQC615" s="294"/>
      <c r="WQD615" s="294"/>
      <c r="WQE615" s="294"/>
      <c r="WQF615" s="294"/>
      <c r="WQG615" s="294"/>
      <c r="WQH615" s="294"/>
      <c r="WQI615" s="294"/>
      <c r="WQJ615" s="294"/>
      <c r="WQK615" s="294"/>
      <c r="WQL615" s="294"/>
      <c r="WQM615" s="294"/>
      <c r="WQN615" s="294"/>
      <c r="WQO615" s="294"/>
      <c r="WQP615" s="294"/>
      <c r="WQQ615" s="294"/>
      <c r="WQR615" s="294"/>
      <c r="WQS615" s="294"/>
      <c r="WQT615" s="294"/>
      <c r="WQU615" s="294"/>
      <c r="WQV615" s="294"/>
      <c r="WQW615" s="294"/>
      <c r="WQX615" s="294"/>
      <c r="WQY615" s="294"/>
      <c r="WQZ615" s="294"/>
      <c r="WRA615" s="294"/>
      <c r="WRB615" s="294"/>
      <c r="WRC615" s="294"/>
      <c r="WRD615" s="294"/>
      <c r="WRE615" s="294"/>
      <c r="WRF615" s="294"/>
      <c r="WRG615" s="294"/>
      <c r="WRH615" s="294"/>
      <c r="WRI615" s="294"/>
      <c r="WRJ615" s="294"/>
      <c r="WRK615" s="294"/>
      <c r="WRL615" s="294"/>
      <c r="WRM615" s="294"/>
      <c r="WRN615" s="294"/>
      <c r="WRO615" s="294"/>
      <c r="WRP615" s="294"/>
      <c r="WRQ615" s="294"/>
      <c r="WRR615" s="294"/>
      <c r="WRS615" s="294"/>
      <c r="WRT615" s="294"/>
      <c r="WRU615" s="294"/>
      <c r="WRV615" s="294"/>
      <c r="WRW615" s="294"/>
      <c r="WRX615" s="294"/>
      <c r="WRY615" s="294"/>
      <c r="WRZ615" s="294"/>
      <c r="WSA615" s="294"/>
      <c r="WSB615" s="294"/>
      <c r="WSC615" s="294"/>
      <c r="WSD615" s="294"/>
      <c r="WSE615" s="294"/>
      <c r="WSF615" s="294"/>
      <c r="WSG615" s="294"/>
      <c r="WSH615" s="294"/>
      <c r="WSI615" s="294"/>
      <c r="WSJ615" s="294"/>
      <c r="WSK615" s="294"/>
      <c r="WSL615" s="294"/>
      <c r="WSM615" s="294"/>
      <c r="WSN615" s="294"/>
      <c r="WSO615" s="294"/>
      <c r="WSP615" s="294"/>
      <c r="WSQ615" s="294"/>
      <c r="WSR615" s="294"/>
      <c r="WSS615" s="294"/>
      <c r="WST615" s="294"/>
      <c r="WSU615" s="294"/>
      <c r="WSV615" s="294"/>
      <c r="WSW615" s="294"/>
      <c r="WSX615" s="294"/>
      <c r="WSY615" s="294"/>
      <c r="WSZ615" s="294"/>
      <c r="WTA615" s="294"/>
      <c r="WTB615" s="294"/>
      <c r="WTC615" s="294"/>
      <c r="WTD615" s="294"/>
      <c r="WTE615" s="294"/>
      <c r="WTF615" s="294"/>
      <c r="WTG615" s="294"/>
      <c r="WTH615" s="294"/>
      <c r="WTI615" s="294"/>
      <c r="WTJ615" s="294"/>
      <c r="WTK615" s="294"/>
      <c r="WTL615" s="294"/>
      <c r="WTM615" s="294"/>
      <c r="WTN615" s="294"/>
      <c r="WTO615" s="294"/>
      <c r="WTP615" s="294"/>
      <c r="WTQ615" s="294"/>
      <c r="WTR615" s="294"/>
      <c r="WTS615" s="294"/>
      <c r="WTT615" s="294"/>
      <c r="WTU615" s="294"/>
      <c r="WTV615" s="294"/>
      <c r="WTW615" s="294"/>
      <c r="WTX615" s="294"/>
      <c r="WTY615" s="294"/>
      <c r="WTZ615" s="294"/>
      <c r="WUA615" s="294"/>
      <c r="WUB615" s="294"/>
      <c r="WUC615" s="294"/>
      <c r="WUD615" s="294"/>
      <c r="WUE615" s="294"/>
      <c r="WUF615" s="294"/>
      <c r="WUG615" s="294"/>
      <c r="WUH615" s="294"/>
      <c r="WUI615" s="294"/>
      <c r="WUJ615" s="294"/>
      <c r="WUK615" s="294"/>
      <c r="WUL615" s="294"/>
      <c r="WUM615" s="294"/>
      <c r="WUN615" s="294"/>
      <c r="WUO615" s="294"/>
      <c r="WUP615" s="294"/>
      <c r="WUQ615" s="294"/>
      <c r="WUR615" s="294"/>
      <c r="WUS615" s="294"/>
      <c r="WUT615" s="294"/>
      <c r="WUU615" s="294"/>
      <c r="WUV615" s="294"/>
      <c r="WUW615" s="294"/>
      <c r="WUX615" s="294"/>
      <c r="WUY615" s="294"/>
      <c r="WUZ615" s="294"/>
      <c r="WVA615" s="294"/>
      <c r="WVB615" s="294"/>
      <c r="WVC615" s="294"/>
      <c r="WVD615" s="294"/>
      <c r="WVE615" s="294"/>
      <c r="WVF615" s="294"/>
      <c r="WVG615" s="294"/>
      <c r="WVH615" s="294"/>
      <c r="WVI615" s="294"/>
      <c r="WVJ615" s="294"/>
      <c r="WVK615" s="294"/>
      <c r="WVL615" s="294"/>
      <c r="WVM615" s="294"/>
      <c r="WVN615" s="294"/>
      <c r="WVO615" s="294"/>
      <c r="WVP615" s="294"/>
      <c r="WVQ615" s="294"/>
      <c r="WVR615" s="294"/>
      <c r="WVS615" s="294"/>
      <c r="WVT615" s="294"/>
      <c r="WVU615" s="294"/>
      <c r="WVV615" s="294"/>
      <c r="WVW615" s="294"/>
      <c r="WVX615" s="294"/>
      <c r="WVY615" s="294"/>
      <c r="WVZ615" s="294"/>
      <c r="WWA615" s="294"/>
      <c r="WWB615" s="294"/>
      <c r="WWC615" s="294"/>
      <c r="WWD615" s="294"/>
      <c r="WWE615" s="294"/>
      <c r="WWF615" s="294"/>
      <c r="WWG615" s="294"/>
      <c r="WWH615" s="294"/>
      <c r="WWI615" s="294"/>
      <c r="WWJ615" s="294"/>
      <c r="WWK615" s="294"/>
      <c r="WWL615" s="294"/>
      <c r="WWM615" s="294"/>
      <c r="WWN615" s="294"/>
      <c r="WWO615" s="294"/>
      <c r="WWP615" s="294"/>
      <c r="WWQ615" s="294"/>
      <c r="WWR615" s="294"/>
      <c r="WWS615" s="294"/>
      <c r="WWT615" s="294"/>
      <c r="WWU615" s="294"/>
      <c r="WWV615" s="294"/>
      <c r="WWW615" s="294"/>
      <c r="WWX615" s="294"/>
      <c r="WWY615" s="294"/>
      <c r="WWZ615" s="294"/>
      <c r="WXA615" s="294"/>
      <c r="WXB615" s="294"/>
      <c r="WXC615" s="294"/>
      <c r="WXD615" s="294"/>
      <c r="WXE615" s="294"/>
      <c r="WXF615" s="294"/>
      <c r="WXG615" s="294"/>
      <c r="WXH615" s="294"/>
      <c r="WXI615" s="294"/>
      <c r="WXJ615" s="294"/>
      <c r="WXK615" s="294"/>
      <c r="WXL615" s="294"/>
      <c r="WXM615" s="294"/>
      <c r="WXN615" s="294"/>
      <c r="WXO615" s="294"/>
      <c r="WXP615" s="294"/>
      <c r="WXQ615" s="294"/>
      <c r="WXR615" s="294"/>
      <c r="WXS615" s="294"/>
      <c r="WXT615" s="294"/>
      <c r="WXU615" s="294"/>
      <c r="WXV615" s="294"/>
      <c r="WXW615" s="294"/>
      <c r="WXX615" s="294"/>
      <c r="WXY615" s="294"/>
      <c r="WXZ615" s="294"/>
      <c r="WYA615" s="294"/>
      <c r="WYB615" s="294"/>
      <c r="WYC615" s="294"/>
      <c r="WYD615" s="294"/>
      <c r="WYE615" s="294"/>
      <c r="WYF615" s="294"/>
      <c r="WYG615" s="294"/>
      <c r="WYH615" s="294"/>
      <c r="WYI615" s="294"/>
      <c r="WYJ615" s="294"/>
      <c r="WYK615" s="294"/>
      <c r="WYL615" s="294"/>
      <c r="WYM615" s="294"/>
      <c r="WYN615" s="294"/>
      <c r="WYO615" s="294"/>
      <c r="WYP615" s="294"/>
      <c r="WYQ615" s="294"/>
      <c r="WYR615" s="294"/>
      <c r="WYS615" s="294"/>
      <c r="WYT615" s="294"/>
      <c r="WYU615" s="294"/>
      <c r="WYV615" s="294"/>
      <c r="WYW615" s="294"/>
      <c r="WYX615" s="294"/>
      <c r="WYY615" s="294"/>
      <c r="WYZ615" s="294"/>
      <c r="WZA615" s="294"/>
      <c r="WZB615" s="294"/>
      <c r="WZC615" s="294"/>
      <c r="WZD615" s="294"/>
      <c r="WZE615" s="294"/>
      <c r="WZF615" s="294"/>
      <c r="WZG615" s="294"/>
      <c r="WZH615" s="294"/>
      <c r="WZI615" s="294"/>
      <c r="WZJ615" s="294"/>
      <c r="WZK615" s="294"/>
      <c r="WZL615" s="294"/>
      <c r="WZM615" s="294"/>
      <c r="WZN615" s="294"/>
      <c r="WZO615" s="294"/>
      <c r="WZP615" s="294"/>
      <c r="WZQ615" s="294"/>
      <c r="WZR615" s="294"/>
      <c r="WZS615" s="294"/>
      <c r="WZT615" s="294"/>
      <c r="WZU615" s="294"/>
      <c r="WZV615" s="294"/>
      <c r="WZW615" s="294"/>
      <c r="WZX615" s="294"/>
      <c r="WZY615" s="294"/>
      <c r="WZZ615" s="294"/>
      <c r="XAA615" s="294"/>
      <c r="XAB615" s="294"/>
      <c r="XAC615" s="294"/>
      <c r="XAD615" s="294"/>
      <c r="XAE615" s="294"/>
      <c r="XAF615" s="294"/>
      <c r="XAG615" s="294"/>
      <c r="XAH615" s="294"/>
      <c r="XAI615" s="294"/>
      <c r="XAJ615" s="294"/>
      <c r="XAK615" s="294"/>
      <c r="XAL615" s="294"/>
      <c r="XAM615" s="294"/>
      <c r="XAN615" s="294"/>
      <c r="XAO615" s="294"/>
      <c r="XAP615" s="294"/>
      <c r="XAQ615" s="294"/>
      <c r="XAR615" s="294"/>
      <c r="XAS615" s="294"/>
      <c r="XAT615" s="294"/>
      <c r="XAU615" s="294"/>
      <c r="XAV615" s="294"/>
      <c r="XAW615" s="294"/>
      <c r="XAX615" s="294"/>
      <c r="XAY615" s="294"/>
      <c r="XAZ615" s="294"/>
      <c r="XBA615" s="294"/>
      <c r="XBB615" s="294"/>
      <c r="XBC615" s="294"/>
      <c r="XBD615" s="294"/>
      <c r="XBE615" s="294"/>
      <c r="XBF615" s="294"/>
      <c r="XBG615" s="294"/>
      <c r="XBH615" s="294"/>
      <c r="XBI615" s="294"/>
      <c r="XBJ615" s="294"/>
      <c r="XBK615" s="294"/>
      <c r="XBL615" s="294"/>
      <c r="XBM615" s="294"/>
      <c r="XBN615" s="294"/>
      <c r="XBO615" s="294"/>
      <c r="XBP615" s="294"/>
      <c r="XBQ615" s="294"/>
      <c r="XBR615" s="294"/>
      <c r="XBS615" s="294"/>
      <c r="XBT615" s="294"/>
      <c r="XBU615" s="294"/>
      <c r="XBV615" s="294"/>
      <c r="XBW615" s="294"/>
      <c r="XBX615" s="294"/>
      <c r="XBY615" s="294"/>
      <c r="XBZ615" s="294"/>
      <c r="XCA615" s="294"/>
      <c r="XCB615" s="294"/>
      <c r="XCC615" s="294"/>
      <c r="XCD615" s="294"/>
      <c r="XCE615" s="294"/>
      <c r="XCF615" s="294"/>
      <c r="XCG615" s="294"/>
      <c r="XCH615" s="294"/>
      <c r="XCI615" s="294"/>
      <c r="XCJ615" s="294"/>
      <c r="XCK615" s="294"/>
      <c r="XCL615" s="294"/>
      <c r="XCM615" s="294"/>
      <c r="XCN615" s="294"/>
      <c r="XCO615" s="294"/>
      <c r="XCP615" s="294"/>
      <c r="XCQ615" s="294"/>
      <c r="XCR615" s="294"/>
      <c r="XCS615" s="294"/>
      <c r="XCT615" s="294"/>
      <c r="XCU615" s="294"/>
      <c r="XCV615" s="294"/>
      <c r="XCW615" s="294"/>
      <c r="XCX615" s="294"/>
      <c r="XCY615" s="294"/>
      <c r="XCZ615" s="294"/>
      <c r="XDA615" s="294"/>
      <c r="XDB615" s="294"/>
      <c r="XDC615" s="294"/>
      <c r="XDD615" s="294"/>
      <c r="XDE615" s="294"/>
      <c r="XDF615" s="294"/>
      <c r="XDG615" s="294"/>
      <c r="XDH615" s="294"/>
      <c r="XDI615" s="294"/>
      <c r="XDJ615" s="294"/>
      <c r="XDK615" s="294"/>
      <c r="XDL615" s="294"/>
      <c r="XDM615" s="294"/>
      <c r="XDN615" s="294"/>
      <c r="XDO615" s="294"/>
      <c r="XDP615" s="294"/>
      <c r="XDQ615" s="294"/>
      <c r="XDR615" s="294"/>
      <c r="XDS615" s="294"/>
      <c r="XDT615" s="294"/>
      <c r="XDU615" s="294"/>
      <c r="XDV615" s="294"/>
      <c r="XDW615" s="294"/>
      <c r="XDX615" s="294"/>
      <c r="XDY615" s="294"/>
      <c r="XDZ615" s="294"/>
      <c r="XEA615" s="294"/>
      <c r="XEB615" s="294"/>
      <c r="XEC615" s="294"/>
      <c r="XED615" s="294"/>
      <c r="XEE615" s="294"/>
      <c r="XEF615" s="294"/>
      <c r="XEG615" s="294"/>
      <c r="XEH615" s="294"/>
      <c r="XEI615" s="294"/>
      <c r="XEJ615" s="294"/>
      <c r="XEK615" s="294"/>
      <c r="XEL615" s="294"/>
      <c r="XEM615" s="294"/>
      <c r="XEN615" s="294"/>
      <c r="XEO615" s="294"/>
      <c r="XEP615" s="294"/>
      <c r="XEQ615" s="294"/>
      <c r="XER615" s="294"/>
      <c r="XES615" s="294"/>
      <c r="XET615" s="294"/>
      <c r="XEU615" s="294"/>
      <c r="XEV615" s="294"/>
      <c r="XEW615" s="294"/>
      <c r="XEX615" s="294"/>
      <c r="XEY615" s="294"/>
      <c r="XEZ615" s="294"/>
      <c r="XFA615" s="294"/>
      <c r="XFB615" s="294"/>
      <c r="XFC615" s="294"/>
    </row>
    <row r="616" spans="1:16384" s="458" customFormat="1" ht="73">
      <c r="A616" s="451" t="s">
        <v>6</v>
      </c>
      <c r="B616" s="452">
        <v>614</v>
      </c>
      <c r="C616" s="450" t="s">
        <v>1747</v>
      </c>
      <c r="D616" s="450" t="s">
        <v>3141</v>
      </c>
      <c r="E616" s="453" t="s">
        <v>2398</v>
      </c>
      <c r="F616" s="453" t="s">
        <v>2395</v>
      </c>
      <c r="G616" s="450" t="s">
        <v>684</v>
      </c>
      <c r="H616" s="450" t="s">
        <v>1772</v>
      </c>
      <c r="I616" s="450" t="s">
        <v>1773</v>
      </c>
      <c r="J616" s="450" t="s">
        <v>935</v>
      </c>
      <c r="K616" s="450" t="s">
        <v>935</v>
      </c>
      <c r="L616" s="452" t="s">
        <v>725</v>
      </c>
      <c r="M616" s="452" t="s">
        <v>725</v>
      </c>
      <c r="N616" s="450">
        <v>100</v>
      </c>
      <c r="O616" s="450">
        <v>30</v>
      </c>
      <c r="P616" s="452" t="s">
        <v>725</v>
      </c>
      <c r="Q616" s="450">
        <v>8</v>
      </c>
      <c r="R616" s="285">
        <v>23</v>
      </c>
      <c r="S616" s="285">
        <v>16</v>
      </c>
      <c r="T616" s="450">
        <v>8</v>
      </c>
      <c r="U616" s="450" t="s">
        <v>726</v>
      </c>
      <c r="V616" s="450" t="s">
        <v>727</v>
      </c>
      <c r="W616" s="450" t="s">
        <v>684</v>
      </c>
      <c r="X616" s="450" t="s">
        <v>684</v>
      </c>
      <c r="Y616" s="285" t="s">
        <v>1774</v>
      </c>
      <c r="Z616" s="450" t="s">
        <v>1775</v>
      </c>
      <c r="AA616" s="450">
        <v>0.5</v>
      </c>
      <c r="AB616" s="450" t="s">
        <v>684</v>
      </c>
      <c r="AC616" s="450" t="s">
        <v>684</v>
      </c>
      <c r="AD616" s="450" t="s">
        <v>684</v>
      </c>
      <c r="AE616" s="450" t="s">
        <v>684</v>
      </c>
      <c r="AF616" s="501">
        <v>-40</v>
      </c>
      <c r="AG616" s="501">
        <v>-40</v>
      </c>
      <c r="AH616" s="450">
        <v>86.5</v>
      </c>
      <c r="AI616" s="488" t="s">
        <v>1181</v>
      </c>
      <c r="AJ616" s="499" t="s">
        <v>2180</v>
      </c>
      <c r="AK616" s="450" t="s">
        <v>684</v>
      </c>
      <c r="AL616" s="450" t="s">
        <v>684</v>
      </c>
      <c r="AM616" s="285"/>
      <c r="AN616" s="467" t="s">
        <v>2397</v>
      </c>
      <c r="AO616" s="285"/>
      <c r="AP616" s="285"/>
      <c r="AQ616" s="285"/>
      <c r="AR616" s="285" t="s">
        <v>779</v>
      </c>
      <c r="AS616" s="285"/>
      <c r="AT616" s="285"/>
      <c r="AU616" s="285"/>
      <c r="AV616" s="285"/>
      <c r="AW616" s="456"/>
      <c r="AX616" s="457"/>
    </row>
    <row r="617" spans="1:16384" s="295" customFormat="1" ht="130">
      <c r="A617" s="140" t="s">
        <v>6</v>
      </c>
      <c r="B617" s="129">
        <v>615</v>
      </c>
      <c r="C617" s="141" t="s">
        <v>1747</v>
      </c>
      <c r="D617" s="242" t="s">
        <v>3118</v>
      </c>
      <c r="E617" s="242" t="s">
        <v>2110</v>
      </c>
      <c r="F617" s="242" t="s">
        <v>2108</v>
      </c>
      <c r="G617" s="242" t="s">
        <v>665</v>
      </c>
      <c r="H617" s="242" t="s">
        <v>1939</v>
      </c>
      <c r="I617" s="242" t="s">
        <v>1773</v>
      </c>
      <c r="J617" s="242" t="s">
        <v>815</v>
      </c>
      <c r="K617" s="242" t="s">
        <v>192</v>
      </c>
      <c r="L617" s="242" t="s">
        <v>198</v>
      </c>
      <c r="M617" s="242" t="s">
        <v>665</v>
      </c>
      <c r="N617" s="242">
        <v>100</v>
      </c>
      <c r="O617" s="242">
        <v>30</v>
      </c>
      <c r="P617" s="242" t="s">
        <v>665</v>
      </c>
      <c r="Q617" s="242">
        <v>8</v>
      </c>
      <c r="R617" s="242">
        <v>29</v>
      </c>
      <c r="S617" s="242">
        <v>24</v>
      </c>
      <c r="T617" s="242">
        <v>6</v>
      </c>
      <c r="U617" s="242" t="s">
        <v>670</v>
      </c>
      <c r="V617" s="242" t="s">
        <v>671</v>
      </c>
      <c r="W617" s="242">
        <v>200</v>
      </c>
      <c r="X617" s="242" t="s">
        <v>665</v>
      </c>
      <c r="Y617" s="242" t="s">
        <v>2109</v>
      </c>
      <c r="Z617" s="242" t="s">
        <v>2109</v>
      </c>
      <c r="AA617" s="242">
        <v>0.5</v>
      </c>
      <c r="AB617" s="242">
        <v>1</v>
      </c>
      <c r="AC617" s="242" t="s">
        <v>665</v>
      </c>
      <c r="AD617" s="242">
        <v>0.5</v>
      </c>
      <c r="AE617" s="242" t="s">
        <v>665</v>
      </c>
      <c r="AF617" s="242">
        <v>16</v>
      </c>
      <c r="AG617" s="242">
        <v>16</v>
      </c>
      <c r="AH617" s="242">
        <v>47.5</v>
      </c>
      <c r="AI617" s="242" t="s">
        <v>236</v>
      </c>
      <c r="AJ617" s="296" t="s">
        <v>2945</v>
      </c>
      <c r="AK617" s="242" t="s">
        <v>1940</v>
      </c>
      <c r="AL617" s="290" t="s">
        <v>2946</v>
      </c>
      <c r="AM617" s="242"/>
      <c r="AN617" s="291" t="s">
        <v>2104</v>
      </c>
      <c r="AO617" s="291"/>
      <c r="AP617" s="291"/>
      <c r="AQ617" s="291"/>
      <c r="AR617" s="291"/>
      <c r="AS617" s="291"/>
      <c r="AT617" s="291"/>
      <c r="AU617" s="291"/>
      <c r="AV617" s="291"/>
      <c r="AW617" s="292"/>
      <c r="AX617" s="293"/>
      <c r="AY617" s="294"/>
      <c r="AZ617" s="294"/>
      <c r="BA617" s="294"/>
      <c r="BB617" s="294"/>
      <c r="BC617" s="294"/>
      <c r="BD617" s="294"/>
      <c r="BE617" s="294"/>
      <c r="BF617" s="294"/>
      <c r="BG617" s="294"/>
      <c r="BH617" s="294"/>
      <c r="BI617" s="294"/>
      <c r="BJ617" s="294"/>
      <c r="BK617" s="294"/>
      <c r="BL617" s="294"/>
      <c r="BM617" s="294"/>
      <c r="BN617" s="294"/>
      <c r="BO617" s="294"/>
      <c r="BP617" s="294"/>
      <c r="BQ617" s="294"/>
      <c r="BR617" s="294"/>
      <c r="BS617" s="294"/>
      <c r="BT617" s="294"/>
      <c r="BU617" s="294"/>
      <c r="BV617" s="294"/>
      <c r="BW617" s="294"/>
      <c r="BX617" s="294"/>
      <c r="BY617" s="294"/>
      <c r="BZ617" s="294"/>
      <c r="CA617" s="294"/>
      <c r="CB617" s="294"/>
      <c r="CC617" s="294"/>
      <c r="CD617" s="294"/>
      <c r="CE617" s="294"/>
      <c r="CF617" s="294"/>
      <c r="CG617" s="294"/>
      <c r="CH617" s="294"/>
      <c r="CI617" s="294"/>
      <c r="CJ617" s="294"/>
      <c r="CK617" s="294"/>
      <c r="CL617" s="294"/>
      <c r="CM617" s="294"/>
      <c r="CN617" s="294"/>
      <c r="CO617" s="294"/>
      <c r="CP617" s="294"/>
      <c r="CQ617" s="294"/>
      <c r="CR617" s="294"/>
      <c r="CS617" s="294"/>
      <c r="CT617" s="294"/>
      <c r="CU617" s="294"/>
      <c r="CV617" s="294"/>
      <c r="CW617" s="294"/>
      <c r="CX617" s="294"/>
      <c r="CY617" s="294"/>
      <c r="CZ617" s="294"/>
      <c r="DA617" s="294"/>
      <c r="DB617" s="294"/>
      <c r="DC617" s="294"/>
      <c r="DD617" s="294"/>
      <c r="DE617" s="294"/>
      <c r="DF617" s="294"/>
      <c r="DG617" s="294"/>
      <c r="DH617" s="294"/>
      <c r="DI617" s="294"/>
      <c r="DJ617" s="294"/>
      <c r="DK617" s="294"/>
      <c r="DL617" s="294"/>
      <c r="DM617" s="294"/>
      <c r="DN617" s="294"/>
      <c r="DO617" s="294"/>
      <c r="DP617" s="294"/>
      <c r="DQ617" s="294"/>
      <c r="DR617" s="294"/>
      <c r="DS617" s="294"/>
      <c r="DT617" s="294"/>
      <c r="DU617" s="294"/>
      <c r="DV617" s="294"/>
      <c r="DW617" s="294"/>
      <c r="DX617" s="294"/>
      <c r="DY617" s="294"/>
      <c r="DZ617" s="294"/>
      <c r="EA617" s="294"/>
      <c r="EB617" s="294"/>
      <c r="EC617" s="294"/>
      <c r="ED617" s="294"/>
      <c r="EE617" s="294"/>
      <c r="EF617" s="294"/>
      <c r="EG617" s="294"/>
      <c r="EH617" s="294"/>
      <c r="EI617" s="294"/>
      <c r="EJ617" s="294"/>
      <c r="EK617" s="294"/>
      <c r="EL617" s="294"/>
      <c r="EM617" s="294"/>
      <c r="EN617" s="294"/>
      <c r="EO617" s="294"/>
      <c r="EP617" s="294"/>
      <c r="EQ617" s="294"/>
      <c r="ER617" s="294"/>
      <c r="ES617" s="294"/>
      <c r="ET617" s="294"/>
      <c r="EU617" s="294"/>
      <c r="EV617" s="294"/>
      <c r="EW617" s="294"/>
      <c r="EX617" s="294"/>
      <c r="EY617" s="294"/>
      <c r="EZ617" s="294"/>
      <c r="FA617" s="294"/>
      <c r="FB617" s="294"/>
      <c r="FC617" s="294"/>
      <c r="FD617" s="294"/>
      <c r="FE617" s="294"/>
      <c r="FF617" s="294"/>
      <c r="FG617" s="294"/>
      <c r="FH617" s="294"/>
      <c r="FI617" s="294"/>
      <c r="FJ617" s="294"/>
      <c r="FK617" s="294"/>
      <c r="FL617" s="294"/>
      <c r="FM617" s="294"/>
      <c r="FN617" s="294"/>
      <c r="FO617" s="294"/>
      <c r="FP617" s="294"/>
      <c r="FQ617" s="294"/>
      <c r="FR617" s="294"/>
      <c r="FS617" s="294"/>
      <c r="FT617" s="294"/>
      <c r="FU617" s="294"/>
      <c r="FV617" s="294"/>
      <c r="FW617" s="294"/>
      <c r="FX617" s="294"/>
      <c r="FY617" s="294"/>
      <c r="FZ617" s="294"/>
      <c r="GA617" s="294"/>
      <c r="GB617" s="294"/>
      <c r="GC617" s="294"/>
      <c r="GD617" s="294"/>
      <c r="GE617" s="294"/>
      <c r="GF617" s="294"/>
      <c r="GG617" s="294"/>
      <c r="GH617" s="294"/>
      <c r="GI617" s="294"/>
      <c r="GJ617" s="294"/>
      <c r="GK617" s="294"/>
      <c r="GL617" s="294"/>
      <c r="GM617" s="294"/>
      <c r="GN617" s="294"/>
      <c r="GO617" s="294"/>
      <c r="GP617" s="294"/>
      <c r="GQ617" s="294"/>
      <c r="GR617" s="294"/>
      <c r="GS617" s="294"/>
      <c r="GT617" s="294"/>
      <c r="GU617" s="294"/>
      <c r="GV617" s="294"/>
      <c r="GW617" s="294"/>
      <c r="GX617" s="294"/>
      <c r="GY617" s="294"/>
      <c r="GZ617" s="294"/>
      <c r="HA617" s="294"/>
      <c r="HB617" s="294"/>
      <c r="HC617" s="294"/>
      <c r="HD617" s="294"/>
      <c r="HE617" s="294"/>
      <c r="HF617" s="294"/>
      <c r="HG617" s="294"/>
      <c r="HH617" s="294"/>
      <c r="HI617" s="294"/>
      <c r="HJ617" s="294"/>
      <c r="HK617" s="294"/>
      <c r="HL617" s="294"/>
      <c r="HM617" s="294"/>
      <c r="HN617" s="294"/>
      <c r="HO617" s="294"/>
      <c r="HP617" s="294"/>
      <c r="HQ617" s="294"/>
      <c r="HR617" s="294"/>
      <c r="HS617" s="294"/>
      <c r="HT617" s="294"/>
      <c r="HU617" s="294"/>
      <c r="HV617" s="294"/>
      <c r="HW617" s="294"/>
      <c r="HX617" s="294"/>
      <c r="HY617" s="294"/>
      <c r="HZ617" s="294"/>
      <c r="IA617" s="294"/>
      <c r="IB617" s="294"/>
      <c r="IC617" s="294"/>
      <c r="ID617" s="294"/>
      <c r="IE617" s="294"/>
      <c r="IF617" s="294"/>
      <c r="IG617" s="294"/>
      <c r="IH617" s="294"/>
      <c r="II617" s="294"/>
      <c r="IJ617" s="294"/>
      <c r="IK617" s="294"/>
      <c r="IL617" s="294"/>
      <c r="IM617" s="294"/>
      <c r="IN617" s="294"/>
      <c r="IO617" s="294"/>
      <c r="IP617" s="294"/>
      <c r="IQ617" s="294"/>
      <c r="IR617" s="294"/>
      <c r="IS617" s="294"/>
      <c r="IT617" s="294"/>
      <c r="IU617" s="294"/>
      <c r="IV617" s="294"/>
      <c r="IW617" s="294"/>
      <c r="IX617" s="294"/>
      <c r="IY617" s="294"/>
      <c r="IZ617" s="294"/>
      <c r="JA617" s="294"/>
      <c r="JB617" s="294"/>
      <c r="JC617" s="294"/>
      <c r="JD617" s="294"/>
      <c r="JE617" s="294"/>
      <c r="JF617" s="294"/>
      <c r="JG617" s="294"/>
      <c r="JH617" s="294"/>
      <c r="JI617" s="294"/>
      <c r="JJ617" s="294"/>
      <c r="JK617" s="294"/>
      <c r="JL617" s="294"/>
      <c r="JM617" s="294"/>
      <c r="JN617" s="294"/>
      <c r="JO617" s="294"/>
      <c r="JP617" s="294"/>
      <c r="JQ617" s="294"/>
      <c r="JR617" s="294"/>
      <c r="JS617" s="294"/>
      <c r="JT617" s="294"/>
      <c r="JU617" s="294"/>
      <c r="JV617" s="294"/>
      <c r="JW617" s="294"/>
      <c r="JX617" s="294"/>
      <c r="JY617" s="294"/>
      <c r="JZ617" s="294"/>
      <c r="KA617" s="294"/>
      <c r="KB617" s="294"/>
      <c r="KC617" s="294"/>
      <c r="KD617" s="294"/>
      <c r="KE617" s="294"/>
      <c r="KF617" s="294"/>
      <c r="KG617" s="294"/>
      <c r="KH617" s="294"/>
      <c r="KI617" s="294"/>
      <c r="KJ617" s="294"/>
      <c r="KK617" s="294"/>
      <c r="KL617" s="294"/>
      <c r="KM617" s="294"/>
      <c r="KN617" s="294"/>
      <c r="KO617" s="294"/>
      <c r="KP617" s="294"/>
      <c r="KQ617" s="294"/>
      <c r="KR617" s="294"/>
      <c r="KS617" s="294"/>
      <c r="KT617" s="294"/>
      <c r="KU617" s="294"/>
      <c r="KV617" s="294"/>
      <c r="KW617" s="294"/>
      <c r="KX617" s="294"/>
      <c r="KY617" s="294"/>
      <c r="KZ617" s="294"/>
      <c r="LA617" s="294"/>
      <c r="LB617" s="294"/>
      <c r="LC617" s="294"/>
      <c r="LD617" s="294"/>
      <c r="LE617" s="294"/>
      <c r="LF617" s="294"/>
      <c r="LG617" s="294"/>
      <c r="LH617" s="294"/>
      <c r="LI617" s="294"/>
      <c r="LJ617" s="294"/>
      <c r="LK617" s="294"/>
      <c r="LL617" s="294"/>
      <c r="LM617" s="294"/>
      <c r="LN617" s="294"/>
      <c r="LO617" s="294"/>
      <c r="LP617" s="294"/>
      <c r="LQ617" s="294"/>
      <c r="LR617" s="294"/>
      <c r="LS617" s="294"/>
      <c r="LT617" s="294"/>
      <c r="LU617" s="294"/>
      <c r="LV617" s="294"/>
      <c r="LW617" s="294"/>
      <c r="LX617" s="294"/>
      <c r="LY617" s="294"/>
      <c r="LZ617" s="294"/>
      <c r="MA617" s="294"/>
      <c r="MB617" s="294"/>
      <c r="MC617" s="294"/>
      <c r="MD617" s="294"/>
      <c r="ME617" s="294"/>
      <c r="MF617" s="294"/>
      <c r="MG617" s="294"/>
      <c r="MH617" s="294"/>
      <c r="MI617" s="294"/>
      <c r="MJ617" s="294"/>
      <c r="MK617" s="294"/>
      <c r="ML617" s="294"/>
      <c r="MM617" s="294"/>
      <c r="MN617" s="294"/>
      <c r="MO617" s="294"/>
      <c r="MP617" s="294"/>
      <c r="MQ617" s="294"/>
      <c r="MR617" s="294"/>
      <c r="MS617" s="294"/>
      <c r="MT617" s="294"/>
      <c r="MU617" s="294"/>
      <c r="MV617" s="294"/>
      <c r="MW617" s="294"/>
      <c r="MX617" s="294"/>
      <c r="MY617" s="294"/>
      <c r="MZ617" s="294"/>
      <c r="NA617" s="294"/>
      <c r="NB617" s="294"/>
      <c r="NC617" s="294"/>
      <c r="ND617" s="294"/>
      <c r="NE617" s="294"/>
      <c r="NF617" s="294"/>
      <c r="NG617" s="294"/>
      <c r="NH617" s="294"/>
      <c r="NI617" s="294"/>
      <c r="NJ617" s="294"/>
      <c r="NK617" s="294"/>
      <c r="NL617" s="294"/>
      <c r="NM617" s="294"/>
      <c r="NN617" s="294"/>
      <c r="NO617" s="294"/>
      <c r="NP617" s="294"/>
      <c r="NQ617" s="294"/>
      <c r="NR617" s="294"/>
      <c r="NS617" s="294"/>
      <c r="NT617" s="294"/>
      <c r="NU617" s="294"/>
      <c r="NV617" s="294"/>
      <c r="NW617" s="294"/>
      <c r="NX617" s="294"/>
      <c r="NY617" s="294"/>
      <c r="NZ617" s="294"/>
      <c r="OA617" s="294"/>
      <c r="OB617" s="294"/>
      <c r="OC617" s="294"/>
      <c r="OD617" s="294"/>
      <c r="OE617" s="294"/>
      <c r="OF617" s="294"/>
      <c r="OG617" s="294"/>
      <c r="OH617" s="294"/>
      <c r="OI617" s="294"/>
      <c r="OJ617" s="294"/>
      <c r="OK617" s="294"/>
      <c r="OL617" s="294"/>
      <c r="OM617" s="294"/>
      <c r="ON617" s="294"/>
      <c r="OO617" s="294"/>
      <c r="OP617" s="294"/>
      <c r="OQ617" s="294"/>
      <c r="OR617" s="294"/>
      <c r="OS617" s="294"/>
      <c r="OT617" s="294"/>
      <c r="OU617" s="294"/>
      <c r="OV617" s="294"/>
      <c r="OW617" s="294"/>
      <c r="OX617" s="294"/>
      <c r="OY617" s="294"/>
      <c r="OZ617" s="294"/>
      <c r="PA617" s="294"/>
      <c r="PB617" s="294"/>
      <c r="PC617" s="294"/>
      <c r="PD617" s="294"/>
      <c r="PE617" s="294"/>
      <c r="PF617" s="294"/>
      <c r="PG617" s="294"/>
      <c r="PH617" s="294"/>
      <c r="PI617" s="294"/>
      <c r="PJ617" s="294"/>
      <c r="PK617" s="294"/>
      <c r="PL617" s="294"/>
      <c r="PM617" s="294"/>
      <c r="PN617" s="294"/>
      <c r="PO617" s="294"/>
      <c r="PP617" s="294"/>
      <c r="PQ617" s="294"/>
      <c r="PR617" s="294"/>
      <c r="PS617" s="294"/>
      <c r="PT617" s="294"/>
      <c r="PU617" s="294"/>
      <c r="PV617" s="294"/>
      <c r="PW617" s="294"/>
      <c r="PX617" s="294"/>
      <c r="PY617" s="294"/>
      <c r="PZ617" s="294"/>
      <c r="QA617" s="294"/>
      <c r="QB617" s="294"/>
      <c r="QC617" s="294"/>
      <c r="QD617" s="294"/>
      <c r="QE617" s="294"/>
      <c r="QF617" s="294"/>
      <c r="QG617" s="294"/>
      <c r="QH617" s="294"/>
      <c r="QI617" s="294"/>
      <c r="QJ617" s="294"/>
      <c r="QK617" s="294"/>
      <c r="QL617" s="294"/>
      <c r="QM617" s="294"/>
      <c r="QN617" s="294"/>
      <c r="QO617" s="294"/>
      <c r="QP617" s="294"/>
      <c r="QQ617" s="294"/>
      <c r="QR617" s="294"/>
      <c r="QS617" s="294"/>
      <c r="QT617" s="294"/>
      <c r="QU617" s="294"/>
      <c r="QV617" s="294"/>
      <c r="QW617" s="294"/>
      <c r="QX617" s="294"/>
      <c r="QY617" s="294"/>
      <c r="QZ617" s="294"/>
      <c r="RA617" s="294"/>
      <c r="RB617" s="294"/>
      <c r="RC617" s="294"/>
      <c r="RD617" s="294"/>
      <c r="RE617" s="294"/>
      <c r="RF617" s="294"/>
      <c r="RG617" s="294"/>
      <c r="RH617" s="294"/>
      <c r="RI617" s="294"/>
      <c r="RJ617" s="294"/>
      <c r="RK617" s="294"/>
      <c r="RL617" s="294"/>
      <c r="RM617" s="294"/>
      <c r="RN617" s="294"/>
      <c r="RO617" s="294"/>
      <c r="RP617" s="294"/>
      <c r="RQ617" s="294"/>
      <c r="RR617" s="294"/>
      <c r="RS617" s="294"/>
      <c r="RT617" s="294"/>
      <c r="RU617" s="294"/>
      <c r="RV617" s="294"/>
      <c r="RW617" s="294"/>
      <c r="RX617" s="294"/>
      <c r="RY617" s="294"/>
      <c r="RZ617" s="294"/>
      <c r="SA617" s="294"/>
      <c r="SB617" s="294"/>
      <c r="SC617" s="294"/>
      <c r="SD617" s="294"/>
      <c r="SE617" s="294"/>
      <c r="SF617" s="294"/>
      <c r="SG617" s="294"/>
      <c r="SH617" s="294"/>
      <c r="SI617" s="294"/>
      <c r="SJ617" s="294"/>
      <c r="SK617" s="294"/>
      <c r="SL617" s="294"/>
      <c r="SM617" s="294"/>
      <c r="SN617" s="294"/>
      <c r="SO617" s="294"/>
      <c r="SP617" s="294"/>
      <c r="SQ617" s="294"/>
      <c r="SR617" s="294"/>
      <c r="SS617" s="294"/>
      <c r="ST617" s="294"/>
      <c r="SU617" s="294"/>
      <c r="SV617" s="294"/>
      <c r="SW617" s="294"/>
      <c r="SX617" s="294"/>
      <c r="SY617" s="294"/>
      <c r="SZ617" s="294"/>
      <c r="TA617" s="294"/>
      <c r="TB617" s="294"/>
      <c r="TC617" s="294"/>
      <c r="TD617" s="294"/>
      <c r="TE617" s="294"/>
      <c r="TF617" s="294"/>
      <c r="TG617" s="294"/>
      <c r="TH617" s="294"/>
      <c r="TI617" s="294"/>
      <c r="TJ617" s="294"/>
      <c r="TK617" s="294"/>
      <c r="TL617" s="294"/>
      <c r="TM617" s="294"/>
      <c r="TN617" s="294"/>
      <c r="TO617" s="294"/>
      <c r="TP617" s="294"/>
      <c r="TQ617" s="294"/>
      <c r="TR617" s="294"/>
      <c r="TS617" s="294"/>
      <c r="TT617" s="294"/>
      <c r="TU617" s="294"/>
      <c r="TV617" s="294"/>
      <c r="TW617" s="294"/>
      <c r="TX617" s="294"/>
      <c r="TY617" s="294"/>
      <c r="TZ617" s="294"/>
      <c r="UA617" s="294"/>
      <c r="UB617" s="294"/>
      <c r="UC617" s="294"/>
      <c r="UD617" s="294"/>
      <c r="UE617" s="294"/>
      <c r="UF617" s="294"/>
      <c r="UG617" s="294"/>
      <c r="UH617" s="294"/>
      <c r="UI617" s="294"/>
      <c r="UJ617" s="294"/>
      <c r="UK617" s="294"/>
      <c r="UL617" s="294"/>
      <c r="UM617" s="294"/>
      <c r="UN617" s="294"/>
      <c r="UO617" s="294"/>
      <c r="UP617" s="294"/>
      <c r="UQ617" s="294"/>
      <c r="UR617" s="294"/>
      <c r="US617" s="294"/>
      <c r="UT617" s="294"/>
      <c r="UU617" s="294"/>
      <c r="UV617" s="294"/>
      <c r="UW617" s="294"/>
      <c r="UX617" s="294"/>
      <c r="UY617" s="294"/>
      <c r="UZ617" s="294"/>
      <c r="VA617" s="294"/>
      <c r="VB617" s="294"/>
      <c r="VC617" s="294"/>
      <c r="VD617" s="294"/>
      <c r="VE617" s="294"/>
      <c r="VF617" s="294"/>
      <c r="VG617" s="294"/>
      <c r="VH617" s="294"/>
      <c r="VI617" s="294"/>
      <c r="VJ617" s="294"/>
      <c r="VK617" s="294"/>
      <c r="VL617" s="294"/>
      <c r="VM617" s="294"/>
      <c r="VN617" s="294"/>
      <c r="VO617" s="294"/>
      <c r="VP617" s="294"/>
      <c r="VQ617" s="294"/>
      <c r="VR617" s="294"/>
      <c r="VS617" s="294"/>
      <c r="VT617" s="294"/>
      <c r="VU617" s="294"/>
      <c r="VV617" s="294"/>
      <c r="VW617" s="294"/>
      <c r="VX617" s="294"/>
      <c r="VY617" s="294"/>
      <c r="VZ617" s="294"/>
      <c r="WA617" s="294"/>
      <c r="WB617" s="294"/>
      <c r="WC617" s="294"/>
      <c r="WD617" s="294"/>
      <c r="WE617" s="294"/>
      <c r="WF617" s="294"/>
      <c r="WG617" s="294"/>
      <c r="WH617" s="294"/>
      <c r="WI617" s="294"/>
      <c r="WJ617" s="294"/>
      <c r="WK617" s="294"/>
      <c r="WL617" s="294"/>
      <c r="WM617" s="294"/>
      <c r="WN617" s="294"/>
      <c r="WO617" s="294"/>
      <c r="WP617" s="294"/>
      <c r="WQ617" s="294"/>
      <c r="WR617" s="294"/>
      <c r="WS617" s="294"/>
      <c r="WT617" s="294"/>
      <c r="WU617" s="294"/>
      <c r="WV617" s="294"/>
      <c r="WW617" s="294"/>
      <c r="WX617" s="294"/>
      <c r="WY617" s="294"/>
      <c r="WZ617" s="294"/>
      <c r="XA617" s="294"/>
      <c r="XB617" s="294"/>
      <c r="XC617" s="294"/>
      <c r="XD617" s="294"/>
      <c r="XE617" s="294"/>
      <c r="XF617" s="294"/>
      <c r="XG617" s="294"/>
      <c r="XH617" s="294"/>
      <c r="XI617" s="294"/>
      <c r="XJ617" s="294"/>
      <c r="XK617" s="294"/>
      <c r="XL617" s="294"/>
      <c r="XM617" s="294"/>
      <c r="XN617" s="294"/>
      <c r="XO617" s="294"/>
      <c r="XP617" s="294"/>
      <c r="XQ617" s="294"/>
      <c r="XR617" s="294"/>
      <c r="XS617" s="294"/>
      <c r="XT617" s="294"/>
      <c r="XU617" s="294"/>
      <c r="XV617" s="294"/>
      <c r="XW617" s="294"/>
      <c r="XX617" s="294"/>
      <c r="XY617" s="294"/>
      <c r="XZ617" s="294"/>
      <c r="YA617" s="294"/>
      <c r="YB617" s="294"/>
      <c r="YC617" s="294"/>
      <c r="YD617" s="294"/>
      <c r="YE617" s="294"/>
      <c r="YF617" s="294"/>
      <c r="YG617" s="294"/>
      <c r="YH617" s="294"/>
      <c r="YI617" s="294"/>
      <c r="YJ617" s="294"/>
      <c r="YK617" s="294"/>
      <c r="YL617" s="294"/>
      <c r="YM617" s="294"/>
      <c r="YN617" s="294"/>
      <c r="YO617" s="294"/>
      <c r="YP617" s="294"/>
      <c r="YQ617" s="294"/>
      <c r="YR617" s="294"/>
      <c r="YS617" s="294"/>
      <c r="YT617" s="294"/>
      <c r="YU617" s="294"/>
      <c r="YV617" s="294"/>
      <c r="YW617" s="294"/>
      <c r="YX617" s="294"/>
      <c r="YY617" s="294"/>
      <c r="YZ617" s="294"/>
      <c r="ZA617" s="294"/>
      <c r="ZB617" s="294"/>
      <c r="ZC617" s="294"/>
      <c r="ZD617" s="294"/>
      <c r="ZE617" s="294"/>
      <c r="ZF617" s="294"/>
      <c r="ZG617" s="294"/>
      <c r="ZH617" s="294"/>
      <c r="ZI617" s="294"/>
      <c r="ZJ617" s="294"/>
      <c r="ZK617" s="294"/>
      <c r="ZL617" s="294"/>
      <c r="ZM617" s="294"/>
      <c r="ZN617" s="294"/>
      <c r="ZO617" s="294"/>
      <c r="ZP617" s="294"/>
      <c r="ZQ617" s="294"/>
      <c r="ZR617" s="294"/>
      <c r="ZS617" s="294"/>
      <c r="ZT617" s="294"/>
      <c r="ZU617" s="294"/>
      <c r="ZV617" s="294"/>
      <c r="ZW617" s="294"/>
      <c r="ZX617" s="294"/>
      <c r="ZY617" s="294"/>
      <c r="ZZ617" s="294"/>
      <c r="AAA617" s="294"/>
      <c r="AAB617" s="294"/>
      <c r="AAC617" s="294"/>
      <c r="AAD617" s="294"/>
      <c r="AAE617" s="294"/>
      <c r="AAF617" s="294"/>
      <c r="AAG617" s="294"/>
      <c r="AAH617" s="294"/>
      <c r="AAI617" s="294"/>
      <c r="AAJ617" s="294"/>
      <c r="AAK617" s="294"/>
      <c r="AAL617" s="294"/>
      <c r="AAM617" s="294"/>
      <c r="AAN617" s="294"/>
      <c r="AAO617" s="294"/>
      <c r="AAP617" s="294"/>
      <c r="AAQ617" s="294"/>
      <c r="AAR617" s="294"/>
      <c r="AAS617" s="294"/>
      <c r="AAT617" s="294"/>
      <c r="AAU617" s="294"/>
      <c r="AAV617" s="294"/>
      <c r="AAW617" s="294"/>
      <c r="AAX617" s="294"/>
      <c r="AAY617" s="294"/>
      <c r="AAZ617" s="294"/>
      <c r="ABA617" s="294"/>
      <c r="ABB617" s="294"/>
      <c r="ABC617" s="294"/>
      <c r="ABD617" s="294"/>
      <c r="ABE617" s="294"/>
      <c r="ABF617" s="294"/>
      <c r="ABG617" s="294"/>
      <c r="ABH617" s="294"/>
      <c r="ABI617" s="294"/>
      <c r="ABJ617" s="294"/>
      <c r="ABK617" s="294"/>
      <c r="ABL617" s="294"/>
      <c r="ABM617" s="294"/>
      <c r="ABN617" s="294"/>
      <c r="ABO617" s="294"/>
      <c r="ABP617" s="294"/>
      <c r="ABQ617" s="294"/>
      <c r="ABR617" s="294"/>
      <c r="ABS617" s="294"/>
      <c r="ABT617" s="294"/>
      <c r="ABU617" s="294"/>
      <c r="ABV617" s="294"/>
      <c r="ABW617" s="294"/>
      <c r="ABX617" s="294"/>
      <c r="ABY617" s="294"/>
      <c r="ABZ617" s="294"/>
      <c r="ACA617" s="294"/>
      <c r="ACB617" s="294"/>
      <c r="ACC617" s="294"/>
      <c r="ACD617" s="294"/>
      <c r="ACE617" s="294"/>
      <c r="ACF617" s="294"/>
      <c r="ACG617" s="294"/>
      <c r="ACH617" s="294"/>
      <c r="ACI617" s="294"/>
      <c r="ACJ617" s="294"/>
      <c r="ACK617" s="294"/>
      <c r="ACL617" s="294"/>
      <c r="ACM617" s="294"/>
      <c r="ACN617" s="294"/>
      <c r="ACO617" s="294"/>
      <c r="ACP617" s="294"/>
      <c r="ACQ617" s="294"/>
      <c r="ACR617" s="294"/>
      <c r="ACS617" s="294"/>
      <c r="ACT617" s="294"/>
      <c r="ACU617" s="294"/>
      <c r="ACV617" s="294"/>
      <c r="ACW617" s="294"/>
      <c r="ACX617" s="294"/>
      <c r="ACY617" s="294"/>
      <c r="ACZ617" s="294"/>
      <c r="ADA617" s="294"/>
      <c r="ADB617" s="294"/>
      <c r="ADC617" s="294"/>
      <c r="ADD617" s="294"/>
      <c r="ADE617" s="294"/>
      <c r="ADF617" s="294"/>
      <c r="ADG617" s="294"/>
      <c r="ADH617" s="294"/>
      <c r="ADI617" s="294"/>
      <c r="ADJ617" s="294"/>
      <c r="ADK617" s="294"/>
      <c r="ADL617" s="294"/>
      <c r="ADM617" s="294"/>
      <c r="ADN617" s="294"/>
      <c r="ADO617" s="294"/>
      <c r="ADP617" s="294"/>
      <c r="ADQ617" s="294"/>
      <c r="ADR617" s="294"/>
      <c r="ADS617" s="294"/>
      <c r="ADT617" s="294"/>
      <c r="ADU617" s="294"/>
      <c r="ADV617" s="294"/>
      <c r="ADW617" s="294"/>
      <c r="ADX617" s="294"/>
      <c r="ADY617" s="294"/>
      <c r="ADZ617" s="294"/>
      <c r="AEA617" s="294"/>
      <c r="AEB617" s="294"/>
      <c r="AEC617" s="294"/>
      <c r="AED617" s="294"/>
      <c r="AEE617" s="294"/>
      <c r="AEF617" s="294"/>
      <c r="AEG617" s="294"/>
      <c r="AEH617" s="294"/>
      <c r="AEI617" s="294"/>
      <c r="AEJ617" s="294"/>
      <c r="AEK617" s="294"/>
      <c r="AEL617" s="294"/>
      <c r="AEM617" s="294"/>
      <c r="AEN617" s="294"/>
      <c r="AEO617" s="294"/>
      <c r="AEP617" s="294"/>
      <c r="AEQ617" s="294"/>
      <c r="AER617" s="294"/>
      <c r="AES617" s="294"/>
      <c r="AET617" s="294"/>
      <c r="AEU617" s="294"/>
      <c r="AEV617" s="294"/>
      <c r="AEW617" s="294"/>
      <c r="AEX617" s="294"/>
      <c r="AEY617" s="294"/>
      <c r="AEZ617" s="294"/>
      <c r="AFA617" s="294"/>
      <c r="AFB617" s="294"/>
      <c r="AFC617" s="294"/>
      <c r="AFD617" s="294"/>
      <c r="AFE617" s="294"/>
      <c r="AFF617" s="294"/>
      <c r="AFG617" s="294"/>
      <c r="AFH617" s="294"/>
      <c r="AFI617" s="294"/>
      <c r="AFJ617" s="294"/>
      <c r="AFK617" s="294"/>
      <c r="AFL617" s="294"/>
      <c r="AFM617" s="294"/>
      <c r="AFN617" s="294"/>
      <c r="AFO617" s="294"/>
      <c r="AFP617" s="294"/>
      <c r="AFQ617" s="294"/>
      <c r="AFR617" s="294"/>
      <c r="AFS617" s="294"/>
      <c r="AFT617" s="294"/>
      <c r="AFU617" s="294"/>
      <c r="AFV617" s="294"/>
      <c r="AFW617" s="294"/>
      <c r="AFX617" s="294"/>
      <c r="AFY617" s="294"/>
      <c r="AFZ617" s="294"/>
      <c r="AGA617" s="294"/>
      <c r="AGB617" s="294"/>
      <c r="AGC617" s="294"/>
      <c r="AGD617" s="294"/>
      <c r="AGE617" s="294"/>
      <c r="AGF617" s="294"/>
      <c r="AGG617" s="294"/>
      <c r="AGH617" s="294"/>
      <c r="AGI617" s="294"/>
      <c r="AGJ617" s="294"/>
      <c r="AGK617" s="294"/>
      <c r="AGL617" s="294"/>
      <c r="AGM617" s="294"/>
      <c r="AGN617" s="294"/>
      <c r="AGO617" s="294"/>
      <c r="AGP617" s="294"/>
      <c r="AGQ617" s="294"/>
      <c r="AGR617" s="294"/>
      <c r="AGS617" s="294"/>
      <c r="AGT617" s="294"/>
      <c r="AGU617" s="294"/>
      <c r="AGV617" s="294"/>
      <c r="AGW617" s="294"/>
      <c r="AGX617" s="294"/>
      <c r="AGY617" s="294"/>
      <c r="AGZ617" s="294"/>
      <c r="AHA617" s="294"/>
      <c r="AHB617" s="294"/>
      <c r="AHC617" s="294"/>
      <c r="AHD617" s="294"/>
      <c r="AHE617" s="294"/>
      <c r="AHF617" s="294"/>
      <c r="AHG617" s="294"/>
      <c r="AHH617" s="294"/>
      <c r="AHI617" s="294"/>
      <c r="AHJ617" s="294"/>
      <c r="AHK617" s="294"/>
      <c r="AHL617" s="294"/>
      <c r="AHM617" s="294"/>
      <c r="AHN617" s="294"/>
      <c r="AHO617" s="294"/>
      <c r="AHP617" s="294"/>
      <c r="AHQ617" s="294"/>
      <c r="AHR617" s="294"/>
      <c r="AHS617" s="294"/>
      <c r="AHT617" s="294"/>
      <c r="AHU617" s="294"/>
      <c r="AHV617" s="294"/>
      <c r="AHW617" s="294"/>
      <c r="AHX617" s="294"/>
      <c r="AHY617" s="294"/>
      <c r="AHZ617" s="294"/>
      <c r="AIA617" s="294"/>
      <c r="AIB617" s="294"/>
      <c r="AIC617" s="294"/>
      <c r="AID617" s="294"/>
      <c r="AIE617" s="294"/>
      <c r="AIF617" s="294"/>
      <c r="AIG617" s="294"/>
      <c r="AIH617" s="294"/>
      <c r="AII617" s="294"/>
      <c r="AIJ617" s="294"/>
      <c r="AIK617" s="294"/>
      <c r="AIL617" s="294"/>
      <c r="AIM617" s="294"/>
      <c r="AIN617" s="294"/>
      <c r="AIO617" s="294"/>
      <c r="AIP617" s="294"/>
      <c r="AIQ617" s="294"/>
      <c r="AIR617" s="294"/>
      <c r="AIS617" s="294"/>
      <c r="AIT617" s="294"/>
      <c r="AIU617" s="294"/>
      <c r="AIV617" s="294"/>
      <c r="AIW617" s="294"/>
      <c r="AIX617" s="294"/>
      <c r="AIY617" s="294"/>
      <c r="AIZ617" s="294"/>
      <c r="AJA617" s="294"/>
      <c r="AJB617" s="294"/>
      <c r="AJC617" s="294"/>
      <c r="AJD617" s="294"/>
      <c r="AJE617" s="294"/>
      <c r="AJF617" s="294"/>
      <c r="AJG617" s="294"/>
      <c r="AJH617" s="294"/>
      <c r="AJI617" s="294"/>
      <c r="AJJ617" s="294"/>
      <c r="AJK617" s="294"/>
      <c r="AJL617" s="294"/>
      <c r="AJM617" s="294"/>
      <c r="AJN617" s="294"/>
      <c r="AJO617" s="294"/>
      <c r="AJP617" s="294"/>
      <c r="AJQ617" s="294"/>
      <c r="AJR617" s="294"/>
      <c r="AJS617" s="294"/>
      <c r="AJT617" s="294"/>
      <c r="AJU617" s="294"/>
      <c r="AJV617" s="294"/>
      <c r="AJW617" s="294"/>
      <c r="AJX617" s="294"/>
      <c r="AJY617" s="294"/>
      <c r="AJZ617" s="294"/>
      <c r="AKA617" s="294"/>
      <c r="AKB617" s="294"/>
      <c r="AKC617" s="294"/>
      <c r="AKD617" s="294"/>
      <c r="AKE617" s="294"/>
      <c r="AKF617" s="294"/>
      <c r="AKG617" s="294"/>
      <c r="AKH617" s="294"/>
      <c r="AKI617" s="294"/>
      <c r="AKJ617" s="294"/>
      <c r="AKK617" s="294"/>
      <c r="AKL617" s="294"/>
      <c r="AKM617" s="294"/>
      <c r="AKN617" s="294"/>
      <c r="AKO617" s="294"/>
      <c r="AKP617" s="294"/>
      <c r="AKQ617" s="294"/>
      <c r="AKR617" s="294"/>
      <c r="AKS617" s="294"/>
      <c r="AKT617" s="294"/>
      <c r="AKU617" s="294"/>
      <c r="AKV617" s="294"/>
      <c r="AKW617" s="294"/>
      <c r="AKX617" s="294"/>
      <c r="AKY617" s="294"/>
      <c r="AKZ617" s="294"/>
      <c r="ALA617" s="294"/>
      <c r="ALB617" s="294"/>
      <c r="ALC617" s="294"/>
      <c r="ALD617" s="294"/>
      <c r="ALE617" s="294"/>
      <c r="ALF617" s="294"/>
      <c r="ALG617" s="294"/>
      <c r="ALH617" s="294"/>
      <c r="ALI617" s="294"/>
      <c r="ALJ617" s="294"/>
      <c r="ALK617" s="294"/>
      <c r="ALL617" s="294"/>
      <c r="ALM617" s="294"/>
      <c r="ALN617" s="294"/>
      <c r="ALO617" s="294"/>
      <c r="ALP617" s="294"/>
      <c r="ALQ617" s="294"/>
      <c r="ALR617" s="294"/>
      <c r="ALS617" s="294"/>
      <c r="ALT617" s="294"/>
      <c r="ALU617" s="294"/>
      <c r="ALV617" s="294"/>
      <c r="ALW617" s="294"/>
      <c r="ALX617" s="294"/>
      <c r="ALY617" s="294"/>
      <c r="ALZ617" s="294"/>
      <c r="AMA617" s="294"/>
      <c r="AMB617" s="294"/>
      <c r="AMC617" s="294"/>
      <c r="AMD617" s="294"/>
      <c r="AME617" s="294"/>
      <c r="AMF617" s="294"/>
      <c r="AMG617" s="294"/>
      <c r="AMH617" s="294"/>
      <c r="AMI617" s="294"/>
      <c r="AMJ617" s="294"/>
      <c r="AMK617" s="294"/>
      <c r="AML617" s="294"/>
      <c r="AMM617" s="294"/>
      <c r="AMN617" s="294"/>
      <c r="AMO617" s="294"/>
      <c r="AMP617" s="294"/>
      <c r="AMQ617" s="294"/>
      <c r="AMR617" s="294"/>
      <c r="AMS617" s="294"/>
      <c r="AMT617" s="294"/>
      <c r="AMU617" s="294"/>
      <c r="AMV617" s="294"/>
      <c r="AMW617" s="294"/>
      <c r="AMX617" s="294"/>
      <c r="AMY617" s="294"/>
      <c r="AMZ617" s="294"/>
      <c r="ANA617" s="294"/>
      <c r="ANB617" s="294"/>
      <c r="ANC617" s="294"/>
      <c r="AND617" s="294"/>
      <c r="ANE617" s="294"/>
      <c r="ANF617" s="294"/>
      <c r="ANG617" s="294"/>
      <c r="ANH617" s="294"/>
      <c r="ANI617" s="294"/>
      <c r="ANJ617" s="294"/>
      <c r="ANK617" s="294"/>
      <c r="ANL617" s="294"/>
      <c r="ANM617" s="294"/>
      <c r="ANN617" s="294"/>
      <c r="ANO617" s="294"/>
      <c r="ANP617" s="294"/>
      <c r="ANQ617" s="294"/>
      <c r="ANR617" s="294"/>
      <c r="ANS617" s="294"/>
      <c r="ANT617" s="294"/>
      <c r="ANU617" s="294"/>
      <c r="ANV617" s="294"/>
      <c r="ANW617" s="294"/>
      <c r="ANX617" s="294"/>
      <c r="ANY617" s="294"/>
      <c r="ANZ617" s="294"/>
      <c r="AOA617" s="294"/>
      <c r="AOB617" s="294"/>
      <c r="AOC617" s="294"/>
      <c r="AOD617" s="294"/>
      <c r="AOE617" s="294"/>
      <c r="AOF617" s="294"/>
      <c r="AOG617" s="294"/>
      <c r="AOH617" s="294"/>
      <c r="AOI617" s="294"/>
      <c r="AOJ617" s="294"/>
      <c r="AOK617" s="294"/>
      <c r="AOL617" s="294"/>
      <c r="AOM617" s="294"/>
      <c r="AON617" s="294"/>
      <c r="AOO617" s="294"/>
      <c r="AOP617" s="294"/>
      <c r="AOQ617" s="294"/>
      <c r="AOR617" s="294"/>
      <c r="AOS617" s="294"/>
      <c r="AOT617" s="294"/>
      <c r="AOU617" s="294"/>
      <c r="AOV617" s="294"/>
      <c r="AOW617" s="294"/>
      <c r="AOX617" s="294"/>
      <c r="AOY617" s="294"/>
      <c r="AOZ617" s="294"/>
      <c r="APA617" s="294"/>
      <c r="APB617" s="294"/>
      <c r="APC617" s="294"/>
      <c r="APD617" s="294"/>
      <c r="APE617" s="294"/>
      <c r="APF617" s="294"/>
      <c r="APG617" s="294"/>
      <c r="APH617" s="294"/>
      <c r="API617" s="294"/>
      <c r="APJ617" s="294"/>
      <c r="APK617" s="294"/>
      <c r="APL617" s="294"/>
      <c r="APM617" s="294"/>
      <c r="APN617" s="294"/>
      <c r="APO617" s="294"/>
      <c r="APP617" s="294"/>
      <c r="APQ617" s="294"/>
      <c r="APR617" s="294"/>
      <c r="APS617" s="294"/>
      <c r="APT617" s="294"/>
      <c r="APU617" s="294"/>
      <c r="APV617" s="294"/>
      <c r="APW617" s="294"/>
      <c r="APX617" s="294"/>
      <c r="APY617" s="294"/>
      <c r="APZ617" s="294"/>
      <c r="AQA617" s="294"/>
      <c r="AQB617" s="294"/>
      <c r="AQC617" s="294"/>
      <c r="AQD617" s="294"/>
      <c r="AQE617" s="294"/>
      <c r="AQF617" s="294"/>
      <c r="AQG617" s="294"/>
      <c r="AQH617" s="294"/>
      <c r="AQI617" s="294"/>
      <c r="AQJ617" s="294"/>
      <c r="AQK617" s="294"/>
      <c r="AQL617" s="294"/>
      <c r="AQM617" s="294"/>
      <c r="AQN617" s="294"/>
      <c r="AQO617" s="294"/>
      <c r="AQP617" s="294"/>
      <c r="AQQ617" s="294"/>
      <c r="AQR617" s="294"/>
      <c r="AQS617" s="294"/>
      <c r="AQT617" s="294"/>
      <c r="AQU617" s="294"/>
      <c r="AQV617" s="294"/>
      <c r="AQW617" s="294"/>
      <c r="AQX617" s="294"/>
      <c r="AQY617" s="294"/>
      <c r="AQZ617" s="294"/>
      <c r="ARA617" s="294"/>
      <c r="ARB617" s="294"/>
      <c r="ARC617" s="294"/>
      <c r="ARD617" s="294"/>
      <c r="ARE617" s="294"/>
      <c r="ARF617" s="294"/>
      <c r="ARG617" s="294"/>
      <c r="ARH617" s="294"/>
      <c r="ARI617" s="294"/>
      <c r="ARJ617" s="294"/>
      <c r="ARK617" s="294"/>
      <c r="ARL617" s="294"/>
      <c r="ARM617" s="294"/>
      <c r="ARN617" s="294"/>
      <c r="ARO617" s="294"/>
      <c r="ARP617" s="294"/>
      <c r="ARQ617" s="294"/>
      <c r="ARR617" s="294"/>
      <c r="ARS617" s="294"/>
      <c r="ART617" s="294"/>
      <c r="ARU617" s="294"/>
      <c r="ARV617" s="294"/>
      <c r="ARW617" s="294"/>
      <c r="ARX617" s="294"/>
      <c r="ARY617" s="294"/>
      <c r="ARZ617" s="294"/>
      <c r="ASA617" s="294"/>
      <c r="ASB617" s="294"/>
      <c r="ASC617" s="294"/>
      <c r="ASD617" s="294"/>
      <c r="ASE617" s="294"/>
      <c r="ASF617" s="294"/>
      <c r="ASG617" s="294"/>
      <c r="ASH617" s="294"/>
      <c r="ASI617" s="294"/>
      <c r="ASJ617" s="294"/>
      <c r="ASK617" s="294"/>
      <c r="ASL617" s="294"/>
      <c r="ASM617" s="294"/>
      <c r="ASN617" s="294"/>
      <c r="ASO617" s="294"/>
      <c r="ASP617" s="294"/>
      <c r="ASQ617" s="294"/>
      <c r="ASR617" s="294"/>
      <c r="ASS617" s="294"/>
      <c r="AST617" s="294"/>
      <c r="ASU617" s="294"/>
      <c r="ASV617" s="294"/>
      <c r="ASW617" s="294"/>
      <c r="ASX617" s="294"/>
      <c r="ASY617" s="294"/>
      <c r="ASZ617" s="294"/>
      <c r="ATA617" s="294"/>
      <c r="ATB617" s="294"/>
      <c r="ATC617" s="294"/>
      <c r="ATD617" s="294"/>
      <c r="ATE617" s="294"/>
      <c r="ATF617" s="294"/>
      <c r="ATG617" s="294"/>
      <c r="ATH617" s="294"/>
      <c r="ATI617" s="294"/>
      <c r="ATJ617" s="294"/>
      <c r="ATK617" s="294"/>
      <c r="ATL617" s="294"/>
      <c r="ATM617" s="294"/>
      <c r="ATN617" s="294"/>
      <c r="ATO617" s="294"/>
      <c r="ATP617" s="294"/>
      <c r="ATQ617" s="294"/>
      <c r="ATR617" s="294"/>
      <c r="ATS617" s="294"/>
      <c r="ATT617" s="294"/>
      <c r="ATU617" s="294"/>
      <c r="ATV617" s="294"/>
      <c r="ATW617" s="294"/>
      <c r="ATX617" s="294"/>
      <c r="ATY617" s="294"/>
      <c r="ATZ617" s="294"/>
      <c r="AUA617" s="294"/>
      <c r="AUB617" s="294"/>
      <c r="AUC617" s="294"/>
      <c r="AUD617" s="294"/>
      <c r="AUE617" s="294"/>
      <c r="AUF617" s="294"/>
      <c r="AUG617" s="294"/>
      <c r="AUH617" s="294"/>
      <c r="AUI617" s="294"/>
      <c r="AUJ617" s="294"/>
      <c r="AUK617" s="294"/>
      <c r="AUL617" s="294"/>
      <c r="AUM617" s="294"/>
      <c r="AUN617" s="294"/>
      <c r="AUO617" s="294"/>
      <c r="AUP617" s="294"/>
      <c r="AUQ617" s="294"/>
      <c r="AUR617" s="294"/>
      <c r="AUS617" s="294"/>
      <c r="AUT617" s="294"/>
      <c r="AUU617" s="294"/>
      <c r="AUV617" s="294"/>
      <c r="AUW617" s="294"/>
      <c r="AUX617" s="294"/>
      <c r="AUY617" s="294"/>
      <c r="AUZ617" s="294"/>
      <c r="AVA617" s="294"/>
      <c r="AVB617" s="294"/>
      <c r="AVC617" s="294"/>
      <c r="AVD617" s="294"/>
      <c r="AVE617" s="294"/>
      <c r="AVF617" s="294"/>
      <c r="AVG617" s="294"/>
      <c r="AVH617" s="294"/>
      <c r="AVI617" s="294"/>
      <c r="AVJ617" s="294"/>
      <c r="AVK617" s="294"/>
      <c r="AVL617" s="294"/>
      <c r="AVM617" s="294"/>
      <c r="AVN617" s="294"/>
      <c r="AVO617" s="294"/>
      <c r="AVP617" s="294"/>
      <c r="AVQ617" s="294"/>
      <c r="AVR617" s="294"/>
      <c r="AVS617" s="294"/>
      <c r="AVT617" s="294"/>
      <c r="AVU617" s="294"/>
      <c r="AVV617" s="294"/>
      <c r="AVW617" s="294"/>
      <c r="AVX617" s="294"/>
      <c r="AVY617" s="294"/>
      <c r="AVZ617" s="294"/>
      <c r="AWA617" s="294"/>
      <c r="AWB617" s="294"/>
      <c r="AWC617" s="294"/>
      <c r="AWD617" s="294"/>
      <c r="AWE617" s="294"/>
      <c r="AWF617" s="294"/>
      <c r="AWG617" s="294"/>
      <c r="AWH617" s="294"/>
      <c r="AWI617" s="294"/>
      <c r="AWJ617" s="294"/>
      <c r="AWK617" s="294"/>
      <c r="AWL617" s="294"/>
      <c r="AWM617" s="294"/>
      <c r="AWN617" s="294"/>
      <c r="AWO617" s="294"/>
      <c r="AWP617" s="294"/>
      <c r="AWQ617" s="294"/>
      <c r="AWR617" s="294"/>
      <c r="AWS617" s="294"/>
      <c r="AWT617" s="294"/>
      <c r="AWU617" s="294"/>
      <c r="AWV617" s="294"/>
      <c r="AWW617" s="294"/>
      <c r="AWX617" s="294"/>
      <c r="AWY617" s="294"/>
      <c r="AWZ617" s="294"/>
      <c r="AXA617" s="294"/>
      <c r="AXB617" s="294"/>
      <c r="AXC617" s="294"/>
      <c r="AXD617" s="294"/>
      <c r="AXE617" s="294"/>
      <c r="AXF617" s="294"/>
      <c r="AXG617" s="294"/>
      <c r="AXH617" s="294"/>
      <c r="AXI617" s="294"/>
      <c r="AXJ617" s="294"/>
      <c r="AXK617" s="294"/>
      <c r="AXL617" s="294"/>
      <c r="AXM617" s="294"/>
      <c r="AXN617" s="294"/>
      <c r="AXO617" s="294"/>
      <c r="AXP617" s="294"/>
      <c r="AXQ617" s="294"/>
      <c r="AXR617" s="294"/>
      <c r="AXS617" s="294"/>
      <c r="AXT617" s="294"/>
      <c r="AXU617" s="294"/>
      <c r="AXV617" s="294"/>
      <c r="AXW617" s="294"/>
      <c r="AXX617" s="294"/>
      <c r="AXY617" s="294"/>
      <c r="AXZ617" s="294"/>
      <c r="AYA617" s="294"/>
      <c r="AYB617" s="294"/>
      <c r="AYC617" s="294"/>
      <c r="AYD617" s="294"/>
      <c r="AYE617" s="294"/>
      <c r="AYF617" s="294"/>
      <c r="AYG617" s="294"/>
      <c r="AYH617" s="294"/>
      <c r="AYI617" s="294"/>
      <c r="AYJ617" s="294"/>
      <c r="AYK617" s="294"/>
      <c r="AYL617" s="294"/>
      <c r="AYM617" s="294"/>
      <c r="AYN617" s="294"/>
      <c r="AYO617" s="294"/>
      <c r="AYP617" s="294"/>
      <c r="AYQ617" s="294"/>
      <c r="AYR617" s="294"/>
      <c r="AYS617" s="294"/>
      <c r="AYT617" s="294"/>
      <c r="AYU617" s="294"/>
      <c r="AYV617" s="294"/>
      <c r="AYW617" s="294"/>
      <c r="AYX617" s="294"/>
      <c r="AYY617" s="294"/>
      <c r="AYZ617" s="294"/>
      <c r="AZA617" s="294"/>
      <c r="AZB617" s="294"/>
      <c r="AZC617" s="294"/>
      <c r="AZD617" s="294"/>
      <c r="AZE617" s="294"/>
      <c r="AZF617" s="294"/>
      <c r="AZG617" s="294"/>
      <c r="AZH617" s="294"/>
      <c r="AZI617" s="294"/>
      <c r="AZJ617" s="294"/>
      <c r="AZK617" s="294"/>
      <c r="AZL617" s="294"/>
      <c r="AZM617" s="294"/>
      <c r="AZN617" s="294"/>
      <c r="AZO617" s="294"/>
      <c r="AZP617" s="294"/>
      <c r="AZQ617" s="294"/>
      <c r="AZR617" s="294"/>
      <c r="AZS617" s="294"/>
      <c r="AZT617" s="294"/>
      <c r="AZU617" s="294"/>
      <c r="AZV617" s="294"/>
      <c r="AZW617" s="294"/>
      <c r="AZX617" s="294"/>
      <c r="AZY617" s="294"/>
      <c r="AZZ617" s="294"/>
      <c r="BAA617" s="294"/>
      <c r="BAB617" s="294"/>
      <c r="BAC617" s="294"/>
      <c r="BAD617" s="294"/>
      <c r="BAE617" s="294"/>
      <c r="BAF617" s="294"/>
      <c r="BAG617" s="294"/>
      <c r="BAH617" s="294"/>
      <c r="BAI617" s="294"/>
      <c r="BAJ617" s="294"/>
      <c r="BAK617" s="294"/>
      <c r="BAL617" s="294"/>
      <c r="BAM617" s="294"/>
      <c r="BAN617" s="294"/>
      <c r="BAO617" s="294"/>
      <c r="BAP617" s="294"/>
      <c r="BAQ617" s="294"/>
      <c r="BAR617" s="294"/>
      <c r="BAS617" s="294"/>
      <c r="BAT617" s="294"/>
      <c r="BAU617" s="294"/>
      <c r="BAV617" s="294"/>
      <c r="BAW617" s="294"/>
      <c r="BAX617" s="294"/>
      <c r="BAY617" s="294"/>
      <c r="BAZ617" s="294"/>
      <c r="BBA617" s="294"/>
      <c r="BBB617" s="294"/>
      <c r="BBC617" s="294"/>
      <c r="BBD617" s="294"/>
      <c r="BBE617" s="294"/>
      <c r="BBF617" s="294"/>
      <c r="BBG617" s="294"/>
      <c r="BBH617" s="294"/>
      <c r="BBI617" s="294"/>
      <c r="BBJ617" s="294"/>
      <c r="BBK617" s="294"/>
      <c r="BBL617" s="294"/>
      <c r="BBM617" s="294"/>
      <c r="BBN617" s="294"/>
      <c r="BBO617" s="294"/>
      <c r="BBP617" s="294"/>
      <c r="BBQ617" s="294"/>
      <c r="BBR617" s="294"/>
      <c r="BBS617" s="294"/>
      <c r="BBT617" s="294"/>
      <c r="BBU617" s="294"/>
      <c r="BBV617" s="294"/>
      <c r="BBW617" s="294"/>
      <c r="BBX617" s="294"/>
      <c r="BBY617" s="294"/>
      <c r="BBZ617" s="294"/>
      <c r="BCA617" s="294"/>
      <c r="BCB617" s="294"/>
      <c r="BCC617" s="294"/>
      <c r="BCD617" s="294"/>
      <c r="BCE617" s="294"/>
      <c r="BCF617" s="294"/>
      <c r="BCG617" s="294"/>
      <c r="BCH617" s="294"/>
      <c r="BCI617" s="294"/>
      <c r="BCJ617" s="294"/>
      <c r="BCK617" s="294"/>
      <c r="BCL617" s="294"/>
      <c r="BCM617" s="294"/>
      <c r="BCN617" s="294"/>
      <c r="BCO617" s="294"/>
      <c r="BCP617" s="294"/>
      <c r="BCQ617" s="294"/>
      <c r="BCR617" s="294"/>
      <c r="BCS617" s="294"/>
      <c r="BCT617" s="294"/>
      <c r="BCU617" s="294"/>
      <c r="BCV617" s="294"/>
      <c r="BCW617" s="294"/>
      <c r="BCX617" s="294"/>
      <c r="BCY617" s="294"/>
      <c r="BCZ617" s="294"/>
      <c r="BDA617" s="294"/>
      <c r="BDB617" s="294"/>
      <c r="BDC617" s="294"/>
      <c r="BDD617" s="294"/>
      <c r="BDE617" s="294"/>
      <c r="BDF617" s="294"/>
      <c r="BDG617" s="294"/>
      <c r="BDH617" s="294"/>
      <c r="BDI617" s="294"/>
      <c r="BDJ617" s="294"/>
      <c r="BDK617" s="294"/>
      <c r="BDL617" s="294"/>
      <c r="BDM617" s="294"/>
      <c r="BDN617" s="294"/>
      <c r="BDO617" s="294"/>
      <c r="BDP617" s="294"/>
      <c r="BDQ617" s="294"/>
      <c r="BDR617" s="294"/>
      <c r="BDS617" s="294"/>
      <c r="BDT617" s="294"/>
      <c r="BDU617" s="294"/>
      <c r="BDV617" s="294"/>
      <c r="BDW617" s="294"/>
      <c r="BDX617" s="294"/>
      <c r="BDY617" s="294"/>
      <c r="BDZ617" s="294"/>
      <c r="BEA617" s="294"/>
      <c r="BEB617" s="294"/>
      <c r="BEC617" s="294"/>
      <c r="BED617" s="294"/>
      <c r="BEE617" s="294"/>
      <c r="BEF617" s="294"/>
      <c r="BEG617" s="294"/>
      <c r="BEH617" s="294"/>
      <c r="BEI617" s="294"/>
      <c r="BEJ617" s="294"/>
      <c r="BEK617" s="294"/>
      <c r="BEL617" s="294"/>
      <c r="BEM617" s="294"/>
      <c r="BEN617" s="294"/>
      <c r="BEO617" s="294"/>
      <c r="BEP617" s="294"/>
      <c r="BEQ617" s="294"/>
      <c r="BER617" s="294"/>
      <c r="BES617" s="294"/>
      <c r="BET617" s="294"/>
      <c r="BEU617" s="294"/>
      <c r="BEV617" s="294"/>
      <c r="BEW617" s="294"/>
      <c r="BEX617" s="294"/>
      <c r="BEY617" s="294"/>
      <c r="BEZ617" s="294"/>
      <c r="BFA617" s="294"/>
      <c r="BFB617" s="294"/>
      <c r="BFC617" s="294"/>
      <c r="BFD617" s="294"/>
      <c r="BFE617" s="294"/>
      <c r="BFF617" s="294"/>
      <c r="BFG617" s="294"/>
      <c r="BFH617" s="294"/>
      <c r="BFI617" s="294"/>
      <c r="BFJ617" s="294"/>
      <c r="BFK617" s="294"/>
      <c r="BFL617" s="294"/>
      <c r="BFM617" s="294"/>
      <c r="BFN617" s="294"/>
      <c r="BFO617" s="294"/>
      <c r="BFP617" s="294"/>
      <c r="BFQ617" s="294"/>
      <c r="BFR617" s="294"/>
      <c r="BFS617" s="294"/>
      <c r="BFT617" s="294"/>
      <c r="BFU617" s="294"/>
      <c r="BFV617" s="294"/>
      <c r="BFW617" s="294"/>
      <c r="BFX617" s="294"/>
      <c r="BFY617" s="294"/>
      <c r="BFZ617" s="294"/>
      <c r="BGA617" s="294"/>
      <c r="BGB617" s="294"/>
      <c r="BGC617" s="294"/>
      <c r="BGD617" s="294"/>
      <c r="BGE617" s="294"/>
      <c r="BGF617" s="294"/>
      <c r="BGG617" s="294"/>
      <c r="BGH617" s="294"/>
      <c r="BGI617" s="294"/>
      <c r="BGJ617" s="294"/>
      <c r="BGK617" s="294"/>
      <c r="BGL617" s="294"/>
      <c r="BGM617" s="294"/>
      <c r="BGN617" s="294"/>
      <c r="BGO617" s="294"/>
      <c r="BGP617" s="294"/>
      <c r="BGQ617" s="294"/>
      <c r="BGR617" s="294"/>
      <c r="BGS617" s="294"/>
      <c r="BGT617" s="294"/>
      <c r="BGU617" s="294"/>
      <c r="BGV617" s="294"/>
      <c r="BGW617" s="294"/>
      <c r="BGX617" s="294"/>
      <c r="BGY617" s="294"/>
      <c r="BGZ617" s="294"/>
      <c r="BHA617" s="294"/>
      <c r="BHB617" s="294"/>
      <c r="BHC617" s="294"/>
      <c r="BHD617" s="294"/>
      <c r="BHE617" s="294"/>
      <c r="BHF617" s="294"/>
      <c r="BHG617" s="294"/>
      <c r="BHH617" s="294"/>
      <c r="BHI617" s="294"/>
      <c r="BHJ617" s="294"/>
      <c r="BHK617" s="294"/>
      <c r="BHL617" s="294"/>
      <c r="BHM617" s="294"/>
      <c r="BHN617" s="294"/>
      <c r="BHO617" s="294"/>
      <c r="BHP617" s="294"/>
      <c r="BHQ617" s="294"/>
      <c r="BHR617" s="294"/>
      <c r="BHS617" s="294"/>
      <c r="BHT617" s="294"/>
      <c r="BHU617" s="294"/>
      <c r="BHV617" s="294"/>
      <c r="BHW617" s="294"/>
      <c r="BHX617" s="294"/>
      <c r="BHY617" s="294"/>
      <c r="BHZ617" s="294"/>
      <c r="BIA617" s="294"/>
      <c r="BIB617" s="294"/>
      <c r="BIC617" s="294"/>
      <c r="BID617" s="294"/>
      <c r="BIE617" s="294"/>
      <c r="BIF617" s="294"/>
      <c r="BIG617" s="294"/>
      <c r="BIH617" s="294"/>
      <c r="BII617" s="294"/>
      <c r="BIJ617" s="294"/>
      <c r="BIK617" s="294"/>
      <c r="BIL617" s="294"/>
      <c r="BIM617" s="294"/>
      <c r="BIN617" s="294"/>
      <c r="BIO617" s="294"/>
      <c r="BIP617" s="294"/>
      <c r="BIQ617" s="294"/>
      <c r="BIR617" s="294"/>
      <c r="BIS617" s="294"/>
      <c r="BIT617" s="294"/>
      <c r="BIU617" s="294"/>
      <c r="BIV617" s="294"/>
      <c r="BIW617" s="294"/>
      <c r="BIX617" s="294"/>
      <c r="BIY617" s="294"/>
      <c r="BIZ617" s="294"/>
      <c r="BJA617" s="294"/>
      <c r="BJB617" s="294"/>
      <c r="BJC617" s="294"/>
      <c r="BJD617" s="294"/>
      <c r="BJE617" s="294"/>
      <c r="BJF617" s="294"/>
      <c r="BJG617" s="294"/>
      <c r="BJH617" s="294"/>
      <c r="BJI617" s="294"/>
      <c r="BJJ617" s="294"/>
      <c r="BJK617" s="294"/>
      <c r="BJL617" s="294"/>
      <c r="BJM617" s="294"/>
      <c r="BJN617" s="294"/>
      <c r="BJO617" s="294"/>
      <c r="BJP617" s="294"/>
      <c r="BJQ617" s="294"/>
      <c r="BJR617" s="294"/>
      <c r="BJS617" s="294"/>
      <c r="BJT617" s="294"/>
      <c r="BJU617" s="294"/>
      <c r="BJV617" s="294"/>
      <c r="BJW617" s="294"/>
      <c r="BJX617" s="294"/>
      <c r="BJY617" s="294"/>
      <c r="BJZ617" s="294"/>
      <c r="BKA617" s="294"/>
      <c r="BKB617" s="294"/>
      <c r="BKC617" s="294"/>
      <c r="BKD617" s="294"/>
      <c r="BKE617" s="294"/>
      <c r="BKF617" s="294"/>
      <c r="BKG617" s="294"/>
      <c r="BKH617" s="294"/>
      <c r="BKI617" s="294"/>
      <c r="BKJ617" s="294"/>
      <c r="BKK617" s="294"/>
      <c r="BKL617" s="294"/>
      <c r="BKM617" s="294"/>
      <c r="BKN617" s="294"/>
      <c r="BKO617" s="294"/>
      <c r="BKP617" s="294"/>
      <c r="BKQ617" s="294"/>
      <c r="BKR617" s="294"/>
      <c r="BKS617" s="294"/>
      <c r="BKT617" s="294"/>
      <c r="BKU617" s="294"/>
      <c r="BKV617" s="294"/>
      <c r="BKW617" s="294"/>
      <c r="BKX617" s="294"/>
      <c r="BKY617" s="294"/>
      <c r="BKZ617" s="294"/>
      <c r="BLA617" s="294"/>
      <c r="BLB617" s="294"/>
      <c r="BLC617" s="294"/>
      <c r="BLD617" s="294"/>
      <c r="BLE617" s="294"/>
      <c r="BLF617" s="294"/>
      <c r="BLG617" s="294"/>
      <c r="BLH617" s="294"/>
      <c r="BLI617" s="294"/>
      <c r="BLJ617" s="294"/>
      <c r="BLK617" s="294"/>
      <c r="BLL617" s="294"/>
      <c r="BLM617" s="294"/>
      <c r="BLN617" s="294"/>
      <c r="BLO617" s="294"/>
      <c r="BLP617" s="294"/>
      <c r="BLQ617" s="294"/>
      <c r="BLR617" s="294"/>
      <c r="BLS617" s="294"/>
      <c r="BLT617" s="294"/>
      <c r="BLU617" s="294"/>
      <c r="BLV617" s="294"/>
      <c r="BLW617" s="294"/>
      <c r="BLX617" s="294"/>
      <c r="BLY617" s="294"/>
      <c r="BLZ617" s="294"/>
      <c r="BMA617" s="294"/>
      <c r="BMB617" s="294"/>
      <c r="BMC617" s="294"/>
      <c r="BMD617" s="294"/>
      <c r="BME617" s="294"/>
      <c r="BMF617" s="294"/>
      <c r="BMG617" s="294"/>
      <c r="BMH617" s="294"/>
      <c r="BMI617" s="294"/>
      <c r="BMJ617" s="294"/>
      <c r="BMK617" s="294"/>
      <c r="BML617" s="294"/>
      <c r="BMM617" s="294"/>
      <c r="BMN617" s="294"/>
      <c r="BMO617" s="294"/>
      <c r="BMP617" s="294"/>
      <c r="BMQ617" s="294"/>
      <c r="BMR617" s="294"/>
      <c r="BMS617" s="294"/>
      <c r="BMT617" s="294"/>
      <c r="BMU617" s="294"/>
      <c r="BMV617" s="294"/>
      <c r="BMW617" s="294"/>
      <c r="BMX617" s="294"/>
      <c r="BMY617" s="294"/>
      <c r="BMZ617" s="294"/>
      <c r="BNA617" s="294"/>
      <c r="BNB617" s="294"/>
      <c r="BNC617" s="294"/>
      <c r="BND617" s="294"/>
      <c r="BNE617" s="294"/>
      <c r="BNF617" s="294"/>
      <c r="BNG617" s="294"/>
      <c r="BNH617" s="294"/>
      <c r="BNI617" s="294"/>
      <c r="BNJ617" s="294"/>
      <c r="BNK617" s="294"/>
      <c r="BNL617" s="294"/>
      <c r="BNM617" s="294"/>
      <c r="BNN617" s="294"/>
      <c r="BNO617" s="294"/>
      <c r="BNP617" s="294"/>
      <c r="BNQ617" s="294"/>
      <c r="BNR617" s="294"/>
      <c r="BNS617" s="294"/>
      <c r="BNT617" s="294"/>
      <c r="BNU617" s="294"/>
      <c r="BNV617" s="294"/>
      <c r="BNW617" s="294"/>
      <c r="BNX617" s="294"/>
      <c r="BNY617" s="294"/>
      <c r="BNZ617" s="294"/>
      <c r="BOA617" s="294"/>
      <c r="BOB617" s="294"/>
      <c r="BOC617" s="294"/>
      <c r="BOD617" s="294"/>
      <c r="BOE617" s="294"/>
      <c r="BOF617" s="294"/>
      <c r="BOG617" s="294"/>
      <c r="BOH617" s="294"/>
      <c r="BOI617" s="294"/>
      <c r="BOJ617" s="294"/>
      <c r="BOK617" s="294"/>
      <c r="BOL617" s="294"/>
      <c r="BOM617" s="294"/>
      <c r="BON617" s="294"/>
      <c r="BOO617" s="294"/>
      <c r="BOP617" s="294"/>
      <c r="BOQ617" s="294"/>
      <c r="BOR617" s="294"/>
      <c r="BOS617" s="294"/>
      <c r="BOT617" s="294"/>
      <c r="BOU617" s="294"/>
      <c r="BOV617" s="294"/>
      <c r="BOW617" s="294"/>
      <c r="BOX617" s="294"/>
      <c r="BOY617" s="294"/>
      <c r="BOZ617" s="294"/>
      <c r="BPA617" s="294"/>
      <c r="BPB617" s="294"/>
      <c r="BPC617" s="294"/>
      <c r="BPD617" s="294"/>
      <c r="BPE617" s="294"/>
      <c r="BPF617" s="294"/>
      <c r="BPG617" s="294"/>
      <c r="BPH617" s="294"/>
      <c r="BPI617" s="294"/>
      <c r="BPJ617" s="294"/>
      <c r="BPK617" s="294"/>
      <c r="BPL617" s="294"/>
      <c r="BPM617" s="294"/>
      <c r="BPN617" s="294"/>
      <c r="BPO617" s="294"/>
      <c r="BPP617" s="294"/>
      <c r="BPQ617" s="294"/>
      <c r="BPR617" s="294"/>
      <c r="BPS617" s="294"/>
      <c r="BPT617" s="294"/>
      <c r="BPU617" s="294"/>
      <c r="BPV617" s="294"/>
      <c r="BPW617" s="294"/>
      <c r="BPX617" s="294"/>
      <c r="BPY617" s="294"/>
      <c r="BPZ617" s="294"/>
      <c r="BQA617" s="294"/>
      <c r="BQB617" s="294"/>
      <c r="BQC617" s="294"/>
      <c r="BQD617" s="294"/>
      <c r="BQE617" s="294"/>
      <c r="BQF617" s="294"/>
      <c r="BQG617" s="294"/>
      <c r="BQH617" s="294"/>
      <c r="BQI617" s="294"/>
      <c r="BQJ617" s="294"/>
      <c r="BQK617" s="294"/>
      <c r="BQL617" s="294"/>
      <c r="BQM617" s="294"/>
      <c r="BQN617" s="294"/>
      <c r="BQO617" s="294"/>
      <c r="BQP617" s="294"/>
      <c r="BQQ617" s="294"/>
      <c r="BQR617" s="294"/>
      <c r="BQS617" s="294"/>
      <c r="BQT617" s="294"/>
      <c r="BQU617" s="294"/>
      <c r="BQV617" s="294"/>
      <c r="BQW617" s="294"/>
      <c r="BQX617" s="294"/>
      <c r="BQY617" s="294"/>
      <c r="BQZ617" s="294"/>
      <c r="BRA617" s="294"/>
      <c r="BRB617" s="294"/>
      <c r="BRC617" s="294"/>
      <c r="BRD617" s="294"/>
      <c r="BRE617" s="294"/>
      <c r="BRF617" s="294"/>
      <c r="BRG617" s="294"/>
      <c r="BRH617" s="294"/>
      <c r="BRI617" s="294"/>
      <c r="BRJ617" s="294"/>
      <c r="BRK617" s="294"/>
      <c r="BRL617" s="294"/>
      <c r="BRM617" s="294"/>
      <c r="BRN617" s="294"/>
      <c r="BRO617" s="294"/>
      <c r="BRP617" s="294"/>
      <c r="BRQ617" s="294"/>
      <c r="BRR617" s="294"/>
      <c r="BRS617" s="294"/>
      <c r="BRT617" s="294"/>
      <c r="BRU617" s="294"/>
      <c r="BRV617" s="294"/>
      <c r="BRW617" s="294"/>
      <c r="BRX617" s="294"/>
      <c r="BRY617" s="294"/>
      <c r="BRZ617" s="294"/>
      <c r="BSA617" s="294"/>
      <c r="BSB617" s="294"/>
      <c r="BSC617" s="294"/>
      <c r="BSD617" s="294"/>
      <c r="BSE617" s="294"/>
      <c r="BSF617" s="294"/>
      <c r="BSG617" s="294"/>
      <c r="BSH617" s="294"/>
      <c r="BSI617" s="294"/>
      <c r="BSJ617" s="294"/>
      <c r="BSK617" s="294"/>
      <c r="BSL617" s="294"/>
      <c r="BSM617" s="294"/>
      <c r="BSN617" s="294"/>
      <c r="BSO617" s="294"/>
      <c r="BSP617" s="294"/>
      <c r="BSQ617" s="294"/>
      <c r="BSR617" s="294"/>
      <c r="BSS617" s="294"/>
      <c r="BST617" s="294"/>
      <c r="BSU617" s="294"/>
      <c r="BSV617" s="294"/>
      <c r="BSW617" s="294"/>
      <c r="BSX617" s="294"/>
      <c r="BSY617" s="294"/>
      <c r="BSZ617" s="294"/>
      <c r="BTA617" s="294"/>
      <c r="BTB617" s="294"/>
      <c r="BTC617" s="294"/>
      <c r="BTD617" s="294"/>
      <c r="BTE617" s="294"/>
      <c r="BTF617" s="294"/>
      <c r="BTG617" s="294"/>
      <c r="BTH617" s="294"/>
      <c r="BTI617" s="294"/>
      <c r="BTJ617" s="294"/>
      <c r="BTK617" s="294"/>
      <c r="BTL617" s="294"/>
      <c r="BTM617" s="294"/>
      <c r="BTN617" s="294"/>
      <c r="BTO617" s="294"/>
      <c r="BTP617" s="294"/>
      <c r="BTQ617" s="294"/>
      <c r="BTR617" s="294"/>
      <c r="BTS617" s="294"/>
      <c r="BTT617" s="294"/>
      <c r="BTU617" s="294"/>
      <c r="BTV617" s="294"/>
      <c r="BTW617" s="294"/>
      <c r="BTX617" s="294"/>
      <c r="BTY617" s="294"/>
      <c r="BTZ617" s="294"/>
      <c r="BUA617" s="294"/>
      <c r="BUB617" s="294"/>
      <c r="BUC617" s="294"/>
      <c r="BUD617" s="294"/>
      <c r="BUE617" s="294"/>
      <c r="BUF617" s="294"/>
      <c r="BUG617" s="294"/>
      <c r="BUH617" s="294"/>
      <c r="BUI617" s="294"/>
      <c r="BUJ617" s="294"/>
      <c r="BUK617" s="294"/>
      <c r="BUL617" s="294"/>
      <c r="BUM617" s="294"/>
      <c r="BUN617" s="294"/>
      <c r="BUO617" s="294"/>
      <c r="BUP617" s="294"/>
      <c r="BUQ617" s="294"/>
      <c r="BUR617" s="294"/>
      <c r="BUS617" s="294"/>
      <c r="BUT617" s="294"/>
      <c r="BUU617" s="294"/>
      <c r="BUV617" s="294"/>
      <c r="BUW617" s="294"/>
      <c r="BUX617" s="294"/>
      <c r="BUY617" s="294"/>
      <c r="BUZ617" s="294"/>
      <c r="BVA617" s="294"/>
      <c r="BVB617" s="294"/>
      <c r="BVC617" s="294"/>
      <c r="BVD617" s="294"/>
      <c r="BVE617" s="294"/>
      <c r="BVF617" s="294"/>
      <c r="BVG617" s="294"/>
      <c r="BVH617" s="294"/>
      <c r="BVI617" s="294"/>
      <c r="BVJ617" s="294"/>
      <c r="BVK617" s="294"/>
      <c r="BVL617" s="294"/>
      <c r="BVM617" s="294"/>
      <c r="BVN617" s="294"/>
      <c r="BVO617" s="294"/>
      <c r="BVP617" s="294"/>
      <c r="BVQ617" s="294"/>
      <c r="BVR617" s="294"/>
      <c r="BVS617" s="294"/>
      <c r="BVT617" s="294"/>
      <c r="BVU617" s="294"/>
      <c r="BVV617" s="294"/>
      <c r="BVW617" s="294"/>
      <c r="BVX617" s="294"/>
      <c r="BVY617" s="294"/>
      <c r="BVZ617" s="294"/>
      <c r="BWA617" s="294"/>
      <c r="BWB617" s="294"/>
      <c r="BWC617" s="294"/>
      <c r="BWD617" s="294"/>
      <c r="BWE617" s="294"/>
      <c r="BWF617" s="294"/>
      <c r="BWG617" s="294"/>
      <c r="BWH617" s="294"/>
      <c r="BWI617" s="294"/>
      <c r="BWJ617" s="294"/>
      <c r="BWK617" s="294"/>
      <c r="BWL617" s="294"/>
      <c r="BWM617" s="294"/>
      <c r="BWN617" s="294"/>
      <c r="BWO617" s="294"/>
      <c r="BWP617" s="294"/>
      <c r="BWQ617" s="294"/>
      <c r="BWR617" s="294"/>
      <c r="BWS617" s="294"/>
      <c r="BWT617" s="294"/>
      <c r="BWU617" s="294"/>
      <c r="BWV617" s="294"/>
      <c r="BWW617" s="294"/>
      <c r="BWX617" s="294"/>
      <c r="BWY617" s="294"/>
      <c r="BWZ617" s="294"/>
      <c r="BXA617" s="294"/>
      <c r="BXB617" s="294"/>
      <c r="BXC617" s="294"/>
      <c r="BXD617" s="294"/>
      <c r="BXE617" s="294"/>
      <c r="BXF617" s="294"/>
      <c r="BXG617" s="294"/>
      <c r="BXH617" s="294"/>
      <c r="BXI617" s="294"/>
      <c r="BXJ617" s="294"/>
      <c r="BXK617" s="294"/>
      <c r="BXL617" s="294"/>
      <c r="BXM617" s="294"/>
      <c r="BXN617" s="294"/>
      <c r="BXO617" s="294"/>
      <c r="BXP617" s="294"/>
      <c r="BXQ617" s="294"/>
      <c r="BXR617" s="294"/>
      <c r="BXS617" s="294"/>
      <c r="BXT617" s="294"/>
      <c r="BXU617" s="294"/>
      <c r="BXV617" s="294"/>
      <c r="BXW617" s="294"/>
      <c r="BXX617" s="294"/>
      <c r="BXY617" s="294"/>
      <c r="BXZ617" s="294"/>
      <c r="BYA617" s="294"/>
      <c r="BYB617" s="294"/>
      <c r="BYC617" s="294"/>
      <c r="BYD617" s="294"/>
      <c r="BYE617" s="294"/>
      <c r="BYF617" s="294"/>
      <c r="BYG617" s="294"/>
      <c r="BYH617" s="294"/>
      <c r="BYI617" s="294"/>
      <c r="BYJ617" s="294"/>
      <c r="BYK617" s="294"/>
      <c r="BYL617" s="294"/>
      <c r="BYM617" s="294"/>
      <c r="BYN617" s="294"/>
      <c r="BYO617" s="294"/>
      <c r="BYP617" s="294"/>
      <c r="BYQ617" s="294"/>
      <c r="BYR617" s="294"/>
      <c r="BYS617" s="294"/>
      <c r="BYT617" s="294"/>
      <c r="BYU617" s="294"/>
      <c r="BYV617" s="294"/>
      <c r="BYW617" s="294"/>
      <c r="BYX617" s="294"/>
      <c r="BYY617" s="294"/>
      <c r="BYZ617" s="294"/>
      <c r="BZA617" s="294"/>
      <c r="BZB617" s="294"/>
      <c r="BZC617" s="294"/>
      <c r="BZD617" s="294"/>
      <c r="BZE617" s="294"/>
      <c r="BZF617" s="294"/>
      <c r="BZG617" s="294"/>
      <c r="BZH617" s="294"/>
      <c r="BZI617" s="294"/>
      <c r="BZJ617" s="294"/>
      <c r="BZK617" s="294"/>
      <c r="BZL617" s="294"/>
      <c r="BZM617" s="294"/>
      <c r="BZN617" s="294"/>
      <c r="BZO617" s="294"/>
      <c r="BZP617" s="294"/>
      <c r="BZQ617" s="294"/>
      <c r="BZR617" s="294"/>
      <c r="BZS617" s="294"/>
      <c r="BZT617" s="294"/>
      <c r="BZU617" s="294"/>
      <c r="BZV617" s="294"/>
      <c r="BZW617" s="294"/>
      <c r="BZX617" s="294"/>
      <c r="BZY617" s="294"/>
      <c r="BZZ617" s="294"/>
      <c r="CAA617" s="294"/>
      <c r="CAB617" s="294"/>
      <c r="CAC617" s="294"/>
      <c r="CAD617" s="294"/>
      <c r="CAE617" s="294"/>
      <c r="CAF617" s="294"/>
      <c r="CAG617" s="294"/>
      <c r="CAH617" s="294"/>
      <c r="CAI617" s="294"/>
      <c r="CAJ617" s="294"/>
      <c r="CAK617" s="294"/>
      <c r="CAL617" s="294"/>
      <c r="CAM617" s="294"/>
      <c r="CAN617" s="294"/>
      <c r="CAO617" s="294"/>
      <c r="CAP617" s="294"/>
      <c r="CAQ617" s="294"/>
      <c r="CAR617" s="294"/>
      <c r="CAS617" s="294"/>
      <c r="CAT617" s="294"/>
      <c r="CAU617" s="294"/>
      <c r="CAV617" s="294"/>
      <c r="CAW617" s="294"/>
      <c r="CAX617" s="294"/>
      <c r="CAY617" s="294"/>
      <c r="CAZ617" s="294"/>
      <c r="CBA617" s="294"/>
      <c r="CBB617" s="294"/>
      <c r="CBC617" s="294"/>
      <c r="CBD617" s="294"/>
      <c r="CBE617" s="294"/>
      <c r="CBF617" s="294"/>
      <c r="CBG617" s="294"/>
      <c r="CBH617" s="294"/>
      <c r="CBI617" s="294"/>
      <c r="CBJ617" s="294"/>
      <c r="CBK617" s="294"/>
      <c r="CBL617" s="294"/>
      <c r="CBM617" s="294"/>
      <c r="CBN617" s="294"/>
      <c r="CBO617" s="294"/>
      <c r="CBP617" s="294"/>
      <c r="CBQ617" s="294"/>
      <c r="CBR617" s="294"/>
      <c r="CBS617" s="294"/>
      <c r="CBT617" s="294"/>
      <c r="CBU617" s="294"/>
      <c r="CBV617" s="294"/>
      <c r="CBW617" s="294"/>
      <c r="CBX617" s="294"/>
      <c r="CBY617" s="294"/>
      <c r="CBZ617" s="294"/>
      <c r="CCA617" s="294"/>
      <c r="CCB617" s="294"/>
      <c r="CCC617" s="294"/>
      <c r="CCD617" s="294"/>
      <c r="CCE617" s="294"/>
      <c r="CCF617" s="294"/>
      <c r="CCG617" s="294"/>
      <c r="CCH617" s="294"/>
      <c r="CCI617" s="294"/>
      <c r="CCJ617" s="294"/>
      <c r="CCK617" s="294"/>
      <c r="CCL617" s="294"/>
      <c r="CCM617" s="294"/>
      <c r="CCN617" s="294"/>
      <c r="CCO617" s="294"/>
      <c r="CCP617" s="294"/>
      <c r="CCQ617" s="294"/>
      <c r="CCR617" s="294"/>
      <c r="CCS617" s="294"/>
      <c r="CCT617" s="294"/>
      <c r="CCU617" s="294"/>
      <c r="CCV617" s="294"/>
      <c r="CCW617" s="294"/>
      <c r="CCX617" s="294"/>
      <c r="CCY617" s="294"/>
      <c r="CCZ617" s="294"/>
      <c r="CDA617" s="294"/>
      <c r="CDB617" s="294"/>
      <c r="CDC617" s="294"/>
      <c r="CDD617" s="294"/>
      <c r="CDE617" s="294"/>
      <c r="CDF617" s="294"/>
      <c r="CDG617" s="294"/>
      <c r="CDH617" s="294"/>
      <c r="CDI617" s="294"/>
      <c r="CDJ617" s="294"/>
      <c r="CDK617" s="294"/>
      <c r="CDL617" s="294"/>
      <c r="CDM617" s="294"/>
      <c r="CDN617" s="294"/>
      <c r="CDO617" s="294"/>
      <c r="CDP617" s="294"/>
      <c r="CDQ617" s="294"/>
      <c r="CDR617" s="294"/>
      <c r="CDS617" s="294"/>
      <c r="CDT617" s="294"/>
      <c r="CDU617" s="294"/>
      <c r="CDV617" s="294"/>
      <c r="CDW617" s="294"/>
      <c r="CDX617" s="294"/>
      <c r="CDY617" s="294"/>
      <c r="CDZ617" s="294"/>
      <c r="CEA617" s="294"/>
      <c r="CEB617" s="294"/>
      <c r="CEC617" s="294"/>
      <c r="CED617" s="294"/>
      <c r="CEE617" s="294"/>
      <c r="CEF617" s="294"/>
      <c r="CEG617" s="294"/>
      <c r="CEH617" s="294"/>
      <c r="CEI617" s="294"/>
      <c r="CEJ617" s="294"/>
      <c r="CEK617" s="294"/>
      <c r="CEL617" s="294"/>
      <c r="CEM617" s="294"/>
      <c r="CEN617" s="294"/>
      <c r="CEO617" s="294"/>
      <c r="CEP617" s="294"/>
      <c r="CEQ617" s="294"/>
      <c r="CER617" s="294"/>
      <c r="CES617" s="294"/>
      <c r="CET617" s="294"/>
      <c r="CEU617" s="294"/>
      <c r="CEV617" s="294"/>
      <c r="CEW617" s="294"/>
      <c r="CEX617" s="294"/>
      <c r="CEY617" s="294"/>
      <c r="CEZ617" s="294"/>
      <c r="CFA617" s="294"/>
      <c r="CFB617" s="294"/>
      <c r="CFC617" s="294"/>
      <c r="CFD617" s="294"/>
      <c r="CFE617" s="294"/>
      <c r="CFF617" s="294"/>
      <c r="CFG617" s="294"/>
      <c r="CFH617" s="294"/>
      <c r="CFI617" s="294"/>
      <c r="CFJ617" s="294"/>
      <c r="CFK617" s="294"/>
      <c r="CFL617" s="294"/>
      <c r="CFM617" s="294"/>
      <c r="CFN617" s="294"/>
      <c r="CFO617" s="294"/>
      <c r="CFP617" s="294"/>
      <c r="CFQ617" s="294"/>
      <c r="CFR617" s="294"/>
      <c r="CFS617" s="294"/>
      <c r="CFT617" s="294"/>
      <c r="CFU617" s="294"/>
      <c r="CFV617" s="294"/>
      <c r="CFW617" s="294"/>
      <c r="CFX617" s="294"/>
      <c r="CFY617" s="294"/>
      <c r="CFZ617" s="294"/>
      <c r="CGA617" s="294"/>
      <c r="CGB617" s="294"/>
      <c r="CGC617" s="294"/>
      <c r="CGD617" s="294"/>
      <c r="CGE617" s="294"/>
      <c r="CGF617" s="294"/>
      <c r="CGG617" s="294"/>
      <c r="CGH617" s="294"/>
      <c r="CGI617" s="294"/>
      <c r="CGJ617" s="294"/>
      <c r="CGK617" s="294"/>
      <c r="CGL617" s="294"/>
      <c r="CGM617" s="294"/>
      <c r="CGN617" s="294"/>
      <c r="CGO617" s="294"/>
      <c r="CGP617" s="294"/>
      <c r="CGQ617" s="294"/>
      <c r="CGR617" s="294"/>
      <c r="CGS617" s="294"/>
      <c r="CGT617" s="294"/>
      <c r="CGU617" s="294"/>
      <c r="CGV617" s="294"/>
      <c r="CGW617" s="294"/>
      <c r="CGX617" s="294"/>
      <c r="CGY617" s="294"/>
      <c r="CGZ617" s="294"/>
      <c r="CHA617" s="294"/>
      <c r="CHB617" s="294"/>
      <c r="CHC617" s="294"/>
      <c r="CHD617" s="294"/>
      <c r="CHE617" s="294"/>
      <c r="CHF617" s="294"/>
      <c r="CHG617" s="294"/>
      <c r="CHH617" s="294"/>
      <c r="CHI617" s="294"/>
      <c r="CHJ617" s="294"/>
      <c r="CHK617" s="294"/>
      <c r="CHL617" s="294"/>
      <c r="CHM617" s="294"/>
      <c r="CHN617" s="294"/>
      <c r="CHO617" s="294"/>
      <c r="CHP617" s="294"/>
      <c r="CHQ617" s="294"/>
      <c r="CHR617" s="294"/>
      <c r="CHS617" s="294"/>
      <c r="CHT617" s="294"/>
      <c r="CHU617" s="294"/>
      <c r="CHV617" s="294"/>
      <c r="CHW617" s="294"/>
      <c r="CHX617" s="294"/>
      <c r="CHY617" s="294"/>
      <c r="CHZ617" s="294"/>
      <c r="CIA617" s="294"/>
      <c r="CIB617" s="294"/>
      <c r="CIC617" s="294"/>
      <c r="CID617" s="294"/>
      <c r="CIE617" s="294"/>
      <c r="CIF617" s="294"/>
      <c r="CIG617" s="294"/>
      <c r="CIH617" s="294"/>
      <c r="CII617" s="294"/>
      <c r="CIJ617" s="294"/>
      <c r="CIK617" s="294"/>
      <c r="CIL617" s="294"/>
      <c r="CIM617" s="294"/>
      <c r="CIN617" s="294"/>
      <c r="CIO617" s="294"/>
      <c r="CIP617" s="294"/>
      <c r="CIQ617" s="294"/>
      <c r="CIR617" s="294"/>
      <c r="CIS617" s="294"/>
      <c r="CIT617" s="294"/>
      <c r="CIU617" s="294"/>
      <c r="CIV617" s="294"/>
      <c r="CIW617" s="294"/>
      <c r="CIX617" s="294"/>
      <c r="CIY617" s="294"/>
      <c r="CIZ617" s="294"/>
      <c r="CJA617" s="294"/>
      <c r="CJB617" s="294"/>
      <c r="CJC617" s="294"/>
      <c r="CJD617" s="294"/>
      <c r="CJE617" s="294"/>
      <c r="CJF617" s="294"/>
      <c r="CJG617" s="294"/>
      <c r="CJH617" s="294"/>
      <c r="CJI617" s="294"/>
      <c r="CJJ617" s="294"/>
      <c r="CJK617" s="294"/>
      <c r="CJL617" s="294"/>
      <c r="CJM617" s="294"/>
      <c r="CJN617" s="294"/>
      <c r="CJO617" s="294"/>
      <c r="CJP617" s="294"/>
      <c r="CJQ617" s="294"/>
      <c r="CJR617" s="294"/>
      <c r="CJS617" s="294"/>
      <c r="CJT617" s="294"/>
      <c r="CJU617" s="294"/>
      <c r="CJV617" s="294"/>
      <c r="CJW617" s="294"/>
      <c r="CJX617" s="294"/>
      <c r="CJY617" s="294"/>
      <c r="CJZ617" s="294"/>
      <c r="CKA617" s="294"/>
      <c r="CKB617" s="294"/>
      <c r="CKC617" s="294"/>
      <c r="CKD617" s="294"/>
      <c r="CKE617" s="294"/>
      <c r="CKF617" s="294"/>
      <c r="CKG617" s="294"/>
      <c r="CKH617" s="294"/>
      <c r="CKI617" s="294"/>
      <c r="CKJ617" s="294"/>
      <c r="CKK617" s="294"/>
      <c r="CKL617" s="294"/>
      <c r="CKM617" s="294"/>
      <c r="CKN617" s="294"/>
      <c r="CKO617" s="294"/>
      <c r="CKP617" s="294"/>
      <c r="CKQ617" s="294"/>
      <c r="CKR617" s="294"/>
      <c r="CKS617" s="294"/>
      <c r="CKT617" s="294"/>
      <c r="CKU617" s="294"/>
      <c r="CKV617" s="294"/>
      <c r="CKW617" s="294"/>
      <c r="CKX617" s="294"/>
      <c r="CKY617" s="294"/>
      <c r="CKZ617" s="294"/>
      <c r="CLA617" s="294"/>
      <c r="CLB617" s="294"/>
      <c r="CLC617" s="294"/>
      <c r="CLD617" s="294"/>
      <c r="CLE617" s="294"/>
      <c r="CLF617" s="294"/>
      <c r="CLG617" s="294"/>
      <c r="CLH617" s="294"/>
      <c r="CLI617" s="294"/>
      <c r="CLJ617" s="294"/>
      <c r="CLK617" s="294"/>
      <c r="CLL617" s="294"/>
      <c r="CLM617" s="294"/>
      <c r="CLN617" s="294"/>
      <c r="CLO617" s="294"/>
      <c r="CLP617" s="294"/>
      <c r="CLQ617" s="294"/>
      <c r="CLR617" s="294"/>
      <c r="CLS617" s="294"/>
      <c r="CLT617" s="294"/>
      <c r="CLU617" s="294"/>
      <c r="CLV617" s="294"/>
      <c r="CLW617" s="294"/>
      <c r="CLX617" s="294"/>
      <c r="CLY617" s="294"/>
      <c r="CLZ617" s="294"/>
      <c r="CMA617" s="294"/>
      <c r="CMB617" s="294"/>
      <c r="CMC617" s="294"/>
      <c r="CMD617" s="294"/>
      <c r="CME617" s="294"/>
      <c r="CMF617" s="294"/>
      <c r="CMG617" s="294"/>
      <c r="CMH617" s="294"/>
      <c r="CMI617" s="294"/>
      <c r="CMJ617" s="294"/>
      <c r="CMK617" s="294"/>
      <c r="CML617" s="294"/>
      <c r="CMM617" s="294"/>
      <c r="CMN617" s="294"/>
      <c r="CMO617" s="294"/>
      <c r="CMP617" s="294"/>
      <c r="CMQ617" s="294"/>
      <c r="CMR617" s="294"/>
      <c r="CMS617" s="294"/>
      <c r="CMT617" s="294"/>
      <c r="CMU617" s="294"/>
      <c r="CMV617" s="294"/>
      <c r="CMW617" s="294"/>
      <c r="CMX617" s="294"/>
      <c r="CMY617" s="294"/>
      <c r="CMZ617" s="294"/>
      <c r="CNA617" s="294"/>
      <c r="CNB617" s="294"/>
      <c r="CNC617" s="294"/>
      <c r="CND617" s="294"/>
      <c r="CNE617" s="294"/>
      <c r="CNF617" s="294"/>
      <c r="CNG617" s="294"/>
      <c r="CNH617" s="294"/>
      <c r="CNI617" s="294"/>
      <c r="CNJ617" s="294"/>
      <c r="CNK617" s="294"/>
      <c r="CNL617" s="294"/>
      <c r="CNM617" s="294"/>
      <c r="CNN617" s="294"/>
      <c r="CNO617" s="294"/>
      <c r="CNP617" s="294"/>
      <c r="CNQ617" s="294"/>
      <c r="CNR617" s="294"/>
      <c r="CNS617" s="294"/>
      <c r="CNT617" s="294"/>
      <c r="CNU617" s="294"/>
      <c r="CNV617" s="294"/>
      <c r="CNW617" s="294"/>
      <c r="CNX617" s="294"/>
      <c r="CNY617" s="294"/>
      <c r="CNZ617" s="294"/>
      <c r="COA617" s="294"/>
      <c r="COB617" s="294"/>
      <c r="COC617" s="294"/>
      <c r="COD617" s="294"/>
      <c r="COE617" s="294"/>
      <c r="COF617" s="294"/>
      <c r="COG617" s="294"/>
      <c r="COH617" s="294"/>
      <c r="COI617" s="294"/>
      <c r="COJ617" s="294"/>
      <c r="COK617" s="294"/>
      <c r="COL617" s="294"/>
      <c r="COM617" s="294"/>
      <c r="CON617" s="294"/>
      <c r="COO617" s="294"/>
      <c r="COP617" s="294"/>
      <c r="COQ617" s="294"/>
      <c r="COR617" s="294"/>
      <c r="COS617" s="294"/>
      <c r="COT617" s="294"/>
      <c r="COU617" s="294"/>
      <c r="COV617" s="294"/>
      <c r="COW617" s="294"/>
      <c r="COX617" s="294"/>
      <c r="COY617" s="294"/>
      <c r="COZ617" s="294"/>
      <c r="CPA617" s="294"/>
      <c r="CPB617" s="294"/>
      <c r="CPC617" s="294"/>
      <c r="CPD617" s="294"/>
      <c r="CPE617" s="294"/>
      <c r="CPF617" s="294"/>
      <c r="CPG617" s="294"/>
      <c r="CPH617" s="294"/>
      <c r="CPI617" s="294"/>
      <c r="CPJ617" s="294"/>
      <c r="CPK617" s="294"/>
      <c r="CPL617" s="294"/>
      <c r="CPM617" s="294"/>
      <c r="CPN617" s="294"/>
      <c r="CPO617" s="294"/>
      <c r="CPP617" s="294"/>
      <c r="CPQ617" s="294"/>
      <c r="CPR617" s="294"/>
      <c r="CPS617" s="294"/>
      <c r="CPT617" s="294"/>
      <c r="CPU617" s="294"/>
      <c r="CPV617" s="294"/>
      <c r="CPW617" s="294"/>
      <c r="CPX617" s="294"/>
      <c r="CPY617" s="294"/>
      <c r="CPZ617" s="294"/>
      <c r="CQA617" s="294"/>
      <c r="CQB617" s="294"/>
      <c r="CQC617" s="294"/>
      <c r="CQD617" s="294"/>
      <c r="CQE617" s="294"/>
      <c r="CQF617" s="294"/>
      <c r="CQG617" s="294"/>
      <c r="CQH617" s="294"/>
      <c r="CQI617" s="294"/>
      <c r="CQJ617" s="294"/>
      <c r="CQK617" s="294"/>
      <c r="CQL617" s="294"/>
      <c r="CQM617" s="294"/>
      <c r="CQN617" s="294"/>
      <c r="CQO617" s="294"/>
      <c r="CQP617" s="294"/>
      <c r="CQQ617" s="294"/>
      <c r="CQR617" s="294"/>
      <c r="CQS617" s="294"/>
      <c r="CQT617" s="294"/>
      <c r="CQU617" s="294"/>
      <c r="CQV617" s="294"/>
      <c r="CQW617" s="294"/>
      <c r="CQX617" s="294"/>
      <c r="CQY617" s="294"/>
      <c r="CQZ617" s="294"/>
      <c r="CRA617" s="294"/>
      <c r="CRB617" s="294"/>
      <c r="CRC617" s="294"/>
      <c r="CRD617" s="294"/>
      <c r="CRE617" s="294"/>
      <c r="CRF617" s="294"/>
      <c r="CRG617" s="294"/>
      <c r="CRH617" s="294"/>
      <c r="CRI617" s="294"/>
      <c r="CRJ617" s="294"/>
      <c r="CRK617" s="294"/>
      <c r="CRL617" s="294"/>
      <c r="CRM617" s="294"/>
      <c r="CRN617" s="294"/>
      <c r="CRO617" s="294"/>
      <c r="CRP617" s="294"/>
      <c r="CRQ617" s="294"/>
      <c r="CRR617" s="294"/>
      <c r="CRS617" s="294"/>
      <c r="CRT617" s="294"/>
      <c r="CRU617" s="294"/>
      <c r="CRV617" s="294"/>
      <c r="CRW617" s="294"/>
      <c r="CRX617" s="294"/>
      <c r="CRY617" s="294"/>
      <c r="CRZ617" s="294"/>
      <c r="CSA617" s="294"/>
      <c r="CSB617" s="294"/>
      <c r="CSC617" s="294"/>
      <c r="CSD617" s="294"/>
      <c r="CSE617" s="294"/>
      <c r="CSF617" s="294"/>
      <c r="CSG617" s="294"/>
      <c r="CSH617" s="294"/>
      <c r="CSI617" s="294"/>
      <c r="CSJ617" s="294"/>
      <c r="CSK617" s="294"/>
      <c r="CSL617" s="294"/>
      <c r="CSM617" s="294"/>
      <c r="CSN617" s="294"/>
      <c r="CSO617" s="294"/>
      <c r="CSP617" s="294"/>
      <c r="CSQ617" s="294"/>
      <c r="CSR617" s="294"/>
      <c r="CSS617" s="294"/>
      <c r="CST617" s="294"/>
      <c r="CSU617" s="294"/>
      <c r="CSV617" s="294"/>
      <c r="CSW617" s="294"/>
      <c r="CSX617" s="294"/>
      <c r="CSY617" s="294"/>
      <c r="CSZ617" s="294"/>
      <c r="CTA617" s="294"/>
      <c r="CTB617" s="294"/>
      <c r="CTC617" s="294"/>
      <c r="CTD617" s="294"/>
      <c r="CTE617" s="294"/>
      <c r="CTF617" s="294"/>
      <c r="CTG617" s="294"/>
      <c r="CTH617" s="294"/>
      <c r="CTI617" s="294"/>
      <c r="CTJ617" s="294"/>
      <c r="CTK617" s="294"/>
      <c r="CTL617" s="294"/>
      <c r="CTM617" s="294"/>
      <c r="CTN617" s="294"/>
      <c r="CTO617" s="294"/>
      <c r="CTP617" s="294"/>
      <c r="CTQ617" s="294"/>
      <c r="CTR617" s="294"/>
      <c r="CTS617" s="294"/>
      <c r="CTT617" s="294"/>
      <c r="CTU617" s="294"/>
      <c r="CTV617" s="294"/>
      <c r="CTW617" s="294"/>
      <c r="CTX617" s="294"/>
      <c r="CTY617" s="294"/>
      <c r="CTZ617" s="294"/>
      <c r="CUA617" s="294"/>
      <c r="CUB617" s="294"/>
      <c r="CUC617" s="294"/>
      <c r="CUD617" s="294"/>
      <c r="CUE617" s="294"/>
      <c r="CUF617" s="294"/>
      <c r="CUG617" s="294"/>
      <c r="CUH617" s="294"/>
      <c r="CUI617" s="294"/>
      <c r="CUJ617" s="294"/>
      <c r="CUK617" s="294"/>
      <c r="CUL617" s="294"/>
      <c r="CUM617" s="294"/>
      <c r="CUN617" s="294"/>
      <c r="CUO617" s="294"/>
      <c r="CUP617" s="294"/>
      <c r="CUQ617" s="294"/>
      <c r="CUR617" s="294"/>
      <c r="CUS617" s="294"/>
      <c r="CUT617" s="294"/>
      <c r="CUU617" s="294"/>
      <c r="CUV617" s="294"/>
      <c r="CUW617" s="294"/>
      <c r="CUX617" s="294"/>
      <c r="CUY617" s="294"/>
      <c r="CUZ617" s="294"/>
      <c r="CVA617" s="294"/>
      <c r="CVB617" s="294"/>
      <c r="CVC617" s="294"/>
      <c r="CVD617" s="294"/>
      <c r="CVE617" s="294"/>
      <c r="CVF617" s="294"/>
      <c r="CVG617" s="294"/>
      <c r="CVH617" s="294"/>
      <c r="CVI617" s="294"/>
      <c r="CVJ617" s="294"/>
      <c r="CVK617" s="294"/>
      <c r="CVL617" s="294"/>
      <c r="CVM617" s="294"/>
      <c r="CVN617" s="294"/>
      <c r="CVO617" s="294"/>
      <c r="CVP617" s="294"/>
      <c r="CVQ617" s="294"/>
      <c r="CVR617" s="294"/>
      <c r="CVS617" s="294"/>
      <c r="CVT617" s="294"/>
      <c r="CVU617" s="294"/>
      <c r="CVV617" s="294"/>
      <c r="CVW617" s="294"/>
      <c r="CVX617" s="294"/>
      <c r="CVY617" s="294"/>
      <c r="CVZ617" s="294"/>
      <c r="CWA617" s="294"/>
      <c r="CWB617" s="294"/>
      <c r="CWC617" s="294"/>
      <c r="CWD617" s="294"/>
      <c r="CWE617" s="294"/>
      <c r="CWF617" s="294"/>
      <c r="CWG617" s="294"/>
      <c r="CWH617" s="294"/>
      <c r="CWI617" s="294"/>
      <c r="CWJ617" s="294"/>
      <c r="CWK617" s="294"/>
      <c r="CWL617" s="294"/>
      <c r="CWM617" s="294"/>
      <c r="CWN617" s="294"/>
      <c r="CWO617" s="294"/>
      <c r="CWP617" s="294"/>
      <c r="CWQ617" s="294"/>
      <c r="CWR617" s="294"/>
      <c r="CWS617" s="294"/>
      <c r="CWT617" s="294"/>
      <c r="CWU617" s="294"/>
      <c r="CWV617" s="294"/>
      <c r="CWW617" s="294"/>
      <c r="CWX617" s="294"/>
      <c r="CWY617" s="294"/>
      <c r="CWZ617" s="294"/>
      <c r="CXA617" s="294"/>
      <c r="CXB617" s="294"/>
      <c r="CXC617" s="294"/>
      <c r="CXD617" s="294"/>
      <c r="CXE617" s="294"/>
      <c r="CXF617" s="294"/>
      <c r="CXG617" s="294"/>
      <c r="CXH617" s="294"/>
      <c r="CXI617" s="294"/>
      <c r="CXJ617" s="294"/>
      <c r="CXK617" s="294"/>
      <c r="CXL617" s="294"/>
      <c r="CXM617" s="294"/>
      <c r="CXN617" s="294"/>
      <c r="CXO617" s="294"/>
      <c r="CXP617" s="294"/>
      <c r="CXQ617" s="294"/>
      <c r="CXR617" s="294"/>
      <c r="CXS617" s="294"/>
      <c r="CXT617" s="294"/>
      <c r="CXU617" s="294"/>
      <c r="CXV617" s="294"/>
      <c r="CXW617" s="294"/>
      <c r="CXX617" s="294"/>
      <c r="CXY617" s="294"/>
      <c r="CXZ617" s="294"/>
      <c r="CYA617" s="294"/>
      <c r="CYB617" s="294"/>
      <c r="CYC617" s="294"/>
      <c r="CYD617" s="294"/>
      <c r="CYE617" s="294"/>
      <c r="CYF617" s="294"/>
      <c r="CYG617" s="294"/>
      <c r="CYH617" s="294"/>
      <c r="CYI617" s="294"/>
      <c r="CYJ617" s="294"/>
      <c r="CYK617" s="294"/>
      <c r="CYL617" s="294"/>
      <c r="CYM617" s="294"/>
      <c r="CYN617" s="294"/>
      <c r="CYO617" s="294"/>
      <c r="CYP617" s="294"/>
      <c r="CYQ617" s="294"/>
      <c r="CYR617" s="294"/>
      <c r="CYS617" s="294"/>
      <c r="CYT617" s="294"/>
      <c r="CYU617" s="294"/>
      <c r="CYV617" s="294"/>
      <c r="CYW617" s="294"/>
      <c r="CYX617" s="294"/>
      <c r="CYY617" s="294"/>
      <c r="CYZ617" s="294"/>
      <c r="CZA617" s="294"/>
      <c r="CZB617" s="294"/>
      <c r="CZC617" s="294"/>
      <c r="CZD617" s="294"/>
      <c r="CZE617" s="294"/>
      <c r="CZF617" s="294"/>
      <c r="CZG617" s="294"/>
      <c r="CZH617" s="294"/>
      <c r="CZI617" s="294"/>
      <c r="CZJ617" s="294"/>
      <c r="CZK617" s="294"/>
      <c r="CZL617" s="294"/>
      <c r="CZM617" s="294"/>
      <c r="CZN617" s="294"/>
      <c r="CZO617" s="294"/>
      <c r="CZP617" s="294"/>
      <c r="CZQ617" s="294"/>
      <c r="CZR617" s="294"/>
      <c r="CZS617" s="294"/>
      <c r="CZT617" s="294"/>
      <c r="CZU617" s="294"/>
      <c r="CZV617" s="294"/>
      <c r="CZW617" s="294"/>
      <c r="CZX617" s="294"/>
      <c r="CZY617" s="294"/>
      <c r="CZZ617" s="294"/>
      <c r="DAA617" s="294"/>
      <c r="DAB617" s="294"/>
      <c r="DAC617" s="294"/>
      <c r="DAD617" s="294"/>
      <c r="DAE617" s="294"/>
      <c r="DAF617" s="294"/>
      <c r="DAG617" s="294"/>
      <c r="DAH617" s="294"/>
      <c r="DAI617" s="294"/>
      <c r="DAJ617" s="294"/>
      <c r="DAK617" s="294"/>
      <c r="DAL617" s="294"/>
      <c r="DAM617" s="294"/>
      <c r="DAN617" s="294"/>
      <c r="DAO617" s="294"/>
      <c r="DAP617" s="294"/>
      <c r="DAQ617" s="294"/>
      <c r="DAR617" s="294"/>
      <c r="DAS617" s="294"/>
      <c r="DAT617" s="294"/>
      <c r="DAU617" s="294"/>
      <c r="DAV617" s="294"/>
      <c r="DAW617" s="294"/>
      <c r="DAX617" s="294"/>
      <c r="DAY617" s="294"/>
      <c r="DAZ617" s="294"/>
      <c r="DBA617" s="294"/>
      <c r="DBB617" s="294"/>
      <c r="DBC617" s="294"/>
      <c r="DBD617" s="294"/>
      <c r="DBE617" s="294"/>
      <c r="DBF617" s="294"/>
      <c r="DBG617" s="294"/>
      <c r="DBH617" s="294"/>
      <c r="DBI617" s="294"/>
      <c r="DBJ617" s="294"/>
      <c r="DBK617" s="294"/>
      <c r="DBL617" s="294"/>
      <c r="DBM617" s="294"/>
      <c r="DBN617" s="294"/>
      <c r="DBO617" s="294"/>
      <c r="DBP617" s="294"/>
      <c r="DBQ617" s="294"/>
      <c r="DBR617" s="294"/>
      <c r="DBS617" s="294"/>
      <c r="DBT617" s="294"/>
      <c r="DBU617" s="294"/>
      <c r="DBV617" s="294"/>
      <c r="DBW617" s="294"/>
      <c r="DBX617" s="294"/>
      <c r="DBY617" s="294"/>
      <c r="DBZ617" s="294"/>
      <c r="DCA617" s="294"/>
      <c r="DCB617" s="294"/>
      <c r="DCC617" s="294"/>
      <c r="DCD617" s="294"/>
      <c r="DCE617" s="294"/>
      <c r="DCF617" s="294"/>
      <c r="DCG617" s="294"/>
      <c r="DCH617" s="294"/>
      <c r="DCI617" s="294"/>
      <c r="DCJ617" s="294"/>
      <c r="DCK617" s="294"/>
      <c r="DCL617" s="294"/>
      <c r="DCM617" s="294"/>
      <c r="DCN617" s="294"/>
      <c r="DCO617" s="294"/>
      <c r="DCP617" s="294"/>
      <c r="DCQ617" s="294"/>
      <c r="DCR617" s="294"/>
      <c r="DCS617" s="294"/>
      <c r="DCT617" s="294"/>
      <c r="DCU617" s="294"/>
      <c r="DCV617" s="294"/>
      <c r="DCW617" s="294"/>
      <c r="DCX617" s="294"/>
      <c r="DCY617" s="294"/>
      <c r="DCZ617" s="294"/>
      <c r="DDA617" s="294"/>
      <c r="DDB617" s="294"/>
      <c r="DDC617" s="294"/>
      <c r="DDD617" s="294"/>
      <c r="DDE617" s="294"/>
      <c r="DDF617" s="294"/>
      <c r="DDG617" s="294"/>
      <c r="DDH617" s="294"/>
      <c r="DDI617" s="294"/>
      <c r="DDJ617" s="294"/>
      <c r="DDK617" s="294"/>
      <c r="DDL617" s="294"/>
      <c r="DDM617" s="294"/>
      <c r="DDN617" s="294"/>
      <c r="DDO617" s="294"/>
      <c r="DDP617" s="294"/>
      <c r="DDQ617" s="294"/>
      <c r="DDR617" s="294"/>
      <c r="DDS617" s="294"/>
      <c r="DDT617" s="294"/>
      <c r="DDU617" s="294"/>
      <c r="DDV617" s="294"/>
      <c r="DDW617" s="294"/>
      <c r="DDX617" s="294"/>
      <c r="DDY617" s="294"/>
      <c r="DDZ617" s="294"/>
      <c r="DEA617" s="294"/>
      <c r="DEB617" s="294"/>
      <c r="DEC617" s="294"/>
      <c r="DED617" s="294"/>
      <c r="DEE617" s="294"/>
      <c r="DEF617" s="294"/>
      <c r="DEG617" s="294"/>
      <c r="DEH617" s="294"/>
      <c r="DEI617" s="294"/>
      <c r="DEJ617" s="294"/>
      <c r="DEK617" s="294"/>
      <c r="DEL617" s="294"/>
      <c r="DEM617" s="294"/>
      <c r="DEN617" s="294"/>
      <c r="DEO617" s="294"/>
      <c r="DEP617" s="294"/>
      <c r="DEQ617" s="294"/>
      <c r="DER617" s="294"/>
      <c r="DES617" s="294"/>
      <c r="DET617" s="294"/>
      <c r="DEU617" s="294"/>
      <c r="DEV617" s="294"/>
      <c r="DEW617" s="294"/>
      <c r="DEX617" s="294"/>
      <c r="DEY617" s="294"/>
      <c r="DEZ617" s="294"/>
      <c r="DFA617" s="294"/>
      <c r="DFB617" s="294"/>
      <c r="DFC617" s="294"/>
      <c r="DFD617" s="294"/>
      <c r="DFE617" s="294"/>
      <c r="DFF617" s="294"/>
      <c r="DFG617" s="294"/>
      <c r="DFH617" s="294"/>
      <c r="DFI617" s="294"/>
      <c r="DFJ617" s="294"/>
      <c r="DFK617" s="294"/>
      <c r="DFL617" s="294"/>
      <c r="DFM617" s="294"/>
      <c r="DFN617" s="294"/>
      <c r="DFO617" s="294"/>
      <c r="DFP617" s="294"/>
      <c r="DFQ617" s="294"/>
      <c r="DFR617" s="294"/>
      <c r="DFS617" s="294"/>
      <c r="DFT617" s="294"/>
      <c r="DFU617" s="294"/>
      <c r="DFV617" s="294"/>
      <c r="DFW617" s="294"/>
      <c r="DFX617" s="294"/>
      <c r="DFY617" s="294"/>
      <c r="DFZ617" s="294"/>
      <c r="DGA617" s="294"/>
      <c r="DGB617" s="294"/>
      <c r="DGC617" s="294"/>
      <c r="DGD617" s="294"/>
      <c r="DGE617" s="294"/>
      <c r="DGF617" s="294"/>
      <c r="DGG617" s="294"/>
      <c r="DGH617" s="294"/>
      <c r="DGI617" s="294"/>
      <c r="DGJ617" s="294"/>
      <c r="DGK617" s="294"/>
      <c r="DGL617" s="294"/>
      <c r="DGM617" s="294"/>
      <c r="DGN617" s="294"/>
      <c r="DGO617" s="294"/>
      <c r="DGP617" s="294"/>
      <c r="DGQ617" s="294"/>
      <c r="DGR617" s="294"/>
      <c r="DGS617" s="294"/>
      <c r="DGT617" s="294"/>
      <c r="DGU617" s="294"/>
      <c r="DGV617" s="294"/>
      <c r="DGW617" s="294"/>
      <c r="DGX617" s="294"/>
      <c r="DGY617" s="294"/>
      <c r="DGZ617" s="294"/>
      <c r="DHA617" s="294"/>
      <c r="DHB617" s="294"/>
      <c r="DHC617" s="294"/>
      <c r="DHD617" s="294"/>
      <c r="DHE617" s="294"/>
      <c r="DHF617" s="294"/>
      <c r="DHG617" s="294"/>
      <c r="DHH617" s="294"/>
      <c r="DHI617" s="294"/>
      <c r="DHJ617" s="294"/>
      <c r="DHK617" s="294"/>
      <c r="DHL617" s="294"/>
      <c r="DHM617" s="294"/>
      <c r="DHN617" s="294"/>
      <c r="DHO617" s="294"/>
      <c r="DHP617" s="294"/>
      <c r="DHQ617" s="294"/>
      <c r="DHR617" s="294"/>
      <c r="DHS617" s="294"/>
      <c r="DHT617" s="294"/>
      <c r="DHU617" s="294"/>
      <c r="DHV617" s="294"/>
      <c r="DHW617" s="294"/>
      <c r="DHX617" s="294"/>
      <c r="DHY617" s="294"/>
      <c r="DHZ617" s="294"/>
      <c r="DIA617" s="294"/>
      <c r="DIB617" s="294"/>
      <c r="DIC617" s="294"/>
      <c r="DID617" s="294"/>
      <c r="DIE617" s="294"/>
      <c r="DIF617" s="294"/>
      <c r="DIG617" s="294"/>
      <c r="DIH617" s="294"/>
      <c r="DII617" s="294"/>
      <c r="DIJ617" s="294"/>
      <c r="DIK617" s="294"/>
      <c r="DIL617" s="294"/>
      <c r="DIM617" s="294"/>
      <c r="DIN617" s="294"/>
      <c r="DIO617" s="294"/>
      <c r="DIP617" s="294"/>
      <c r="DIQ617" s="294"/>
      <c r="DIR617" s="294"/>
      <c r="DIS617" s="294"/>
      <c r="DIT617" s="294"/>
      <c r="DIU617" s="294"/>
      <c r="DIV617" s="294"/>
      <c r="DIW617" s="294"/>
      <c r="DIX617" s="294"/>
      <c r="DIY617" s="294"/>
      <c r="DIZ617" s="294"/>
      <c r="DJA617" s="294"/>
      <c r="DJB617" s="294"/>
      <c r="DJC617" s="294"/>
      <c r="DJD617" s="294"/>
      <c r="DJE617" s="294"/>
      <c r="DJF617" s="294"/>
      <c r="DJG617" s="294"/>
      <c r="DJH617" s="294"/>
      <c r="DJI617" s="294"/>
      <c r="DJJ617" s="294"/>
      <c r="DJK617" s="294"/>
      <c r="DJL617" s="294"/>
      <c r="DJM617" s="294"/>
      <c r="DJN617" s="294"/>
      <c r="DJO617" s="294"/>
      <c r="DJP617" s="294"/>
      <c r="DJQ617" s="294"/>
      <c r="DJR617" s="294"/>
      <c r="DJS617" s="294"/>
      <c r="DJT617" s="294"/>
      <c r="DJU617" s="294"/>
      <c r="DJV617" s="294"/>
      <c r="DJW617" s="294"/>
      <c r="DJX617" s="294"/>
      <c r="DJY617" s="294"/>
      <c r="DJZ617" s="294"/>
      <c r="DKA617" s="294"/>
      <c r="DKB617" s="294"/>
      <c r="DKC617" s="294"/>
      <c r="DKD617" s="294"/>
      <c r="DKE617" s="294"/>
      <c r="DKF617" s="294"/>
      <c r="DKG617" s="294"/>
      <c r="DKH617" s="294"/>
      <c r="DKI617" s="294"/>
      <c r="DKJ617" s="294"/>
      <c r="DKK617" s="294"/>
      <c r="DKL617" s="294"/>
      <c r="DKM617" s="294"/>
      <c r="DKN617" s="294"/>
      <c r="DKO617" s="294"/>
      <c r="DKP617" s="294"/>
      <c r="DKQ617" s="294"/>
      <c r="DKR617" s="294"/>
      <c r="DKS617" s="294"/>
      <c r="DKT617" s="294"/>
      <c r="DKU617" s="294"/>
      <c r="DKV617" s="294"/>
      <c r="DKW617" s="294"/>
      <c r="DKX617" s="294"/>
      <c r="DKY617" s="294"/>
      <c r="DKZ617" s="294"/>
      <c r="DLA617" s="294"/>
      <c r="DLB617" s="294"/>
      <c r="DLC617" s="294"/>
      <c r="DLD617" s="294"/>
      <c r="DLE617" s="294"/>
      <c r="DLF617" s="294"/>
      <c r="DLG617" s="294"/>
      <c r="DLH617" s="294"/>
      <c r="DLI617" s="294"/>
      <c r="DLJ617" s="294"/>
      <c r="DLK617" s="294"/>
      <c r="DLL617" s="294"/>
      <c r="DLM617" s="294"/>
      <c r="DLN617" s="294"/>
      <c r="DLO617" s="294"/>
      <c r="DLP617" s="294"/>
      <c r="DLQ617" s="294"/>
      <c r="DLR617" s="294"/>
      <c r="DLS617" s="294"/>
      <c r="DLT617" s="294"/>
      <c r="DLU617" s="294"/>
      <c r="DLV617" s="294"/>
      <c r="DLW617" s="294"/>
      <c r="DLX617" s="294"/>
      <c r="DLY617" s="294"/>
      <c r="DLZ617" s="294"/>
      <c r="DMA617" s="294"/>
      <c r="DMB617" s="294"/>
      <c r="DMC617" s="294"/>
      <c r="DMD617" s="294"/>
      <c r="DME617" s="294"/>
      <c r="DMF617" s="294"/>
      <c r="DMG617" s="294"/>
      <c r="DMH617" s="294"/>
      <c r="DMI617" s="294"/>
      <c r="DMJ617" s="294"/>
      <c r="DMK617" s="294"/>
      <c r="DML617" s="294"/>
      <c r="DMM617" s="294"/>
      <c r="DMN617" s="294"/>
      <c r="DMO617" s="294"/>
      <c r="DMP617" s="294"/>
      <c r="DMQ617" s="294"/>
      <c r="DMR617" s="294"/>
      <c r="DMS617" s="294"/>
      <c r="DMT617" s="294"/>
      <c r="DMU617" s="294"/>
      <c r="DMV617" s="294"/>
      <c r="DMW617" s="294"/>
      <c r="DMX617" s="294"/>
      <c r="DMY617" s="294"/>
      <c r="DMZ617" s="294"/>
      <c r="DNA617" s="294"/>
      <c r="DNB617" s="294"/>
      <c r="DNC617" s="294"/>
      <c r="DND617" s="294"/>
      <c r="DNE617" s="294"/>
      <c r="DNF617" s="294"/>
      <c r="DNG617" s="294"/>
      <c r="DNH617" s="294"/>
      <c r="DNI617" s="294"/>
      <c r="DNJ617" s="294"/>
      <c r="DNK617" s="294"/>
      <c r="DNL617" s="294"/>
      <c r="DNM617" s="294"/>
      <c r="DNN617" s="294"/>
      <c r="DNO617" s="294"/>
      <c r="DNP617" s="294"/>
      <c r="DNQ617" s="294"/>
      <c r="DNR617" s="294"/>
      <c r="DNS617" s="294"/>
      <c r="DNT617" s="294"/>
      <c r="DNU617" s="294"/>
      <c r="DNV617" s="294"/>
      <c r="DNW617" s="294"/>
      <c r="DNX617" s="294"/>
      <c r="DNY617" s="294"/>
      <c r="DNZ617" s="294"/>
      <c r="DOA617" s="294"/>
      <c r="DOB617" s="294"/>
      <c r="DOC617" s="294"/>
      <c r="DOD617" s="294"/>
      <c r="DOE617" s="294"/>
      <c r="DOF617" s="294"/>
      <c r="DOG617" s="294"/>
      <c r="DOH617" s="294"/>
      <c r="DOI617" s="294"/>
      <c r="DOJ617" s="294"/>
      <c r="DOK617" s="294"/>
      <c r="DOL617" s="294"/>
      <c r="DOM617" s="294"/>
      <c r="DON617" s="294"/>
      <c r="DOO617" s="294"/>
      <c r="DOP617" s="294"/>
      <c r="DOQ617" s="294"/>
      <c r="DOR617" s="294"/>
      <c r="DOS617" s="294"/>
      <c r="DOT617" s="294"/>
      <c r="DOU617" s="294"/>
      <c r="DOV617" s="294"/>
      <c r="DOW617" s="294"/>
      <c r="DOX617" s="294"/>
      <c r="DOY617" s="294"/>
      <c r="DOZ617" s="294"/>
      <c r="DPA617" s="294"/>
      <c r="DPB617" s="294"/>
      <c r="DPC617" s="294"/>
      <c r="DPD617" s="294"/>
      <c r="DPE617" s="294"/>
      <c r="DPF617" s="294"/>
      <c r="DPG617" s="294"/>
      <c r="DPH617" s="294"/>
      <c r="DPI617" s="294"/>
      <c r="DPJ617" s="294"/>
      <c r="DPK617" s="294"/>
      <c r="DPL617" s="294"/>
      <c r="DPM617" s="294"/>
      <c r="DPN617" s="294"/>
      <c r="DPO617" s="294"/>
      <c r="DPP617" s="294"/>
      <c r="DPQ617" s="294"/>
      <c r="DPR617" s="294"/>
      <c r="DPS617" s="294"/>
      <c r="DPT617" s="294"/>
      <c r="DPU617" s="294"/>
      <c r="DPV617" s="294"/>
      <c r="DPW617" s="294"/>
      <c r="DPX617" s="294"/>
      <c r="DPY617" s="294"/>
      <c r="DPZ617" s="294"/>
      <c r="DQA617" s="294"/>
      <c r="DQB617" s="294"/>
      <c r="DQC617" s="294"/>
      <c r="DQD617" s="294"/>
      <c r="DQE617" s="294"/>
      <c r="DQF617" s="294"/>
      <c r="DQG617" s="294"/>
      <c r="DQH617" s="294"/>
      <c r="DQI617" s="294"/>
      <c r="DQJ617" s="294"/>
      <c r="DQK617" s="294"/>
      <c r="DQL617" s="294"/>
      <c r="DQM617" s="294"/>
      <c r="DQN617" s="294"/>
      <c r="DQO617" s="294"/>
      <c r="DQP617" s="294"/>
      <c r="DQQ617" s="294"/>
      <c r="DQR617" s="294"/>
      <c r="DQS617" s="294"/>
      <c r="DQT617" s="294"/>
      <c r="DQU617" s="294"/>
      <c r="DQV617" s="294"/>
      <c r="DQW617" s="294"/>
      <c r="DQX617" s="294"/>
      <c r="DQY617" s="294"/>
      <c r="DQZ617" s="294"/>
      <c r="DRA617" s="294"/>
      <c r="DRB617" s="294"/>
      <c r="DRC617" s="294"/>
      <c r="DRD617" s="294"/>
      <c r="DRE617" s="294"/>
      <c r="DRF617" s="294"/>
      <c r="DRG617" s="294"/>
      <c r="DRH617" s="294"/>
      <c r="DRI617" s="294"/>
      <c r="DRJ617" s="294"/>
      <c r="DRK617" s="294"/>
      <c r="DRL617" s="294"/>
      <c r="DRM617" s="294"/>
      <c r="DRN617" s="294"/>
      <c r="DRO617" s="294"/>
      <c r="DRP617" s="294"/>
      <c r="DRQ617" s="294"/>
      <c r="DRR617" s="294"/>
      <c r="DRS617" s="294"/>
      <c r="DRT617" s="294"/>
      <c r="DRU617" s="294"/>
      <c r="DRV617" s="294"/>
      <c r="DRW617" s="294"/>
      <c r="DRX617" s="294"/>
      <c r="DRY617" s="294"/>
      <c r="DRZ617" s="294"/>
      <c r="DSA617" s="294"/>
      <c r="DSB617" s="294"/>
      <c r="DSC617" s="294"/>
      <c r="DSD617" s="294"/>
      <c r="DSE617" s="294"/>
      <c r="DSF617" s="294"/>
      <c r="DSG617" s="294"/>
      <c r="DSH617" s="294"/>
      <c r="DSI617" s="294"/>
      <c r="DSJ617" s="294"/>
      <c r="DSK617" s="294"/>
      <c r="DSL617" s="294"/>
      <c r="DSM617" s="294"/>
      <c r="DSN617" s="294"/>
      <c r="DSO617" s="294"/>
      <c r="DSP617" s="294"/>
      <c r="DSQ617" s="294"/>
      <c r="DSR617" s="294"/>
      <c r="DSS617" s="294"/>
      <c r="DST617" s="294"/>
      <c r="DSU617" s="294"/>
      <c r="DSV617" s="294"/>
      <c r="DSW617" s="294"/>
      <c r="DSX617" s="294"/>
      <c r="DSY617" s="294"/>
      <c r="DSZ617" s="294"/>
      <c r="DTA617" s="294"/>
      <c r="DTB617" s="294"/>
      <c r="DTC617" s="294"/>
      <c r="DTD617" s="294"/>
      <c r="DTE617" s="294"/>
      <c r="DTF617" s="294"/>
      <c r="DTG617" s="294"/>
      <c r="DTH617" s="294"/>
      <c r="DTI617" s="294"/>
      <c r="DTJ617" s="294"/>
      <c r="DTK617" s="294"/>
      <c r="DTL617" s="294"/>
      <c r="DTM617" s="294"/>
      <c r="DTN617" s="294"/>
      <c r="DTO617" s="294"/>
      <c r="DTP617" s="294"/>
      <c r="DTQ617" s="294"/>
      <c r="DTR617" s="294"/>
      <c r="DTS617" s="294"/>
      <c r="DTT617" s="294"/>
      <c r="DTU617" s="294"/>
      <c r="DTV617" s="294"/>
      <c r="DTW617" s="294"/>
      <c r="DTX617" s="294"/>
      <c r="DTY617" s="294"/>
      <c r="DTZ617" s="294"/>
      <c r="DUA617" s="294"/>
      <c r="DUB617" s="294"/>
      <c r="DUC617" s="294"/>
      <c r="DUD617" s="294"/>
      <c r="DUE617" s="294"/>
      <c r="DUF617" s="294"/>
      <c r="DUG617" s="294"/>
      <c r="DUH617" s="294"/>
      <c r="DUI617" s="294"/>
      <c r="DUJ617" s="294"/>
      <c r="DUK617" s="294"/>
      <c r="DUL617" s="294"/>
      <c r="DUM617" s="294"/>
      <c r="DUN617" s="294"/>
      <c r="DUO617" s="294"/>
      <c r="DUP617" s="294"/>
      <c r="DUQ617" s="294"/>
      <c r="DUR617" s="294"/>
      <c r="DUS617" s="294"/>
      <c r="DUT617" s="294"/>
      <c r="DUU617" s="294"/>
      <c r="DUV617" s="294"/>
      <c r="DUW617" s="294"/>
      <c r="DUX617" s="294"/>
      <c r="DUY617" s="294"/>
      <c r="DUZ617" s="294"/>
      <c r="DVA617" s="294"/>
      <c r="DVB617" s="294"/>
      <c r="DVC617" s="294"/>
      <c r="DVD617" s="294"/>
      <c r="DVE617" s="294"/>
      <c r="DVF617" s="294"/>
      <c r="DVG617" s="294"/>
      <c r="DVH617" s="294"/>
      <c r="DVI617" s="294"/>
      <c r="DVJ617" s="294"/>
      <c r="DVK617" s="294"/>
      <c r="DVL617" s="294"/>
      <c r="DVM617" s="294"/>
      <c r="DVN617" s="294"/>
      <c r="DVO617" s="294"/>
      <c r="DVP617" s="294"/>
      <c r="DVQ617" s="294"/>
      <c r="DVR617" s="294"/>
      <c r="DVS617" s="294"/>
      <c r="DVT617" s="294"/>
      <c r="DVU617" s="294"/>
      <c r="DVV617" s="294"/>
      <c r="DVW617" s="294"/>
      <c r="DVX617" s="294"/>
      <c r="DVY617" s="294"/>
      <c r="DVZ617" s="294"/>
      <c r="DWA617" s="294"/>
      <c r="DWB617" s="294"/>
      <c r="DWC617" s="294"/>
      <c r="DWD617" s="294"/>
      <c r="DWE617" s="294"/>
      <c r="DWF617" s="294"/>
      <c r="DWG617" s="294"/>
      <c r="DWH617" s="294"/>
      <c r="DWI617" s="294"/>
      <c r="DWJ617" s="294"/>
      <c r="DWK617" s="294"/>
      <c r="DWL617" s="294"/>
      <c r="DWM617" s="294"/>
      <c r="DWN617" s="294"/>
      <c r="DWO617" s="294"/>
      <c r="DWP617" s="294"/>
      <c r="DWQ617" s="294"/>
      <c r="DWR617" s="294"/>
      <c r="DWS617" s="294"/>
      <c r="DWT617" s="294"/>
      <c r="DWU617" s="294"/>
      <c r="DWV617" s="294"/>
      <c r="DWW617" s="294"/>
      <c r="DWX617" s="294"/>
      <c r="DWY617" s="294"/>
      <c r="DWZ617" s="294"/>
      <c r="DXA617" s="294"/>
      <c r="DXB617" s="294"/>
      <c r="DXC617" s="294"/>
      <c r="DXD617" s="294"/>
      <c r="DXE617" s="294"/>
      <c r="DXF617" s="294"/>
      <c r="DXG617" s="294"/>
      <c r="DXH617" s="294"/>
      <c r="DXI617" s="294"/>
      <c r="DXJ617" s="294"/>
      <c r="DXK617" s="294"/>
      <c r="DXL617" s="294"/>
      <c r="DXM617" s="294"/>
      <c r="DXN617" s="294"/>
      <c r="DXO617" s="294"/>
      <c r="DXP617" s="294"/>
      <c r="DXQ617" s="294"/>
      <c r="DXR617" s="294"/>
      <c r="DXS617" s="294"/>
      <c r="DXT617" s="294"/>
      <c r="DXU617" s="294"/>
      <c r="DXV617" s="294"/>
      <c r="DXW617" s="294"/>
      <c r="DXX617" s="294"/>
      <c r="DXY617" s="294"/>
      <c r="DXZ617" s="294"/>
      <c r="DYA617" s="294"/>
      <c r="DYB617" s="294"/>
      <c r="DYC617" s="294"/>
      <c r="DYD617" s="294"/>
      <c r="DYE617" s="294"/>
      <c r="DYF617" s="294"/>
      <c r="DYG617" s="294"/>
      <c r="DYH617" s="294"/>
      <c r="DYI617" s="294"/>
      <c r="DYJ617" s="294"/>
      <c r="DYK617" s="294"/>
      <c r="DYL617" s="294"/>
      <c r="DYM617" s="294"/>
      <c r="DYN617" s="294"/>
      <c r="DYO617" s="294"/>
      <c r="DYP617" s="294"/>
      <c r="DYQ617" s="294"/>
      <c r="DYR617" s="294"/>
      <c r="DYS617" s="294"/>
      <c r="DYT617" s="294"/>
      <c r="DYU617" s="294"/>
      <c r="DYV617" s="294"/>
      <c r="DYW617" s="294"/>
      <c r="DYX617" s="294"/>
      <c r="DYY617" s="294"/>
      <c r="DYZ617" s="294"/>
      <c r="DZA617" s="294"/>
      <c r="DZB617" s="294"/>
      <c r="DZC617" s="294"/>
      <c r="DZD617" s="294"/>
      <c r="DZE617" s="294"/>
      <c r="DZF617" s="294"/>
      <c r="DZG617" s="294"/>
      <c r="DZH617" s="294"/>
      <c r="DZI617" s="294"/>
      <c r="DZJ617" s="294"/>
      <c r="DZK617" s="294"/>
      <c r="DZL617" s="294"/>
      <c r="DZM617" s="294"/>
      <c r="DZN617" s="294"/>
      <c r="DZO617" s="294"/>
      <c r="DZP617" s="294"/>
      <c r="DZQ617" s="294"/>
      <c r="DZR617" s="294"/>
      <c r="DZS617" s="294"/>
      <c r="DZT617" s="294"/>
      <c r="DZU617" s="294"/>
      <c r="DZV617" s="294"/>
      <c r="DZW617" s="294"/>
      <c r="DZX617" s="294"/>
      <c r="DZY617" s="294"/>
      <c r="DZZ617" s="294"/>
      <c r="EAA617" s="294"/>
      <c r="EAB617" s="294"/>
      <c r="EAC617" s="294"/>
      <c r="EAD617" s="294"/>
      <c r="EAE617" s="294"/>
      <c r="EAF617" s="294"/>
      <c r="EAG617" s="294"/>
      <c r="EAH617" s="294"/>
      <c r="EAI617" s="294"/>
      <c r="EAJ617" s="294"/>
      <c r="EAK617" s="294"/>
      <c r="EAL617" s="294"/>
      <c r="EAM617" s="294"/>
      <c r="EAN617" s="294"/>
      <c r="EAO617" s="294"/>
      <c r="EAP617" s="294"/>
      <c r="EAQ617" s="294"/>
      <c r="EAR617" s="294"/>
      <c r="EAS617" s="294"/>
      <c r="EAT617" s="294"/>
      <c r="EAU617" s="294"/>
      <c r="EAV617" s="294"/>
      <c r="EAW617" s="294"/>
      <c r="EAX617" s="294"/>
      <c r="EAY617" s="294"/>
      <c r="EAZ617" s="294"/>
      <c r="EBA617" s="294"/>
      <c r="EBB617" s="294"/>
      <c r="EBC617" s="294"/>
      <c r="EBD617" s="294"/>
      <c r="EBE617" s="294"/>
      <c r="EBF617" s="294"/>
      <c r="EBG617" s="294"/>
      <c r="EBH617" s="294"/>
      <c r="EBI617" s="294"/>
      <c r="EBJ617" s="294"/>
      <c r="EBK617" s="294"/>
      <c r="EBL617" s="294"/>
      <c r="EBM617" s="294"/>
      <c r="EBN617" s="294"/>
      <c r="EBO617" s="294"/>
      <c r="EBP617" s="294"/>
      <c r="EBQ617" s="294"/>
      <c r="EBR617" s="294"/>
      <c r="EBS617" s="294"/>
      <c r="EBT617" s="294"/>
      <c r="EBU617" s="294"/>
      <c r="EBV617" s="294"/>
      <c r="EBW617" s="294"/>
      <c r="EBX617" s="294"/>
      <c r="EBY617" s="294"/>
      <c r="EBZ617" s="294"/>
      <c r="ECA617" s="294"/>
      <c r="ECB617" s="294"/>
      <c r="ECC617" s="294"/>
      <c r="ECD617" s="294"/>
      <c r="ECE617" s="294"/>
      <c r="ECF617" s="294"/>
      <c r="ECG617" s="294"/>
      <c r="ECH617" s="294"/>
      <c r="ECI617" s="294"/>
      <c r="ECJ617" s="294"/>
      <c r="ECK617" s="294"/>
      <c r="ECL617" s="294"/>
      <c r="ECM617" s="294"/>
      <c r="ECN617" s="294"/>
      <c r="ECO617" s="294"/>
      <c r="ECP617" s="294"/>
      <c r="ECQ617" s="294"/>
      <c r="ECR617" s="294"/>
      <c r="ECS617" s="294"/>
      <c r="ECT617" s="294"/>
      <c r="ECU617" s="294"/>
      <c r="ECV617" s="294"/>
      <c r="ECW617" s="294"/>
      <c r="ECX617" s="294"/>
      <c r="ECY617" s="294"/>
      <c r="ECZ617" s="294"/>
      <c r="EDA617" s="294"/>
      <c r="EDB617" s="294"/>
      <c r="EDC617" s="294"/>
      <c r="EDD617" s="294"/>
      <c r="EDE617" s="294"/>
      <c r="EDF617" s="294"/>
      <c r="EDG617" s="294"/>
      <c r="EDH617" s="294"/>
      <c r="EDI617" s="294"/>
      <c r="EDJ617" s="294"/>
      <c r="EDK617" s="294"/>
      <c r="EDL617" s="294"/>
      <c r="EDM617" s="294"/>
      <c r="EDN617" s="294"/>
      <c r="EDO617" s="294"/>
      <c r="EDP617" s="294"/>
      <c r="EDQ617" s="294"/>
      <c r="EDR617" s="294"/>
      <c r="EDS617" s="294"/>
      <c r="EDT617" s="294"/>
      <c r="EDU617" s="294"/>
      <c r="EDV617" s="294"/>
      <c r="EDW617" s="294"/>
      <c r="EDX617" s="294"/>
      <c r="EDY617" s="294"/>
      <c r="EDZ617" s="294"/>
      <c r="EEA617" s="294"/>
      <c r="EEB617" s="294"/>
      <c r="EEC617" s="294"/>
      <c r="EED617" s="294"/>
      <c r="EEE617" s="294"/>
      <c r="EEF617" s="294"/>
      <c r="EEG617" s="294"/>
      <c r="EEH617" s="294"/>
      <c r="EEI617" s="294"/>
      <c r="EEJ617" s="294"/>
      <c r="EEK617" s="294"/>
      <c r="EEL617" s="294"/>
      <c r="EEM617" s="294"/>
      <c r="EEN617" s="294"/>
      <c r="EEO617" s="294"/>
      <c r="EEP617" s="294"/>
      <c r="EEQ617" s="294"/>
      <c r="EER617" s="294"/>
      <c r="EES617" s="294"/>
      <c r="EET617" s="294"/>
      <c r="EEU617" s="294"/>
      <c r="EEV617" s="294"/>
      <c r="EEW617" s="294"/>
      <c r="EEX617" s="294"/>
      <c r="EEY617" s="294"/>
      <c r="EEZ617" s="294"/>
      <c r="EFA617" s="294"/>
      <c r="EFB617" s="294"/>
      <c r="EFC617" s="294"/>
      <c r="EFD617" s="294"/>
      <c r="EFE617" s="294"/>
      <c r="EFF617" s="294"/>
      <c r="EFG617" s="294"/>
      <c r="EFH617" s="294"/>
      <c r="EFI617" s="294"/>
      <c r="EFJ617" s="294"/>
      <c r="EFK617" s="294"/>
      <c r="EFL617" s="294"/>
      <c r="EFM617" s="294"/>
      <c r="EFN617" s="294"/>
      <c r="EFO617" s="294"/>
      <c r="EFP617" s="294"/>
      <c r="EFQ617" s="294"/>
      <c r="EFR617" s="294"/>
      <c r="EFS617" s="294"/>
      <c r="EFT617" s="294"/>
      <c r="EFU617" s="294"/>
      <c r="EFV617" s="294"/>
      <c r="EFW617" s="294"/>
      <c r="EFX617" s="294"/>
      <c r="EFY617" s="294"/>
      <c r="EFZ617" s="294"/>
      <c r="EGA617" s="294"/>
      <c r="EGB617" s="294"/>
      <c r="EGC617" s="294"/>
      <c r="EGD617" s="294"/>
      <c r="EGE617" s="294"/>
      <c r="EGF617" s="294"/>
      <c r="EGG617" s="294"/>
      <c r="EGH617" s="294"/>
      <c r="EGI617" s="294"/>
      <c r="EGJ617" s="294"/>
      <c r="EGK617" s="294"/>
      <c r="EGL617" s="294"/>
      <c r="EGM617" s="294"/>
      <c r="EGN617" s="294"/>
      <c r="EGO617" s="294"/>
      <c r="EGP617" s="294"/>
      <c r="EGQ617" s="294"/>
      <c r="EGR617" s="294"/>
      <c r="EGS617" s="294"/>
      <c r="EGT617" s="294"/>
      <c r="EGU617" s="294"/>
      <c r="EGV617" s="294"/>
      <c r="EGW617" s="294"/>
      <c r="EGX617" s="294"/>
      <c r="EGY617" s="294"/>
      <c r="EGZ617" s="294"/>
      <c r="EHA617" s="294"/>
      <c r="EHB617" s="294"/>
      <c r="EHC617" s="294"/>
      <c r="EHD617" s="294"/>
      <c r="EHE617" s="294"/>
      <c r="EHF617" s="294"/>
      <c r="EHG617" s="294"/>
      <c r="EHH617" s="294"/>
      <c r="EHI617" s="294"/>
      <c r="EHJ617" s="294"/>
      <c r="EHK617" s="294"/>
      <c r="EHL617" s="294"/>
      <c r="EHM617" s="294"/>
      <c r="EHN617" s="294"/>
      <c r="EHO617" s="294"/>
      <c r="EHP617" s="294"/>
      <c r="EHQ617" s="294"/>
      <c r="EHR617" s="294"/>
      <c r="EHS617" s="294"/>
      <c r="EHT617" s="294"/>
      <c r="EHU617" s="294"/>
      <c r="EHV617" s="294"/>
      <c r="EHW617" s="294"/>
      <c r="EHX617" s="294"/>
      <c r="EHY617" s="294"/>
      <c r="EHZ617" s="294"/>
      <c r="EIA617" s="294"/>
      <c r="EIB617" s="294"/>
      <c r="EIC617" s="294"/>
      <c r="EID617" s="294"/>
      <c r="EIE617" s="294"/>
      <c r="EIF617" s="294"/>
      <c r="EIG617" s="294"/>
      <c r="EIH617" s="294"/>
      <c r="EII617" s="294"/>
      <c r="EIJ617" s="294"/>
      <c r="EIK617" s="294"/>
      <c r="EIL617" s="294"/>
      <c r="EIM617" s="294"/>
      <c r="EIN617" s="294"/>
      <c r="EIO617" s="294"/>
      <c r="EIP617" s="294"/>
      <c r="EIQ617" s="294"/>
      <c r="EIR617" s="294"/>
      <c r="EIS617" s="294"/>
      <c r="EIT617" s="294"/>
      <c r="EIU617" s="294"/>
      <c r="EIV617" s="294"/>
      <c r="EIW617" s="294"/>
      <c r="EIX617" s="294"/>
      <c r="EIY617" s="294"/>
      <c r="EIZ617" s="294"/>
      <c r="EJA617" s="294"/>
      <c r="EJB617" s="294"/>
      <c r="EJC617" s="294"/>
      <c r="EJD617" s="294"/>
      <c r="EJE617" s="294"/>
      <c r="EJF617" s="294"/>
      <c r="EJG617" s="294"/>
      <c r="EJH617" s="294"/>
      <c r="EJI617" s="294"/>
      <c r="EJJ617" s="294"/>
      <c r="EJK617" s="294"/>
      <c r="EJL617" s="294"/>
      <c r="EJM617" s="294"/>
      <c r="EJN617" s="294"/>
      <c r="EJO617" s="294"/>
      <c r="EJP617" s="294"/>
      <c r="EJQ617" s="294"/>
      <c r="EJR617" s="294"/>
      <c r="EJS617" s="294"/>
      <c r="EJT617" s="294"/>
      <c r="EJU617" s="294"/>
      <c r="EJV617" s="294"/>
      <c r="EJW617" s="294"/>
      <c r="EJX617" s="294"/>
      <c r="EJY617" s="294"/>
      <c r="EJZ617" s="294"/>
      <c r="EKA617" s="294"/>
      <c r="EKB617" s="294"/>
      <c r="EKC617" s="294"/>
      <c r="EKD617" s="294"/>
      <c r="EKE617" s="294"/>
      <c r="EKF617" s="294"/>
      <c r="EKG617" s="294"/>
      <c r="EKH617" s="294"/>
      <c r="EKI617" s="294"/>
      <c r="EKJ617" s="294"/>
      <c r="EKK617" s="294"/>
      <c r="EKL617" s="294"/>
      <c r="EKM617" s="294"/>
      <c r="EKN617" s="294"/>
      <c r="EKO617" s="294"/>
      <c r="EKP617" s="294"/>
      <c r="EKQ617" s="294"/>
      <c r="EKR617" s="294"/>
      <c r="EKS617" s="294"/>
      <c r="EKT617" s="294"/>
      <c r="EKU617" s="294"/>
      <c r="EKV617" s="294"/>
      <c r="EKW617" s="294"/>
      <c r="EKX617" s="294"/>
      <c r="EKY617" s="294"/>
      <c r="EKZ617" s="294"/>
      <c r="ELA617" s="294"/>
      <c r="ELB617" s="294"/>
      <c r="ELC617" s="294"/>
      <c r="ELD617" s="294"/>
      <c r="ELE617" s="294"/>
      <c r="ELF617" s="294"/>
      <c r="ELG617" s="294"/>
      <c r="ELH617" s="294"/>
      <c r="ELI617" s="294"/>
      <c r="ELJ617" s="294"/>
      <c r="ELK617" s="294"/>
      <c r="ELL617" s="294"/>
      <c r="ELM617" s="294"/>
      <c r="ELN617" s="294"/>
      <c r="ELO617" s="294"/>
      <c r="ELP617" s="294"/>
      <c r="ELQ617" s="294"/>
      <c r="ELR617" s="294"/>
      <c r="ELS617" s="294"/>
      <c r="ELT617" s="294"/>
      <c r="ELU617" s="294"/>
      <c r="ELV617" s="294"/>
      <c r="ELW617" s="294"/>
      <c r="ELX617" s="294"/>
      <c r="ELY617" s="294"/>
      <c r="ELZ617" s="294"/>
      <c r="EMA617" s="294"/>
      <c r="EMB617" s="294"/>
      <c r="EMC617" s="294"/>
      <c r="EMD617" s="294"/>
      <c r="EME617" s="294"/>
      <c r="EMF617" s="294"/>
      <c r="EMG617" s="294"/>
      <c r="EMH617" s="294"/>
      <c r="EMI617" s="294"/>
      <c r="EMJ617" s="294"/>
      <c r="EMK617" s="294"/>
      <c r="EML617" s="294"/>
      <c r="EMM617" s="294"/>
      <c r="EMN617" s="294"/>
      <c r="EMO617" s="294"/>
      <c r="EMP617" s="294"/>
      <c r="EMQ617" s="294"/>
      <c r="EMR617" s="294"/>
      <c r="EMS617" s="294"/>
      <c r="EMT617" s="294"/>
      <c r="EMU617" s="294"/>
      <c r="EMV617" s="294"/>
      <c r="EMW617" s="294"/>
      <c r="EMX617" s="294"/>
      <c r="EMY617" s="294"/>
      <c r="EMZ617" s="294"/>
      <c r="ENA617" s="294"/>
      <c r="ENB617" s="294"/>
      <c r="ENC617" s="294"/>
      <c r="END617" s="294"/>
      <c r="ENE617" s="294"/>
      <c r="ENF617" s="294"/>
      <c r="ENG617" s="294"/>
      <c r="ENH617" s="294"/>
      <c r="ENI617" s="294"/>
      <c r="ENJ617" s="294"/>
      <c r="ENK617" s="294"/>
      <c r="ENL617" s="294"/>
      <c r="ENM617" s="294"/>
      <c r="ENN617" s="294"/>
      <c r="ENO617" s="294"/>
      <c r="ENP617" s="294"/>
      <c r="ENQ617" s="294"/>
      <c r="ENR617" s="294"/>
      <c r="ENS617" s="294"/>
      <c r="ENT617" s="294"/>
      <c r="ENU617" s="294"/>
      <c r="ENV617" s="294"/>
      <c r="ENW617" s="294"/>
      <c r="ENX617" s="294"/>
      <c r="ENY617" s="294"/>
      <c r="ENZ617" s="294"/>
      <c r="EOA617" s="294"/>
      <c r="EOB617" s="294"/>
      <c r="EOC617" s="294"/>
      <c r="EOD617" s="294"/>
      <c r="EOE617" s="294"/>
      <c r="EOF617" s="294"/>
      <c r="EOG617" s="294"/>
      <c r="EOH617" s="294"/>
      <c r="EOI617" s="294"/>
      <c r="EOJ617" s="294"/>
      <c r="EOK617" s="294"/>
      <c r="EOL617" s="294"/>
      <c r="EOM617" s="294"/>
      <c r="EON617" s="294"/>
      <c r="EOO617" s="294"/>
      <c r="EOP617" s="294"/>
      <c r="EOQ617" s="294"/>
      <c r="EOR617" s="294"/>
      <c r="EOS617" s="294"/>
      <c r="EOT617" s="294"/>
      <c r="EOU617" s="294"/>
      <c r="EOV617" s="294"/>
      <c r="EOW617" s="294"/>
      <c r="EOX617" s="294"/>
      <c r="EOY617" s="294"/>
      <c r="EOZ617" s="294"/>
      <c r="EPA617" s="294"/>
      <c r="EPB617" s="294"/>
      <c r="EPC617" s="294"/>
      <c r="EPD617" s="294"/>
      <c r="EPE617" s="294"/>
      <c r="EPF617" s="294"/>
      <c r="EPG617" s="294"/>
      <c r="EPH617" s="294"/>
      <c r="EPI617" s="294"/>
      <c r="EPJ617" s="294"/>
      <c r="EPK617" s="294"/>
      <c r="EPL617" s="294"/>
      <c r="EPM617" s="294"/>
      <c r="EPN617" s="294"/>
      <c r="EPO617" s="294"/>
      <c r="EPP617" s="294"/>
      <c r="EPQ617" s="294"/>
      <c r="EPR617" s="294"/>
      <c r="EPS617" s="294"/>
      <c r="EPT617" s="294"/>
      <c r="EPU617" s="294"/>
      <c r="EPV617" s="294"/>
      <c r="EPW617" s="294"/>
      <c r="EPX617" s="294"/>
      <c r="EPY617" s="294"/>
      <c r="EPZ617" s="294"/>
      <c r="EQA617" s="294"/>
      <c r="EQB617" s="294"/>
      <c r="EQC617" s="294"/>
      <c r="EQD617" s="294"/>
      <c r="EQE617" s="294"/>
      <c r="EQF617" s="294"/>
      <c r="EQG617" s="294"/>
      <c r="EQH617" s="294"/>
      <c r="EQI617" s="294"/>
      <c r="EQJ617" s="294"/>
      <c r="EQK617" s="294"/>
      <c r="EQL617" s="294"/>
      <c r="EQM617" s="294"/>
      <c r="EQN617" s="294"/>
      <c r="EQO617" s="294"/>
      <c r="EQP617" s="294"/>
      <c r="EQQ617" s="294"/>
      <c r="EQR617" s="294"/>
      <c r="EQS617" s="294"/>
      <c r="EQT617" s="294"/>
      <c r="EQU617" s="294"/>
      <c r="EQV617" s="294"/>
      <c r="EQW617" s="294"/>
      <c r="EQX617" s="294"/>
      <c r="EQY617" s="294"/>
      <c r="EQZ617" s="294"/>
      <c r="ERA617" s="294"/>
      <c r="ERB617" s="294"/>
      <c r="ERC617" s="294"/>
      <c r="ERD617" s="294"/>
      <c r="ERE617" s="294"/>
      <c r="ERF617" s="294"/>
      <c r="ERG617" s="294"/>
      <c r="ERH617" s="294"/>
      <c r="ERI617" s="294"/>
      <c r="ERJ617" s="294"/>
      <c r="ERK617" s="294"/>
      <c r="ERL617" s="294"/>
      <c r="ERM617" s="294"/>
      <c r="ERN617" s="294"/>
      <c r="ERO617" s="294"/>
      <c r="ERP617" s="294"/>
      <c r="ERQ617" s="294"/>
      <c r="ERR617" s="294"/>
      <c r="ERS617" s="294"/>
      <c r="ERT617" s="294"/>
      <c r="ERU617" s="294"/>
      <c r="ERV617" s="294"/>
      <c r="ERW617" s="294"/>
      <c r="ERX617" s="294"/>
      <c r="ERY617" s="294"/>
      <c r="ERZ617" s="294"/>
      <c r="ESA617" s="294"/>
      <c r="ESB617" s="294"/>
      <c r="ESC617" s="294"/>
      <c r="ESD617" s="294"/>
      <c r="ESE617" s="294"/>
      <c r="ESF617" s="294"/>
      <c r="ESG617" s="294"/>
      <c r="ESH617" s="294"/>
      <c r="ESI617" s="294"/>
      <c r="ESJ617" s="294"/>
      <c r="ESK617" s="294"/>
      <c r="ESL617" s="294"/>
      <c r="ESM617" s="294"/>
      <c r="ESN617" s="294"/>
      <c r="ESO617" s="294"/>
      <c r="ESP617" s="294"/>
      <c r="ESQ617" s="294"/>
      <c r="ESR617" s="294"/>
      <c r="ESS617" s="294"/>
      <c r="EST617" s="294"/>
      <c r="ESU617" s="294"/>
      <c r="ESV617" s="294"/>
      <c r="ESW617" s="294"/>
      <c r="ESX617" s="294"/>
      <c r="ESY617" s="294"/>
      <c r="ESZ617" s="294"/>
      <c r="ETA617" s="294"/>
      <c r="ETB617" s="294"/>
      <c r="ETC617" s="294"/>
      <c r="ETD617" s="294"/>
      <c r="ETE617" s="294"/>
      <c r="ETF617" s="294"/>
      <c r="ETG617" s="294"/>
      <c r="ETH617" s="294"/>
      <c r="ETI617" s="294"/>
      <c r="ETJ617" s="294"/>
      <c r="ETK617" s="294"/>
      <c r="ETL617" s="294"/>
      <c r="ETM617" s="294"/>
      <c r="ETN617" s="294"/>
      <c r="ETO617" s="294"/>
      <c r="ETP617" s="294"/>
      <c r="ETQ617" s="294"/>
      <c r="ETR617" s="294"/>
      <c r="ETS617" s="294"/>
      <c r="ETT617" s="294"/>
      <c r="ETU617" s="294"/>
      <c r="ETV617" s="294"/>
      <c r="ETW617" s="294"/>
      <c r="ETX617" s="294"/>
      <c r="ETY617" s="294"/>
      <c r="ETZ617" s="294"/>
      <c r="EUA617" s="294"/>
      <c r="EUB617" s="294"/>
      <c r="EUC617" s="294"/>
      <c r="EUD617" s="294"/>
      <c r="EUE617" s="294"/>
      <c r="EUF617" s="294"/>
      <c r="EUG617" s="294"/>
      <c r="EUH617" s="294"/>
      <c r="EUI617" s="294"/>
      <c r="EUJ617" s="294"/>
      <c r="EUK617" s="294"/>
      <c r="EUL617" s="294"/>
      <c r="EUM617" s="294"/>
      <c r="EUN617" s="294"/>
      <c r="EUO617" s="294"/>
      <c r="EUP617" s="294"/>
      <c r="EUQ617" s="294"/>
      <c r="EUR617" s="294"/>
      <c r="EUS617" s="294"/>
      <c r="EUT617" s="294"/>
      <c r="EUU617" s="294"/>
      <c r="EUV617" s="294"/>
      <c r="EUW617" s="294"/>
      <c r="EUX617" s="294"/>
      <c r="EUY617" s="294"/>
      <c r="EUZ617" s="294"/>
      <c r="EVA617" s="294"/>
      <c r="EVB617" s="294"/>
      <c r="EVC617" s="294"/>
      <c r="EVD617" s="294"/>
      <c r="EVE617" s="294"/>
      <c r="EVF617" s="294"/>
      <c r="EVG617" s="294"/>
      <c r="EVH617" s="294"/>
      <c r="EVI617" s="294"/>
      <c r="EVJ617" s="294"/>
      <c r="EVK617" s="294"/>
      <c r="EVL617" s="294"/>
      <c r="EVM617" s="294"/>
      <c r="EVN617" s="294"/>
      <c r="EVO617" s="294"/>
      <c r="EVP617" s="294"/>
      <c r="EVQ617" s="294"/>
      <c r="EVR617" s="294"/>
      <c r="EVS617" s="294"/>
      <c r="EVT617" s="294"/>
      <c r="EVU617" s="294"/>
      <c r="EVV617" s="294"/>
      <c r="EVW617" s="294"/>
      <c r="EVX617" s="294"/>
      <c r="EVY617" s="294"/>
      <c r="EVZ617" s="294"/>
      <c r="EWA617" s="294"/>
      <c r="EWB617" s="294"/>
      <c r="EWC617" s="294"/>
      <c r="EWD617" s="294"/>
      <c r="EWE617" s="294"/>
      <c r="EWF617" s="294"/>
      <c r="EWG617" s="294"/>
      <c r="EWH617" s="294"/>
      <c r="EWI617" s="294"/>
      <c r="EWJ617" s="294"/>
      <c r="EWK617" s="294"/>
      <c r="EWL617" s="294"/>
      <c r="EWM617" s="294"/>
      <c r="EWN617" s="294"/>
      <c r="EWO617" s="294"/>
      <c r="EWP617" s="294"/>
      <c r="EWQ617" s="294"/>
      <c r="EWR617" s="294"/>
      <c r="EWS617" s="294"/>
      <c r="EWT617" s="294"/>
      <c r="EWU617" s="294"/>
      <c r="EWV617" s="294"/>
      <c r="EWW617" s="294"/>
      <c r="EWX617" s="294"/>
      <c r="EWY617" s="294"/>
      <c r="EWZ617" s="294"/>
      <c r="EXA617" s="294"/>
      <c r="EXB617" s="294"/>
      <c r="EXC617" s="294"/>
      <c r="EXD617" s="294"/>
      <c r="EXE617" s="294"/>
      <c r="EXF617" s="294"/>
      <c r="EXG617" s="294"/>
      <c r="EXH617" s="294"/>
      <c r="EXI617" s="294"/>
      <c r="EXJ617" s="294"/>
      <c r="EXK617" s="294"/>
      <c r="EXL617" s="294"/>
      <c r="EXM617" s="294"/>
      <c r="EXN617" s="294"/>
      <c r="EXO617" s="294"/>
      <c r="EXP617" s="294"/>
      <c r="EXQ617" s="294"/>
      <c r="EXR617" s="294"/>
      <c r="EXS617" s="294"/>
      <c r="EXT617" s="294"/>
      <c r="EXU617" s="294"/>
      <c r="EXV617" s="294"/>
      <c r="EXW617" s="294"/>
      <c r="EXX617" s="294"/>
      <c r="EXY617" s="294"/>
      <c r="EXZ617" s="294"/>
      <c r="EYA617" s="294"/>
      <c r="EYB617" s="294"/>
      <c r="EYC617" s="294"/>
      <c r="EYD617" s="294"/>
      <c r="EYE617" s="294"/>
      <c r="EYF617" s="294"/>
      <c r="EYG617" s="294"/>
      <c r="EYH617" s="294"/>
      <c r="EYI617" s="294"/>
      <c r="EYJ617" s="294"/>
      <c r="EYK617" s="294"/>
      <c r="EYL617" s="294"/>
      <c r="EYM617" s="294"/>
      <c r="EYN617" s="294"/>
      <c r="EYO617" s="294"/>
      <c r="EYP617" s="294"/>
      <c r="EYQ617" s="294"/>
      <c r="EYR617" s="294"/>
      <c r="EYS617" s="294"/>
      <c r="EYT617" s="294"/>
      <c r="EYU617" s="294"/>
      <c r="EYV617" s="294"/>
      <c r="EYW617" s="294"/>
      <c r="EYX617" s="294"/>
      <c r="EYY617" s="294"/>
      <c r="EYZ617" s="294"/>
      <c r="EZA617" s="294"/>
      <c r="EZB617" s="294"/>
      <c r="EZC617" s="294"/>
      <c r="EZD617" s="294"/>
      <c r="EZE617" s="294"/>
      <c r="EZF617" s="294"/>
      <c r="EZG617" s="294"/>
      <c r="EZH617" s="294"/>
      <c r="EZI617" s="294"/>
      <c r="EZJ617" s="294"/>
      <c r="EZK617" s="294"/>
      <c r="EZL617" s="294"/>
      <c r="EZM617" s="294"/>
      <c r="EZN617" s="294"/>
      <c r="EZO617" s="294"/>
      <c r="EZP617" s="294"/>
      <c r="EZQ617" s="294"/>
      <c r="EZR617" s="294"/>
      <c r="EZS617" s="294"/>
      <c r="EZT617" s="294"/>
      <c r="EZU617" s="294"/>
      <c r="EZV617" s="294"/>
      <c r="EZW617" s="294"/>
      <c r="EZX617" s="294"/>
      <c r="EZY617" s="294"/>
      <c r="EZZ617" s="294"/>
      <c r="FAA617" s="294"/>
      <c r="FAB617" s="294"/>
      <c r="FAC617" s="294"/>
      <c r="FAD617" s="294"/>
      <c r="FAE617" s="294"/>
      <c r="FAF617" s="294"/>
      <c r="FAG617" s="294"/>
      <c r="FAH617" s="294"/>
      <c r="FAI617" s="294"/>
      <c r="FAJ617" s="294"/>
      <c r="FAK617" s="294"/>
      <c r="FAL617" s="294"/>
      <c r="FAM617" s="294"/>
      <c r="FAN617" s="294"/>
      <c r="FAO617" s="294"/>
      <c r="FAP617" s="294"/>
      <c r="FAQ617" s="294"/>
      <c r="FAR617" s="294"/>
      <c r="FAS617" s="294"/>
      <c r="FAT617" s="294"/>
      <c r="FAU617" s="294"/>
      <c r="FAV617" s="294"/>
      <c r="FAW617" s="294"/>
      <c r="FAX617" s="294"/>
      <c r="FAY617" s="294"/>
      <c r="FAZ617" s="294"/>
      <c r="FBA617" s="294"/>
      <c r="FBB617" s="294"/>
      <c r="FBC617" s="294"/>
      <c r="FBD617" s="294"/>
      <c r="FBE617" s="294"/>
      <c r="FBF617" s="294"/>
      <c r="FBG617" s="294"/>
      <c r="FBH617" s="294"/>
      <c r="FBI617" s="294"/>
      <c r="FBJ617" s="294"/>
      <c r="FBK617" s="294"/>
      <c r="FBL617" s="294"/>
      <c r="FBM617" s="294"/>
      <c r="FBN617" s="294"/>
      <c r="FBO617" s="294"/>
      <c r="FBP617" s="294"/>
      <c r="FBQ617" s="294"/>
      <c r="FBR617" s="294"/>
      <c r="FBS617" s="294"/>
      <c r="FBT617" s="294"/>
      <c r="FBU617" s="294"/>
      <c r="FBV617" s="294"/>
      <c r="FBW617" s="294"/>
      <c r="FBX617" s="294"/>
      <c r="FBY617" s="294"/>
      <c r="FBZ617" s="294"/>
      <c r="FCA617" s="294"/>
      <c r="FCB617" s="294"/>
      <c r="FCC617" s="294"/>
      <c r="FCD617" s="294"/>
      <c r="FCE617" s="294"/>
      <c r="FCF617" s="294"/>
      <c r="FCG617" s="294"/>
      <c r="FCH617" s="294"/>
      <c r="FCI617" s="294"/>
      <c r="FCJ617" s="294"/>
      <c r="FCK617" s="294"/>
      <c r="FCL617" s="294"/>
      <c r="FCM617" s="294"/>
      <c r="FCN617" s="294"/>
      <c r="FCO617" s="294"/>
      <c r="FCP617" s="294"/>
      <c r="FCQ617" s="294"/>
      <c r="FCR617" s="294"/>
      <c r="FCS617" s="294"/>
      <c r="FCT617" s="294"/>
      <c r="FCU617" s="294"/>
      <c r="FCV617" s="294"/>
      <c r="FCW617" s="294"/>
      <c r="FCX617" s="294"/>
      <c r="FCY617" s="294"/>
      <c r="FCZ617" s="294"/>
      <c r="FDA617" s="294"/>
      <c r="FDB617" s="294"/>
      <c r="FDC617" s="294"/>
      <c r="FDD617" s="294"/>
      <c r="FDE617" s="294"/>
      <c r="FDF617" s="294"/>
      <c r="FDG617" s="294"/>
      <c r="FDH617" s="294"/>
      <c r="FDI617" s="294"/>
      <c r="FDJ617" s="294"/>
      <c r="FDK617" s="294"/>
      <c r="FDL617" s="294"/>
      <c r="FDM617" s="294"/>
      <c r="FDN617" s="294"/>
      <c r="FDO617" s="294"/>
      <c r="FDP617" s="294"/>
      <c r="FDQ617" s="294"/>
      <c r="FDR617" s="294"/>
      <c r="FDS617" s="294"/>
      <c r="FDT617" s="294"/>
      <c r="FDU617" s="294"/>
      <c r="FDV617" s="294"/>
      <c r="FDW617" s="294"/>
      <c r="FDX617" s="294"/>
      <c r="FDY617" s="294"/>
      <c r="FDZ617" s="294"/>
      <c r="FEA617" s="294"/>
      <c r="FEB617" s="294"/>
      <c r="FEC617" s="294"/>
      <c r="FED617" s="294"/>
      <c r="FEE617" s="294"/>
      <c r="FEF617" s="294"/>
      <c r="FEG617" s="294"/>
      <c r="FEH617" s="294"/>
      <c r="FEI617" s="294"/>
      <c r="FEJ617" s="294"/>
      <c r="FEK617" s="294"/>
      <c r="FEL617" s="294"/>
      <c r="FEM617" s="294"/>
      <c r="FEN617" s="294"/>
      <c r="FEO617" s="294"/>
      <c r="FEP617" s="294"/>
      <c r="FEQ617" s="294"/>
      <c r="FER617" s="294"/>
      <c r="FES617" s="294"/>
      <c r="FET617" s="294"/>
      <c r="FEU617" s="294"/>
      <c r="FEV617" s="294"/>
      <c r="FEW617" s="294"/>
      <c r="FEX617" s="294"/>
      <c r="FEY617" s="294"/>
      <c r="FEZ617" s="294"/>
      <c r="FFA617" s="294"/>
      <c r="FFB617" s="294"/>
      <c r="FFC617" s="294"/>
      <c r="FFD617" s="294"/>
      <c r="FFE617" s="294"/>
      <c r="FFF617" s="294"/>
      <c r="FFG617" s="294"/>
      <c r="FFH617" s="294"/>
      <c r="FFI617" s="294"/>
      <c r="FFJ617" s="294"/>
      <c r="FFK617" s="294"/>
      <c r="FFL617" s="294"/>
      <c r="FFM617" s="294"/>
      <c r="FFN617" s="294"/>
      <c r="FFO617" s="294"/>
      <c r="FFP617" s="294"/>
      <c r="FFQ617" s="294"/>
      <c r="FFR617" s="294"/>
      <c r="FFS617" s="294"/>
      <c r="FFT617" s="294"/>
      <c r="FFU617" s="294"/>
      <c r="FFV617" s="294"/>
      <c r="FFW617" s="294"/>
      <c r="FFX617" s="294"/>
      <c r="FFY617" s="294"/>
      <c r="FFZ617" s="294"/>
      <c r="FGA617" s="294"/>
      <c r="FGB617" s="294"/>
      <c r="FGC617" s="294"/>
      <c r="FGD617" s="294"/>
      <c r="FGE617" s="294"/>
      <c r="FGF617" s="294"/>
      <c r="FGG617" s="294"/>
      <c r="FGH617" s="294"/>
      <c r="FGI617" s="294"/>
      <c r="FGJ617" s="294"/>
      <c r="FGK617" s="294"/>
      <c r="FGL617" s="294"/>
      <c r="FGM617" s="294"/>
      <c r="FGN617" s="294"/>
      <c r="FGO617" s="294"/>
      <c r="FGP617" s="294"/>
      <c r="FGQ617" s="294"/>
      <c r="FGR617" s="294"/>
      <c r="FGS617" s="294"/>
      <c r="FGT617" s="294"/>
      <c r="FGU617" s="294"/>
      <c r="FGV617" s="294"/>
      <c r="FGW617" s="294"/>
      <c r="FGX617" s="294"/>
      <c r="FGY617" s="294"/>
      <c r="FGZ617" s="294"/>
      <c r="FHA617" s="294"/>
      <c r="FHB617" s="294"/>
      <c r="FHC617" s="294"/>
      <c r="FHD617" s="294"/>
      <c r="FHE617" s="294"/>
      <c r="FHF617" s="294"/>
      <c r="FHG617" s="294"/>
      <c r="FHH617" s="294"/>
      <c r="FHI617" s="294"/>
      <c r="FHJ617" s="294"/>
      <c r="FHK617" s="294"/>
      <c r="FHL617" s="294"/>
      <c r="FHM617" s="294"/>
      <c r="FHN617" s="294"/>
      <c r="FHO617" s="294"/>
      <c r="FHP617" s="294"/>
      <c r="FHQ617" s="294"/>
      <c r="FHR617" s="294"/>
      <c r="FHS617" s="294"/>
      <c r="FHT617" s="294"/>
      <c r="FHU617" s="294"/>
      <c r="FHV617" s="294"/>
      <c r="FHW617" s="294"/>
      <c r="FHX617" s="294"/>
      <c r="FHY617" s="294"/>
      <c r="FHZ617" s="294"/>
      <c r="FIA617" s="294"/>
      <c r="FIB617" s="294"/>
      <c r="FIC617" s="294"/>
      <c r="FID617" s="294"/>
      <c r="FIE617" s="294"/>
      <c r="FIF617" s="294"/>
      <c r="FIG617" s="294"/>
      <c r="FIH617" s="294"/>
      <c r="FII617" s="294"/>
      <c r="FIJ617" s="294"/>
      <c r="FIK617" s="294"/>
      <c r="FIL617" s="294"/>
      <c r="FIM617" s="294"/>
      <c r="FIN617" s="294"/>
      <c r="FIO617" s="294"/>
      <c r="FIP617" s="294"/>
      <c r="FIQ617" s="294"/>
      <c r="FIR617" s="294"/>
      <c r="FIS617" s="294"/>
      <c r="FIT617" s="294"/>
      <c r="FIU617" s="294"/>
      <c r="FIV617" s="294"/>
      <c r="FIW617" s="294"/>
      <c r="FIX617" s="294"/>
      <c r="FIY617" s="294"/>
      <c r="FIZ617" s="294"/>
      <c r="FJA617" s="294"/>
      <c r="FJB617" s="294"/>
      <c r="FJC617" s="294"/>
      <c r="FJD617" s="294"/>
      <c r="FJE617" s="294"/>
      <c r="FJF617" s="294"/>
      <c r="FJG617" s="294"/>
      <c r="FJH617" s="294"/>
      <c r="FJI617" s="294"/>
      <c r="FJJ617" s="294"/>
      <c r="FJK617" s="294"/>
      <c r="FJL617" s="294"/>
      <c r="FJM617" s="294"/>
      <c r="FJN617" s="294"/>
      <c r="FJO617" s="294"/>
      <c r="FJP617" s="294"/>
      <c r="FJQ617" s="294"/>
      <c r="FJR617" s="294"/>
      <c r="FJS617" s="294"/>
      <c r="FJT617" s="294"/>
      <c r="FJU617" s="294"/>
      <c r="FJV617" s="294"/>
      <c r="FJW617" s="294"/>
      <c r="FJX617" s="294"/>
      <c r="FJY617" s="294"/>
      <c r="FJZ617" s="294"/>
      <c r="FKA617" s="294"/>
      <c r="FKB617" s="294"/>
      <c r="FKC617" s="294"/>
      <c r="FKD617" s="294"/>
      <c r="FKE617" s="294"/>
      <c r="FKF617" s="294"/>
      <c r="FKG617" s="294"/>
      <c r="FKH617" s="294"/>
      <c r="FKI617" s="294"/>
      <c r="FKJ617" s="294"/>
      <c r="FKK617" s="294"/>
      <c r="FKL617" s="294"/>
      <c r="FKM617" s="294"/>
      <c r="FKN617" s="294"/>
      <c r="FKO617" s="294"/>
      <c r="FKP617" s="294"/>
      <c r="FKQ617" s="294"/>
      <c r="FKR617" s="294"/>
      <c r="FKS617" s="294"/>
      <c r="FKT617" s="294"/>
      <c r="FKU617" s="294"/>
      <c r="FKV617" s="294"/>
      <c r="FKW617" s="294"/>
      <c r="FKX617" s="294"/>
      <c r="FKY617" s="294"/>
      <c r="FKZ617" s="294"/>
      <c r="FLA617" s="294"/>
      <c r="FLB617" s="294"/>
      <c r="FLC617" s="294"/>
      <c r="FLD617" s="294"/>
      <c r="FLE617" s="294"/>
      <c r="FLF617" s="294"/>
      <c r="FLG617" s="294"/>
      <c r="FLH617" s="294"/>
      <c r="FLI617" s="294"/>
      <c r="FLJ617" s="294"/>
      <c r="FLK617" s="294"/>
      <c r="FLL617" s="294"/>
      <c r="FLM617" s="294"/>
      <c r="FLN617" s="294"/>
      <c r="FLO617" s="294"/>
      <c r="FLP617" s="294"/>
      <c r="FLQ617" s="294"/>
      <c r="FLR617" s="294"/>
      <c r="FLS617" s="294"/>
      <c r="FLT617" s="294"/>
      <c r="FLU617" s="294"/>
      <c r="FLV617" s="294"/>
      <c r="FLW617" s="294"/>
      <c r="FLX617" s="294"/>
      <c r="FLY617" s="294"/>
      <c r="FLZ617" s="294"/>
      <c r="FMA617" s="294"/>
      <c r="FMB617" s="294"/>
      <c r="FMC617" s="294"/>
      <c r="FMD617" s="294"/>
      <c r="FME617" s="294"/>
      <c r="FMF617" s="294"/>
      <c r="FMG617" s="294"/>
      <c r="FMH617" s="294"/>
      <c r="FMI617" s="294"/>
      <c r="FMJ617" s="294"/>
      <c r="FMK617" s="294"/>
      <c r="FML617" s="294"/>
      <c r="FMM617" s="294"/>
      <c r="FMN617" s="294"/>
      <c r="FMO617" s="294"/>
      <c r="FMP617" s="294"/>
      <c r="FMQ617" s="294"/>
      <c r="FMR617" s="294"/>
      <c r="FMS617" s="294"/>
      <c r="FMT617" s="294"/>
      <c r="FMU617" s="294"/>
      <c r="FMV617" s="294"/>
      <c r="FMW617" s="294"/>
      <c r="FMX617" s="294"/>
      <c r="FMY617" s="294"/>
      <c r="FMZ617" s="294"/>
      <c r="FNA617" s="294"/>
      <c r="FNB617" s="294"/>
      <c r="FNC617" s="294"/>
      <c r="FND617" s="294"/>
      <c r="FNE617" s="294"/>
      <c r="FNF617" s="294"/>
      <c r="FNG617" s="294"/>
      <c r="FNH617" s="294"/>
      <c r="FNI617" s="294"/>
      <c r="FNJ617" s="294"/>
      <c r="FNK617" s="294"/>
      <c r="FNL617" s="294"/>
      <c r="FNM617" s="294"/>
      <c r="FNN617" s="294"/>
      <c r="FNO617" s="294"/>
      <c r="FNP617" s="294"/>
      <c r="FNQ617" s="294"/>
      <c r="FNR617" s="294"/>
      <c r="FNS617" s="294"/>
      <c r="FNT617" s="294"/>
      <c r="FNU617" s="294"/>
      <c r="FNV617" s="294"/>
      <c r="FNW617" s="294"/>
      <c r="FNX617" s="294"/>
      <c r="FNY617" s="294"/>
      <c r="FNZ617" s="294"/>
      <c r="FOA617" s="294"/>
      <c r="FOB617" s="294"/>
      <c r="FOC617" s="294"/>
      <c r="FOD617" s="294"/>
      <c r="FOE617" s="294"/>
      <c r="FOF617" s="294"/>
      <c r="FOG617" s="294"/>
      <c r="FOH617" s="294"/>
      <c r="FOI617" s="294"/>
      <c r="FOJ617" s="294"/>
      <c r="FOK617" s="294"/>
      <c r="FOL617" s="294"/>
      <c r="FOM617" s="294"/>
      <c r="FON617" s="294"/>
      <c r="FOO617" s="294"/>
      <c r="FOP617" s="294"/>
      <c r="FOQ617" s="294"/>
      <c r="FOR617" s="294"/>
      <c r="FOS617" s="294"/>
      <c r="FOT617" s="294"/>
      <c r="FOU617" s="294"/>
      <c r="FOV617" s="294"/>
      <c r="FOW617" s="294"/>
      <c r="FOX617" s="294"/>
      <c r="FOY617" s="294"/>
      <c r="FOZ617" s="294"/>
      <c r="FPA617" s="294"/>
      <c r="FPB617" s="294"/>
      <c r="FPC617" s="294"/>
      <c r="FPD617" s="294"/>
      <c r="FPE617" s="294"/>
      <c r="FPF617" s="294"/>
      <c r="FPG617" s="294"/>
      <c r="FPH617" s="294"/>
      <c r="FPI617" s="294"/>
      <c r="FPJ617" s="294"/>
      <c r="FPK617" s="294"/>
      <c r="FPL617" s="294"/>
      <c r="FPM617" s="294"/>
      <c r="FPN617" s="294"/>
      <c r="FPO617" s="294"/>
      <c r="FPP617" s="294"/>
      <c r="FPQ617" s="294"/>
      <c r="FPR617" s="294"/>
      <c r="FPS617" s="294"/>
      <c r="FPT617" s="294"/>
      <c r="FPU617" s="294"/>
      <c r="FPV617" s="294"/>
      <c r="FPW617" s="294"/>
      <c r="FPX617" s="294"/>
      <c r="FPY617" s="294"/>
      <c r="FPZ617" s="294"/>
      <c r="FQA617" s="294"/>
      <c r="FQB617" s="294"/>
      <c r="FQC617" s="294"/>
      <c r="FQD617" s="294"/>
      <c r="FQE617" s="294"/>
      <c r="FQF617" s="294"/>
      <c r="FQG617" s="294"/>
      <c r="FQH617" s="294"/>
      <c r="FQI617" s="294"/>
      <c r="FQJ617" s="294"/>
      <c r="FQK617" s="294"/>
      <c r="FQL617" s="294"/>
      <c r="FQM617" s="294"/>
      <c r="FQN617" s="294"/>
      <c r="FQO617" s="294"/>
      <c r="FQP617" s="294"/>
      <c r="FQQ617" s="294"/>
      <c r="FQR617" s="294"/>
      <c r="FQS617" s="294"/>
      <c r="FQT617" s="294"/>
      <c r="FQU617" s="294"/>
      <c r="FQV617" s="294"/>
      <c r="FQW617" s="294"/>
      <c r="FQX617" s="294"/>
      <c r="FQY617" s="294"/>
      <c r="FQZ617" s="294"/>
      <c r="FRA617" s="294"/>
      <c r="FRB617" s="294"/>
      <c r="FRC617" s="294"/>
      <c r="FRD617" s="294"/>
      <c r="FRE617" s="294"/>
      <c r="FRF617" s="294"/>
      <c r="FRG617" s="294"/>
      <c r="FRH617" s="294"/>
      <c r="FRI617" s="294"/>
      <c r="FRJ617" s="294"/>
      <c r="FRK617" s="294"/>
      <c r="FRL617" s="294"/>
      <c r="FRM617" s="294"/>
      <c r="FRN617" s="294"/>
      <c r="FRO617" s="294"/>
      <c r="FRP617" s="294"/>
      <c r="FRQ617" s="294"/>
      <c r="FRR617" s="294"/>
      <c r="FRS617" s="294"/>
      <c r="FRT617" s="294"/>
      <c r="FRU617" s="294"/>
      <c r="FRV617" s="294"/>
      <c r="FRW617" s="294"/>
      <c r="FRX617" s="294"/>
      <c r="FRY617" s="294"/>
      <c r="FRZ617" s="294"/>
      <c r="FSA617" s="294"/>
      <c r="FSB617" s="294"/>
      <c r="FSC617" s="294"/>
      <c r="FSD617" s="294"/>
      <c r="FSE617" s="294"/>
      <c r="FSF617" s="294"/>
      <c r="FSG617" s="294"/>
      <c r="FSH617" s="294"/>
      <c r="FSI617" s="294"/>
      <c r="FSJ617" s="294"/>
      <c r="FSK617" s="294"/>
      <c r="FSL617" s="294"/>
      <c r="FSM617" s="294"/>
      <c r="FSN617" s="294"/>
      <c r="FSO617" s="294"/>
      <c r="FSP617" s="294"/>
      <c r="FSQ617" s="294"/>
      <c r="FSR617" s="294"/>
      <c r="FSS617" s="294"/>
      <c r="FST617" s="294"/>
      <c r="FSU617" s="294"/>
      <c r="FSV617" s="294"/>
      <c r="FSW617" s="294"/>
      <c r="FSX617" s="294"/>
      <c r="FSY617" s="294"/>
      <c r="FSZ617" s="294"/>
      <c r="FTA617" s="294"/>
      <c r="FTB617" s="294"/>
      <c r="FTC617" s="294"/>
      <c r="FTD617" s="294"/>
      <c r="FTE617" s="294"/>
      <c r="FTF617" s="294"/>
      <c r="FTG617" s="294"/>
      <c r="FTH617" s="294"/>
      <c r="FTI617" s="294"/>
      <c r="FTJ617" s="294"/>
      <c r="FTK617" s="294"/>
      <c r="FTL617" s="294"/>
      <c r="FTM617" s="294"/>
      <c r="FTN617" s="294"/>
      <c r="FTO617" s="294"/>
      <c r="FTP617" s="294"/>
      <c r="FTQ617" s="294"/>
      <c r="FTR617" s="294"/>
      <c r="FTS617" s="294"/>
      <c r="FTT617" s="294"/>
      <c r="FTU617" s="294"/>
      <c r="FTV617" s="294"/>
      <c r="FTW617" s="294"/>
      <c r="FTX617" s="294"/>
      <c r="FTY617" s="294"/>
      <c r="FTZ617" s="294"/>
      <c r="FUA617" s="294"/>
      <c r="FUB617" s="294"/>
      <c r="FUC617" s="294"/>
      <c r="FUD617" s="294"/>
      <c r="FUE617" s="294"/>
      <c r="FUF617" s="294"/>
      <c r="FUG617" s="294"/>
      <c r="FUH617" s="294"/>
      <c r="FUI617" s="294"/>
      <c r="FUJ617" s="294"/>
      <c r="FUK617" s="294"/>
      <c r="FUL617" s="294"/>
      <c r="FUM617" s="294"/>
      <c r="FUN617" s="294"/>
      <c r="FUO617" s="294"/>
      <c r="FUP617" s="294"/>
      <c r="FUQ617" s="294"/>
      <c r="FUR617" s="294"/>
      <c r="FUS617" s="294"/>
      <c r="FUT617" s="294"/>
      <c r="FUU617" s="294"/>
      <c r="FUV617" s="294"/>
      <c r="FUW617" s="294"/>
      <c r="FUX617" s="294"/>
      <c r="FUY617" s="294"/>
      <c r="FUZ617" s="294"/>
      <c r="FVA617" s="294"/>
      <c r="FVB617" s="294"/>
      <c r="FVC617" s="294"/>
      <c r="FVD617" s="294"/>
      <c r="FVE617" s="294"/>
      <c r="FVF617" s="294"/>
      <c r="FVG617" s="294"/>
      <c r="FVH617" s="294"/>
      <c r="FVI617" s="294"/>
      <c r="FVJ617" s="294"/>
      <c r="FVK617" s="294"/>
      <c r="FVL617" s="294"/>
      <c r="FVM617" s="294"/>
      <c r="FVN617" s="294"/>
      <c r="FVO617" s="294"/>
      <c r="FVP617" s="294"/>
      <c r="FVQ617" s="294"/>
      <c r="FVR617" s="294"/>
      <c r="FVS617" s="294"/>
      <c r="FVT617" s="294"/>
      <c r="FVU617" s="294"/>
      <c r="FVV617" s="294"/>
      <c r="FVW617" s="294"/>
      <c r="FVX617" s="294"/>
      <c r="FVY617" s="294"/>
      <c r="FVZ617" s="294"/>
      <c r="FWA617" s="294"/>
      <c r="FWB617" s="294"/>
      <c r="FWC617" s="294"/>
      <c r="FWD617" s="294"/>
      <c r="FWE617" s="294"/>
      <c r="FWF617" s="294"/>
      <c r="FWG617" s="294"/>
      <c r="FWH617" s="294"/>
      <c r="FWI617" s="294"/>
      <c r="FWJ617" s="294"/>
      <c r="FWK617" s="294"/>
      <c r="FWL617" s="294"/>
      <c r="FWM617" s="294"/>
      <c r="FWN617" s="294"/>
      <c r="FWO617" s="294"/>
      <c r="FWP617" s="294"/>
      <c r="FWQ617" s="294"/>
      <c r="FWR617" s="294"/>
      <c r="FWS617" s="294"/>
      <c r="FWT617" s="294"/>
      <c r="FWU617" s="294"/>
      <c r="FWV617" s="294"/>
      <c r="FWW617" s="294"/>
      <c r="FWX617" s="294"/>
      <c r="FWY617" s="294"/>
      <c r="FWZ617" s="294"/>
      <c r="FXA617" s="294"/>
      <c r="FXB617" s="294"/>
      <c r="FXC617" s="294"/>
      <c r="FXD617" s="294"/>
      <c r="FXE617" s="294"/>
      <c r="FXF617" s="294"/>
      <c r="FXG617" s="294"/>
      <c r="FXH617" s="294"/>
      <c r="FXI617" s="294"/>
      <c r="FXJ617" s="294"/>
      <c r="FXK617" s="294"/>
      <c r="FXL617" s="294"/>
      <c r="FXM617" s="294"/>
      <c r="FXN617" s="294"/>
      <c r="FXO617" s="294"/>
      <c r="FXP617" s="294"/>
      <c r="FXQ617" s="294"/>
      <c r="FXR617" s="294"/>
      <c r="FXS617" s="294"/>
      <c r="FXT617" s="294"/>
      <c r="FXU617" s="294"/>
      <c r="FXV617" s="294"/>
      <c r="FXW617" s="294"/>
      <c r="FXX617" s="294"/>
      <c r="FXY617" s="294"/>
      <c r="FXZ617" s="294"/>
      <c r="FYA617" s="294"/>
      <c r="FYB617" s="294"/>
      <c r="FYC617" s="294"/>
      <c r="FYD617" s="294"/>
      <c r="FYE617" s="294"/>
      <c r="FYF617" s="294"/>
      <c r="FYG617" s="294"/>
      <c r="FYH617" s="294"/>
      <c r="FYI617" s="294"/>
      <c r="FYJ617" s="294"/>
      <c r="FYK617" s="294"/>
      <c r="FYL617" s="294"/>
      <c r="FYM617" s="294"/>
      <c r="FYN617" s="294"/>
      <c r="FYO617" s="294"/>
      <c r="FYP617" s="294"/>
      <c r="FYQ617" s="294"/>
      <c r="FYR617" s="294"/>
      <c r="FYS617" s="294"/>
      <c r="FYT617" s="294"/>
      <c r="FYU617" s="294"/>
      <c r="FYV617" s="294"/>
      <c r="FYW617" s="294"/>
      <c r="FYX617" s="294"/>
      <c r="FYY617" s="294"/>
      <c r="FYZ617" s="294"/>
      <c r="FZA617" s="294"/>
      <c r="FZB617" s="294"/>
      <c r="FZC617" s="294"/>
      <c r="FZD617" s="294"/>
      <c r="FZE617" s="294"/>
      <c r="FZF617" s="294"/>
      <c r="FZG617" s="294"/>
      <c r="FZH617" s="294"/>
      <c r="FZI617" s="294"/>
      <c r="FZJ617" s="294"/>
      <c r="FZK617" s="294"/>
      <c r="FZL617" s="294"/>
      <c r="FZM617" s="294"/>
      <c r="FZN617" s="294"/>
      <c r="FZO617" s="294"/>
      <c r="FZP617" s="294"/>
      <c r="FZQ617" s="294"/>
      <c r="FZR617" s="294"/>
      <c r="FZS617" s="294"/>
      <c r="FZT617" s="294"/>
      <c r="FZU617" s="294"/>
      <c r="FZV617" s="294"/>
      <c r="FZW617" s="294"/>
      <c r="FZX617" s="294"/>
      <c r="FZY617" s="294"/>
      <c r="FZZ617" s="294"/>
      <c r="GAA617" s="294"/>
      <c r="GAB617" s="294"/>
      <c r="GAC617" s="294"/>
      <c r="GAD617" s="294"/>
      <c r="GAE617" s="294"/>
      <c r="GAF617" s="294"/>
      <c r="GAG617" s="294"/>
      <c r="GAH617" s="294"/>
      <c r="GAI617" s="294"/>
      <c r="GAJ617" s="294"/>
      <c r="GAK617" s="294"/>
      <c r="GAL617" s="294"/>
      <c r="GAM617" s="294"/>
      <c r="GAN617" s="294"/>
      <c r="GAO617" s="294"/>
      <c r="GAP617" s="294"/>
      <c r="GAQ617" s="294"/>
      <c r="GAR617" s="294"/>
      <c r="GAS617" s="294"/>
      <c r="GAT617" s="294"/>
      <c r="GAU617" s="294"/>
      <c r="GAV617" s="294"/>
      <c r="GAW617" s="294"/>
      <c r="GAX617" s="294"/>
      <c r="GAY617" s="294"/>
      <c r="GAZ617" s="294"/>
      <c r="GBA617" s="294"/>
      <c r="GBB617" s="294"/>
      <c r="GBC617" s="294"/>
      <c r="GBD617" s="294"/>
      <c r="GBE617" s="294"/>
      <c r="GBF617" s="294"/>
      <c r="GBG617" s="294"/>
      <c r="GBH617" s="294"/>
      <c r="GBI617" s="294"/>
      <c r="GBJ617" s="294"/>
      <c r="GBK617" s="294"/>
      <c r="GBL617" s="294"/>
      <c r="GBM617" s="294"/>
      <c r="GBN617" s="294"/>
      <c r="GBO617" s="294"/>
      <c r="GBP617" s="294"/>
      <c r="GBQ617" s="294"/>
      <c r="GBR617" s="294"/>
      <c r="GBS617" s="294"/>
      <c r="GBT617" s="294"/>
      <c r="GBU617" s="294"/>
      <c r="GBV617" s="294"/>
      <c r="GBW617" s="294"/>
      <c r="GBX617" s="294"/>
      <c r="GBY617" s="294"/>
      <c r="GBZ617" s="294"/>
      <c r="GCA617" s="294"/>
      <c r="GCB617" s="294"/>
      <c r="GCC617" s="294"/>
      <c r="GCD617" s="294"/>
      <c r="GCE617" s="294"/>
      <c r="GCF617" s="294"/>
      <c r="GCG617" s="294"/>
      <c r="GCH617" s="294"/>
      <c r="GCI617" s="294"/>
      <c r="GCJ617" s="294"/>
      <c r="GCK617" s="294"/>
      <c r="GCL617" s="294"/>
      <c r="GCM617" s="294"/>
      <c r="GCN617" s="294"/>
      <c r="GCO617" s="294"/>
      <c r="GCP617" s="294"/>
      <c r="GCQ617" s="294"/>
      <c r="GCR617" s="294"/>
      <c r="GCS617" s="294"/>
      <c r="GCT617" s="294"/>
      <c r="GCU617" s="294"/>
      <c r="GCV617" s="294"/>
      <c r="GCW617" s="294"/>
      <c r="GCX617" s="294"/>
      <c r="GCY617" s="294"/>
      <c r="GCZ617" s="294"/>
      <c r="GDA617" s="294"/>
      <c r="GDB617" s="294"/>
      <c r="GDC617" s="294"/>
      <c r="GDD617" s="294"/>
      <c r="GDE617" s="294"/>
      <c r="GDF617" s="294"/>
      <c r="GDG617" s="294"/>
      <c r="GDH617" s="294"/>
      <c r="GDI617" s="294"/>
      <c r="GDJ617" s="294"/>
      <c r="GDK617" s="294"/>
      <c r="GDL617" s="294"/>
      <c r="GDM617" s="294"/>
      <c r="GDN617" s="294"/>
      <c r="GDO617" s="294"/>
      <c r="GDP617" s="294"/>
      <c r="GDQ617" s="294"/>
      <c r="GDR617" s="294"/>
      <c r="GDS617" s="294"/>
      <c r="GDT617" s="294"/>
      <c r="GDU617" s="294"/>
      <c r="GDV617" s="294"/>
      <c r="GDW617" s="294"/>
      <c r="GDX617" s="294"/>
      <c r="GDY617" s="294"/>
      <c r="GDZ617" s="294"/>
      <c r="GEA617" s="294"/>
      <c r="GEB617" s="294"/>
      <c r="GEC617" s="294"/>
      <c r="GED617" s="294"/>
      <c r="GEE617" s="294"/>
      <c r="GEF617" s="294"/>
      <c r="GEG617" s="294"/>
      <c r="GEH617" s="294"/>
      <c r="GEI617" s="294"/>
      <c r="GEJ617" s="294"/>
      <c r="GEK617" s="294"/>
      <c r="GEL617" s="294"/>
      <c r="GEM617" s="294"/>
      <c r="GEN617" s="294"/>
      <c r="GEO617" s="294"/>
      <c r="GEP617" s="294"/>
      <c r="GEQ617" s="294"/>
      <c r="GER617" s="294"/>
      <c r="GES617" s="294"/>
      <c r="GET617" s="294"/>
      <c r="GEU617" s="294"/>
      <c r="GEV617" s="294"/>
      <c r="GEW617" s="294"/>
      <c r="GEX617" s="294"/>
      <c r="GEY617" s="294"/>
      <c r="GEZ617" s="294"/>
      <c r="GFA617" s="294"/>
      <c r="GFB617" s="294"/>
      <c r="GFC617" s="294"/>
      <c r="GFD617" s="294"/>
      <c r="GFE617" s="294"/>
      <c r="GFF617" s="294"/>
      <c r="GFG617" s="294"/>
      <c r="GFH617" s="294"/>
      <c r="GFI617" s="294"/>
      <c r="GFJ617" s="294"/>
      <c r="GFK617" s="294"/>
      <c r="GFL617" s="294"/>
      <c r="GFM617" s="294"/>
      <c r="GFN617" s="294"/>
      <c r="GFO617" s="294"/>
      <c r="GFP617" s="294"/>
      <c r="GFQ617" s="294"/>
      <c r="GFR617" s="294"/>
      <c r="GFS617" s="294"/>
      <c r="GFT617" s="294"/>
      <c r="GFU617" s="294"/>
      <c r="GFV617" s="294"/>
      <c r="GFW617" s="294"/>
      <c r="GFX617" s="294"/>
      <c r="GFY617" s="294"/>
      <c r="GFZ617" s="294"/>
      <c r="GGA617" s="294"/>
      <c r="GGB617" s="294"/>
      <c r="GGC617" s="294"/>
      <c r="GGD617" s="294"/>
      <c r="GGE617" s="294"/>
      <c r="GGF617" s="294"/>
      <c r="GGG617" s="294"/>
      <c r="GGH617" s="294"/>
      <c r="GGI617" s="294"/>
      <c r="GGJ617" s="294"/>
      <c r="GGK617" s="294"/>
      <c r="GGL617" s="294"/>
      <c r="GGM617" s="294"/>
      <c r="GGN617" s="294"/>
      <c r="GGO617" s="294"/>
      <c r="GGP617" s="294"/>
      <c r="GGQ617" s="294"/>
      <c r="GGR617" s="294"/>
      <c r="GGS617" s="294"/>
      <c r="GGT617" s="294"/>
      <c r="GGU617" s="294"/>
      <c r="GGV617" s="294"/>
      <c r="GGW617" s="294"/>
      <c r="GGX617" s="294"/>
      <c r="GGY617" s="294"/>
      <c r="GGZ617" s="294"/>
      <c r="GHA617" s="294"/>
      <c r="GHB617" s="294"/>
      <c r="GHC617" s="294"/>
      <c r="GHD617" s="294"/>
      <c r="GHE617" s="294"/>
      <c r="GHF617" s="294"/>
      <c r="GHG617" s="294"/>
      <c r="GHH617" s="294"/>
      <c r="GHI617" s="294"/>
      <c r="GHJ617" s="294"/>
      <c r="GHK617" s="294"/>
      <c r="GHL617" s="294"/>
      <c r="GHM617" s="294"/>
      <c r="GHN617" s="294"/>
      <c r="GHO617" s="294"/>
      <c r="GHP617" s="294"/>
      <c r="GHQ617" s="294"/>
      <c r="GHR617" s="294"/>
      <c r="GHS617" s="294"/>
      <c r="GHT617" s="294"/>
      <c r="GHU617" s="294"/>
      <c r="GHV617" s="294"/>
      <c r="GHW617" s="294"/>
      <c r="GHX617" s="294"/>
      <c r="GHY617" s="294"/>
      <c r="GHZ617" s="294"/>
      <c r="GIA617" s="294"/>
      <c r="GIB617" s="294"/>
      <c r="GIC617" s="294"/>
      <c r="GID617" s="294"/>
      <c r="GIE617" s="294"/>
      <c r="GIF617" s="294"/>
      <c r="GIG617" s="294"/>
      <c r="GIH617" s="294"/>
      <c r="GII617" s="294"/>
      <c r="GIJ617" s="294"/>
      <c r="GIK617" s="294"/>
      <c r="GIL617" s="294"/>
      <c r="GIM617" s="294"/>
      <c r="GIN617" s="294"/>
      <c r="GIO617" s="294"/>
      <c r="GIP617" s="294"/>
      <c r="GIQ617" s="294"/>
      <c r="GIR617" s="294"/>
      <c r="GIS617" s="294"/>
      <c r="GIT617" s="294"/>
      <c r="GIU617" s="294"/>
      <c r="GIV617" s="294"/>
      <c r="GIW617" s="294"/>
      <c r="GIX617" s="294"/>
      <c r="GIY617" s="294"/>
      <c r="GIZ617" s="294"/>
      <c r="GJA617" s="294"/>
      <c r="GJB617" s="294"/>
      <c r="GJC617" s="294"/>
      <c r="GJD617" s="294"/>
      <c r="GJE617" s="294"/>
      <c r="GJF617" s="294"/>
      <c r="GJG617" s="294"/>
      <c r="GJH617" s="294"/>
      <c r="GJI617" s="294"/>
      <c r="GJJ617" s="294"/>
      <c r="GJK617" s="294"/>
      <c r="GJL617" s="294"/>
      <c r="GJM617" s="294"/>
      <c r="GJN617" s="294"/>
      <c r="GJO617" s="294"/>
      <c r="GJP617" s="294"/>
      <c r="GJQ617" s="294"/>
      <c r="GJR617" s="294"/>
      <c r="GJS617" s="294"/>
      <c r="GJT617" s="294"/>
      <c r="GJU617" s="294"/>
      <c r="GJV617" s="294"/>
      <c r="GJW617" s="294"/>
      <c r="GJX617" s="294"/>
      <c r="GJY617" s="294"/>
      <c r="GJZ617" s="294"/>
      <c r="GKA617" s="294"/>
      <c r="GKB617" s="294"/>
      <c r="GKC617" s="294"/>
      <c r="GKD617" s="294"/>
      <c r="GKE617" s="294"/>
      <c r="GKF617" s="294"/>
      <c r="GKG617" s="294"/>
      <c r="GKH617" s="294"/>
      <c r="GKI617" s="294"/>
      <c r="GKJ617" s="294"/>
      <c r="GKK617" s="294"/>
      <c r="GKL617" s="294"/>
      <c r="GKM617" s="294"/>
      <c r="GKN617" s="294"/>
      <c r="GKO617" s="294"/>
      <c r="GKP617" s="294"/>
      <c r="GKQ617" s="294"/>
      <c r="GKR617" s="294"/>
      <c r="GKS617" s="294"/>
      <c r="GKT617" s="294"/>
      <c r="GKU617" s="294"/>
      <c r="GKV617" s="294"/>
      <c r="GKW617" s="294"/>
      <c r="GKX617" s="294"/>
      <c r="GKY617" s="294"/>
      <c r="GKZ617" s="294"/>
      <c r="GLA617" s="294"/>
      <c r="GLB617" s="294"/>
      <c r="GLC617" s="294"/>
      <c r="GLD617" s="294"/>
      <c r="GLE617" s="294"/>
      <c r="GLF617" s="294"/>
      <c r="GLG617" s="294"/>
      <c r="GLH617" s="294"/>
      <c r="GLI617" s="294"/>
      <c r="GLJ617" s="294"/>
      <c r="GLK617" s="294"/>
      <c r="GLL617" s="294"/>
      <c r="GLM617" s="294"/>
      <c r="GLN617" s="294"/>
      <c r="GLO617" s="294"/>
      <c r="GLP617" s="294"/>
      <c r="GLQ617" s="294"/>
      <c r="GLR617" s="294"/>
      <c r="GLS617" s="294"/>
      <c r="GLT617" s="294"/>
      <c r="GLU617" s="294"/>
      <c r="GLV617" s="294"/>
      <c r="GLW617" s="294"/>
      <c r="GLX617" s="294"/>
      <c r="GLY617" s="294"/>
      <c r="GLZ617" s="294"/>
      <c r="GMA617" s="294"/>
      <c r="GMB617" s="294"/>
      <c r="GMC617" s="294"/>
      <c r="GMD617" s="294"/>
      <c r="GME617" s="294"/>
      <c r="GMF617" s="294"/>
      <c r="GMG617" s="294"/>
      <c r="GMH617" s="294"/>
      <c r="GMI617" s="294"/>
      <c r="GMJ617" s="294"/>
      <c r="GMK617" s="294"/>
      <c r="GML617" s="294"/>
      <c r="GMM617" s="294"/>
      <c r="GMN617" s="294"/>
      <c r="GMO617" s="294"/>
      <c r="GMP617" s="294"/>
      <c r="GMQ617" s="294"/>
      <c r="GMR617" s="294"/>
      <c r="GMS617" s="294"/>
      <c r="GMT617" s="294"/>
      <c r="GMU617" s="294"/>
      <c r="GMV617" s="294"/>
      <c r="GMW617" s="294"/>
      <c r="GMX617" s="294"/>
      <c r="GMY617" s="294"/>
      <c r="GMZ617" s="294"/>
      <c r="GNA617" s="294"/>
      <c r="GNB617" s="294"/>
      <c r="GNC617" s="294"/>
      <c r="GND617" s="294"/>
      <c r="GNE617" s="294"/>
      <c r="GNF617" s="294"/>
      <c r="GNG617" s="294"/>
      <c r="GNH617" s="294"/>
      <c r="GNI617" s="294"/>
      <c r="GNJ617" s="294"/>
      <c r="GNK617" s="294"/>
      <c r="GNL617" s="294"/>
      <c r="GNM617" s="294"/>
      <c r="GNN617" s="294"/>
      <c r="GNO617" s="294"/>
      <c r="GNP617" s="294"/>
      <c r="GNQ617" s="294"/>
      <c r="GNR617" s="294"/>
      <c r="GNS617" s="294"/>
      <c r="GNT617" s="294"/>
      <c r="GNU617" s="294"/>
      <c r="GNV617" s="294"/>
      <c r="GNW617" s="294"/>
      <c r="GNX617" s="294"/>
      <c r="GNY617" s="294"/>
      <c r="GNZ617" s="294"/>
      <c r="GOA617" s="294"/>
      <c r="GOB617" s="294"/>
      <c r="GOC617" s="294"/>
      <c r="GOD617" s="294"/>
      <c r="GOE617" s="294"/>
      <c r="GOF617" s="294"/>
      <c r="GOG617" s="294"/>
      <c r="GOH617" s="294"/>
      <c r="GOI617" s="294"/>
      <c r="GOJ617" s="294"/>
      <c r="GOK617" s="294"/>
      <c r="GOL617" s="294"/>
      <c r="GOM617" s="294"/>
      <c r="GON617" s="294"/>
      <c r="GOO617" s="294"/>
      <c r="GOP617" s="294"/>
      <c r="GOQ617" s="294"/>
      <c r="GOR617" s="294"/>
      <c r="GOS617" s="294"/>
      <c r="GOT617" s="294"/>
      <c r="GOU617" s="294"/>
      <c r="GOV617" s="294"/>
      <c r="GOW617" s="294"/>
      <c r="GOX617" s="294"/>
      <c r="GOY617" s="294"/>
      <c r="GOZ617" s="294"/>
      <c r="GPA617" s="294"/>
      <c r="GPB617" s="294"/>
      <c r="GPC617" s="294"/>
      <c r="GPD617" s="294"/>
      <c r="GPE617" s="294"/>
      <c r="GPF617" s="294"/>
      <c r="GPG617" s="294"/>
      <c r="GPH617" s="294"/>
      <c r="GPI617" s="294"/>
      <c r="GPJ617" s="294"/>
      <c r="GPK617" s="294"/>
      <c r="GPL617" s="294"/>
      <c r="GPM617" s="294"/>
      <c r="GPN617" s="294"/>
      <c r="GPO617" s="294"/>
      <c r="GPP617" s="294"/>
      <c r="GPQ617" s="294"/>
      <c r="GPR617" s="294"/>
      <c r="GPS617" s="294"/>
      <c r="GPT617" s="294"/>
      <c r="GPU617" s="294"/>
      <c r="GPV617" s="294"/>
      <c r="GPW617" s="294"/>
      <c r="GPX617" s="294"/>
      <c r="GPY617" s="294"/>
      <c r="GPZ617" s="294"/>
      <c r="GQA617" s="294"/>
      <c r="GQB617" s="294"/>
      <c r="GQC617" s="294"/>
      <c r="GQD617" s="294"/>
      <c r="GQE617" s="294"/>
      <c r="GQF617" s="294"/>
      <c r="GQG617" s="294"/>
      <c r="GQH617" s="294"/>
      <c r="GQI617" s="294"/>
      <c r="GQJ617" s="294"/>
      <c r="GQK617" s="294"/>
      <c r="GQL617" s="294"/>
      <c r="GQM617" s="294"/>
      <c r="GQN617" s="294"/>
      <c r="GQO617" s="294"/>
      <c r="GQP617" s="294"/>
      <c r="GQQ617" s="294"/>
      <c r="GQR617" s="294"/>
      <c r="GQS617" s="294"/>
      <c r="GQT617" s="294"/>
      <c r="GQU617" s="294"/>
      <c r="GQV617" s="294"/>
      <c r="GQW617" s="294"/>
      <c r="GQX617" s="294"/>
      <c r="GQY617" s="294"/>
      <c r="GQZ617" s="294"/>
      <c r="GRA617" s="294"/>
      <c r="GRB617" s="294"/>
      <c r="GRC617" s="294"/>
      <c r="GRD617" s="294"/>
      <c r="GRE617" s="294"/>
      <c r="GRF617" s="294"/>
      <c r="GRG617" s="294"/>
      <c r="GRH617" s="294"/>
      <c r="GRI617" s="294"/>
      <c r="GRJ617" s="294"/>
      <c r="GRK617" s="294"/>
      <c r="GRL617" s="294"/>
      <c r="GRM617" s="294"/>
      <c r="GRN617" s="294"/>
      <c r="GRO617" s="294"/>
      <c r="GRP617" s="294"/>
      <c r="GRQ617" s="294"/>
      <c r="GRR617" s="294"/>
      <c r="GRS617" s="294"/>
      <c r="GRT617" s="294"/>
      <c r="GRU617" s="294"/>
      <c r="GRV617" s="294"/>
      <c r="GRW617" s="294"/>
      <c r="GRX617" s="294"/>
      <c r="GRY617" s="294"/>
      <c r="GRZ617" s="294"/>
      <c r="GSA617" s="294"/>
      <c r="GSB617" s="294"/>
      <c r="GSC617" s="294"/>
      <c r="GSD617" s="294"/>
      <c r="GSE617" s="294"/>
      <c r="GSF617" s="294"/>
      <c r="GSG617" s="294"/>
      <c r="GSH617" s="294"/>
      <c r="GSI617" s="294"/>
      <c r="GSJ617" s="294"/>
      <c r="GSK617" s="294"/>
      <c r="GSL617" s="294"/>
      <c r="GSM617" s="294"/>
      <c r="GSN617" s="294"/>
      <c r="GSO617" s="294"/>
      <c r="GSP617" s="294"/>
      <c r="GSQ617" s="294"/>
      <c r="GSR617" s="294"/>
      <c r="GSS617" s="294"/>
      <c r="GST617" s="294"/>
      <c r="GSU617" s="294"/>
      <c r="GSV617" s="294"/>
      <c r="GSW617" s="294"/>
      <c r="GSX617" s="294"/>
      <c r="GSY617" s="294"/>
      <c r="GSZ617" s="294"/>
      <c r="GTA617" s="294"/>
      <c r="GTB617" s="294"/>
      <c r="GTC617" s="294"/>
      <c r="GTD617" s="294"/>
      <c r="GTE617" s="294"/>
      <c r="GTF617" s="294"/>
      <c r="GTG617" s="294"/>
      <c r="GTH617" s="294"/>
      <c r="GTI617" s="294"/>
      <c r="GTJ617" s="294"/>
      <c r="GTK617" s="294"/>
      <c r="GTL617" s="294"/>
      <c r="GTM617" s="294"/>
      <c r="GTN617" s="294"/>
      <c r="GTO617" s="294"/>
      <c r="GTP617" s="294"/>
      <c r="GTQ617" s="294"/>
      <c r="GTR617" s="294"/>
      <c r="GTS617" s="294"/>
      <c r="GTT617" s="294"/>
      <c r="GTU617" s="294"/>
      <c r="GTV617" s="294"/>
      <c r="GTW617" s="294"/>
      <c r="GTX617" s="294"/>
      <c r="GTY617" s="294"/>
      <c r="GTZ617" s="294"/>
      <c r="GUA617" s="294"/>
      <c r="GUB617" s="294"/>
      <c r="GUC617" s="294"/>
      <c r="GUD617" s="294"/>
      <c r="GUE617" s="294"/>
      <c r="GUF617" s="294"/>
      <c r="GUG617" s="294"/>
      <c r="GUH617" s="294"/>
      <c r="GUI617" s="294"/>
      <c r="GUJ617" s="294"/>
      <c r="GUK617" s="294"/>
      <c r="GUL617" s="294"/>
      <c r="GUM617" s="294"/>
      <c r="GUN617" s="294"/>
      <c r="GUO617" s="294"/>
      <c r="GUP617" s="294"/>
      <c r="GUQ617" s="294"/>
      <c r="GUR617" s="294"/>
      <c r="GUS617" s="294"/>
      <c r="GUT617" s="294"/>
      <c r="GUU617" s="294"/>
      <c r="GUV617" s="294"/>
      <c r="GUW617" s="294"/>
      <c r="GUX617" s="294"/>
      <c r="GUY617" s="294"/>
      <c r="GUZ617" s="294"/>
      <c r="GVA617" s="294"/>
      <c r="GVB617" s="294"/>
      <c r="GVC617" s="294"/>
      <c r="GVD617" s="294"/>
      <c r="GVE617" s="294"/>
      <c r="GVF617" s="294"/>
      <c r="GVG617" s="294"/>
      <c r="GVH617" s="294"/>
      <c r="GVI617" s="294"/>
      <c r="GVJ617" s="294"/>
      <c r="GVK617" s="294"/>
      <c r="GVL617" s="294"/>
      <c r="GVM617" s="294"/>
      <c r="GVN617" s="294"/>
      <c r="GVO617" s="294"/>
      <c r="GVP617" s="294"/>
      <c r="GVQ617" s="294"/>
      <c r="GVR617" s="294"/>
      <c r="GVS617" s="294"/>
      <c r="GVT617" s="294"/>
      <c r="GVU617" s="294"/>
      <c r="GVV617" s="294"/>
      <c r="GVW617" s="294"/>
      <c r="GVX617" s="294"/>
      <c r="GVY617" s="294"/>
      <c r="GVZ617" s="294"/>
      <c r="GWA617" s="294"/>
      <c r="GWB617" s="294"/>
      <c r="GWC617" s="294"/>
      <c r="GWD617" s="294"/>
      <c r="GWE617" s="294"/>
      <c r="GWF617" s="294"/>
      <c r="GWG617" s="294"/>
      <c r="GWH617" s="294"/>
      <c r="GWI617" s="294"/>
      <c r="GWJ617" s="294"/>
      <c r="GWK617" s="294"/>
      <c r="GWL617" s="294"/>
      <c r="GWM617" s="294"/>
      <c r="GWN617" s="294"/>
      <c r="GWO617" s="294"/>
      <c r="GWP617" s="294"/>
      <c r="GWQ617" s="294"/>
      <c r="GWR617" s="294"/>
      <c r="GWS617" s="294"/>
      <c r="GWT617" s="294"/>
      <c r="GWU617" s="294"/>
      <c r="GWV617" s="294"/>
      <c r="GWW617" s="294"/>
      <c r="GWX617" s="294"/>
      <c r="GWY617" s="294"/>
      <c r="GWZ617" s="294"/>
      <c r="GXA617" s="294"/>
      <c r="GXB617" s="294"/>
      <c r="GXC617" s="294"/>
      <c r="GXD617" s="294"/>
      <c r="GXE617" s="294"/>
      <c r="GXF617" s="294"/>
      <c r="GXG617" s="294"/>
      <c r="GXH617" s="294"/>
      <c r="GXI617" s="294"/>
      <c r="GXJ617" s="294"/>
      <c r="GXK617" s="294"/>
      <c r="GXL617" s="294"/>
      <c r="GXM617" s="294"/>
      <c r="GXN617" s="294"/>
      <c r="GXO617" s="294"/>
      <c r="GXP617" s="294"/>
      <c r="GXQ617" s="294"/>
      <c r="GXR617" s="294"/>
      <c r="GXS617" s="294"/>
      <c r="GXT617" s="294"/>
      <c r="GXU617" s="294"/>
      <c r="GXV617" s="294"/>
      <c r="GXW617" s="294"/>
      <c r="GXX617" s="294"/>
      <c r="GXY617" s="294"/>
      <c r="GXZ617" s="294"/>
      <c r="GYA617" s="294"/>
      <c r="GYB617" s="294"/>
      <c r="GYC617" s="294"/>
      <c r="GYD617" s="294"/>
      <c r="GYE617" s="294"/>
      <c r="GYF617" s="294"/>
      <c r="GYG617" s="294"/>
      <c r="GYH617" s="294"/>
      <c r="GYI617" s="294"/>
      <c r="GYJ617" s="294"/>
      <c r="GYK617" s="294"/>
      <c r="GYL617" s="294"/>
      <c r="GYM617" s="294"/>
      <c r="GYN617" s="294"/>
      <c r="GYO617" s="294"/>
      <c r="GYP617" s="294"/>
      <c r="GYQ617" s="294"/>
      <c r="GYR617" s="294"/>
      <c r="GYS617" s="294"/>
      <c r="GYT617" s="294"/>
      <c r="GYU617" s="294"/>
      <c r="GYV617" s="294"/>
      <c r="GYW617" s="294"/>
      <c r="GYX617" s="294"/>
      <c r="GYY617" s="294"/>
      <c r="GYZ617" s="294"/>
      <c r="GZA617" s="294"/>
      <c r="GZB617" s="294"/>
      <c r="GZC617" s="294"/>
      <c r="GZD617" s="294"/>
      <c r="GZE617" s="294"/>
      <c r="GZF617" s="294"/>
      <c r="GZG617" s="294"/>
      <c r="GZH617" s="294"/>
      <c r="GZI617" s="294"/>
      <c r="GZJ617" s="294"/>
      <c r="GZK617" s="294"/>
      <c r="GZL617" s="294"/>
      <c r="GZM617" s="294"/>
      <c r="GZN617" s="294"/>
      <c r="GZO617" s="294"/>
      <c r="GZP617" s="294"/>
      <c r="GZQ617" s="294"/>
      <c r="GZR617" s="294"/>
      <c r="GZS617" s="294"/>
      <c r="GZT617" s="294"/>
      <c r="GZU617" s="294"/>
      <c r="GZV617" s="294"/>
      <c r="GZW617" s="294"/>
      <c r="GZX617" s="294"/>
      <c r="GZY617" s="294"/>
      <c r="GZZ617" s="294"/>
      <c r="HAA617" s="294"/>
      <c r="HAB617" s="294"/>
      <c r="HAC617" s="294"/>
      <c r="HAD617" s="294"/>
      <c r="HAE617" s="294"/>
      <c r="HAF617" s="294"/>
      <c r="HAG617" s="294"/>
      <c r="HAH617" s="294"/>
      <c r="HAI617" s="294"/>
      <c r="HAJ617" s="294"/>
      <c r="HAK617" s="294"/>
      <c r="HAL617" s="294"/>
      <c r="HAM617" s="294"/>
      <c r="HAN617" s="294"/>
      <c r="HAO617" s="294"/>
      <c r="HAP617" s="294"/>
      <c r="HAQ617" s="294"/>
      <c r="HAR617" s="294"/>
      <c r="HAS617" s="294"/>
      <c r="HAT617" s="294"/>
      <c r="HAU617" s="294"/>
      <c r="HAV617" s="294"/>
      <c r="HAW617" s="294"/>
      <c r="HAX617" s="294"/>
      <c r="HAY617" s="294"/>
      <c r="HAZ617" s="294"/>
      <c r="HBA617" s="294"/>
      <c r="HBB617" s="294"/>
      <c r="HBC617" s="294"/>
      <c r="HBD617" s="294"/>
      <c r="HBE617" s="294"/>
      <c r="HBF617" s="294"/>
      <c r="HBG617" s="294"/>
      <c r="HBH617" s="294"/>
      <c r="HBI617" s="294"/>
      <c r="HBJ617" s="294"/>
      <c r="HBK617" s="294"/>
      <c r="HBL617" s="294"/>
      <c r="HBM617" s="294"/>
      <c r="HBN617" s="294"/>
      <c r="HBO617" s="294"/>
      <c r="HBP617" s="294"/>
      <c r="HBQ617" s="294"/>
      <c r="HBR617" s="294"/>
      <c r="HBS617" s="294"/>
      <c r="HBT617" s="294"/>
      <c r="HBU617" s="294"/>
      <c r="HBV617" s="294"/>
      <c r="HBW617" s="294"/>
      <c r="HBX617" s="294"/>
      <c r="HBY617" s="294"/>
      <c r="HBZ617" s="294"/>
      <c r="HCA617" s="294"/>
      <c r="HCB617" s="294"/>
      <c r="HCC617" s="294"/>
      <c r="HCD617" s="294"/>
      <c r="HCE617" s="294"/>
      <c r="HCF617" s="294"/>
      <c r="HCG617" s="294"/>
      <c r="HCH617" s="294"/>
      <c r="HCI617" s="294"/>
      <c r="HCJ617" s="294"/>
      <c r="HCK617" s="294"/>
      <c r="HCL617" s="294"/>
      <c r="HCM617" s="294"/>
      <c r="HCN617" s="294"/>
      <c r="HCO617" s="294"/>
      <c r="HCP617" s="294"/>
      <c r="HCQ617" s="294"/>
      <c r="HCR617" s="294"/>
      <c r="HCS617" s="294"/>
      <c r="HCT617" s="294"/>
      <c r="HCU617" s="294"/>
      <c r="HCV617" s="294"/>
      <c r="HCW617" s="294"/>
      <c r="HCX617" s="294"/>
      <c r="HCY617" s="294"/>
      <c r="HCZ617" s="294"/>
      <c r="HDA617" s="294"/>
      <c r="HDB617" s="294"/>
      <c r="HDC617" s="294"/>
      <c r="HDD617" s="294"/>
      <c r="HDE617" s="294"/>
      <c r="HDF617" s="294"/>
      <c r="HDG617" s="294"/>
      <c r="HDH617" s="294"/>
      <c r="HDI617" s="294"/>
      <c r="HDJ617" s="294"/>
      <c r="HDK617" s="294"/>
      <c r="HDL617" s="294"/>
      <c r="HDM617" s="294"/>
      <c r="HDN617" s="294"/>
      <c r="HDO617" s="294"/>
      <c r="HDP617" s="294"/>
      <c r="HDQ617" s="294"/>
      <c r="HDR617" s="294"/>
      <c r="HDS617" s="294"/>
      <c r="HDT617" s="294"/>
      <c r="HDU617" s="294"/>
      <c r="HDV617" s="294"/>
      <c r="HDW617" s="294"/>
      <c r="HDX617" s="294"/>
      <c r="HDY617" s="294"/>
      <c r="HDZ617" s="294"/>
      <c r="HEA617" s="294"/>
      <c r="HEB617" s="294"/>
      <c r="HEC617" s="294"/>
      <c r="HED617" s="294"/>
      <c r="HEE617" s="294"/>
      <c r="HEF617" s="294"/>
      <c r="HEG617" s="294"/>
      <c r="HEH617" s="294"/>
      <c r="HEI617" s="294"/>
      <c r="HEJ617" s="294"/>
      <c r="HEK617" s="294"/>
      <c r="HEL617" s="294"/>
      <c r="HEM617" s="294"/>
      <c r="HEN617" s="294"/>
      <c r="HEO617" s="294"/>
      <c r="HEP617" s="294"/>
      <c r="HEQ617" s="294"/>
      <c r="HER617" s="294"/>
      <c r="HES617" s="294"/>
      <c r="HET617" s="294"/>
      <c r="HEU617" s="294"/>
      <c r="HEV617" s="294"/>
      <c r="HEW617" s="294"/>
      <c r="HEX617" s="294"/>
      <c r="HEY617" s="294"/>
      <c r="HEZ617" s="294"/>
      <c r="HFA617" s="294"/>
      <c r="HFB617" s="294"/>
      <c r="HFC617" s="294"/>
      <c r="HFD617" s="294"/>
      <c r="HFE617" s="294"/>
      <c r="HFF617" s="294"/>
      <c r="HFG617" s="294"/>
      <c r="HFH617" s="294"/>
      <c r="HFI617" s="294"/>
      <c r="HFJ617" s="294"/>
      <c r="HFK617" s="294"/>
      <c r="HFL617" s="294"/>
      <c r="HFM617" s="294"/>
      <c r="HFN617" s="294"/>
      <c r="HFO617" s="294"/>
      <c r="HFP617" s="294"/>
      <c r="HFQ617" s="294"/>
      <c r="HFR617" s="294"/>
      <c r="HFS617" s="294"/>
      <c r="HFT617" s="294"/>
      <c r="HFU617" s="294"/>
      <c r="HFV617" s="294"/>
      <c r="HFW617" s="294"/>
      <c r="HFX617" s="294"/>
      <c r="HFY617" s="294"/>
      <c r="HFZ617" s="294"/>
      <c r="HGA617" s="294"/>
      <c r="HGB617" s="294"/>
      <c r="HGC617" s="294"/>
      <c r="HGD617" s="294"/>
      <c r="HGE617" s="294"/>
      <c r="HGF617" s="294"/>
      <c r="HGG617" s="294"/>
      <c r="HGH617" s="294"/>
      <c r="HGI617" s="294"/>
      <c r="HGJ617" s="294"/>
      <c r="HGK617" s="294"/>
      <c r="HGL617" s="294"/>
      <c r="HGM617" s="294"/>
      <c r="HGN617" s="294"/>
      <c r="HGO617" s="294"/>
      <c r="HGP617" s="294"/>
      <c r="HGQ617" s="294"/>
      <c r="HGR617" s="294"/>
      <c r="HGS617" s="294"/>
      <c r="HGT617" s="294"/>
      <c r="HGU617" s="294"/>
      <c r="HGV617" s="294"/>
      <c r="HGW617" s="294"/>
      <c r="HGX617" s="294"/>
      <c r="HGY617" s="294"/>
      <c r="HGZ617" s="294"/>
      <c r="HHA617" s="294"/>
      <c r="HHB617" s="294"/>
      <c r="HHC617" s="294"/>
      <c r="HHD617" s="294"/>
      <c r="HHE617" s="294"/>
      <c r="HHF617" s="294"/>
      <c r="HHG617" s="294"/>
      <c r="HHH617" s="294"/>
      <c r="HHI617" s="294"/>
      <c r="HHJ617" s="294"/>
      <c r="HHK617" s="294"/>
      <c r="HHL617" s="294"/>
      <c r="HHM617" s="294"/>
      <c r="HHN617" s="294"/>
      <c r="HHO617" s="294"/>
      <c r="HHP617" s="294"/>
      <c r="HHQ617" s="294"/>
      <c r="HHR617" s="294"/>
      <c r="HHS617" s="294"/>
      <c r="HHT617" s="294"/>
      <c r="HHU617" s="294"/>
      <c r="HHV617" s="294"/>
      <c r="HHW617" s="294"/>
      <c r="HHX617" s="294"/>
      <c r="HHY617" s="294"/>
      <c r="HHZ617" s="294"/>
      <c r="HIA617" s="294"/>
      <c r="HIB617" s="294"/>
      <c r="HIC617" s="294"/>
      <c r="HID617" s="294"/>
      <c r="HIE617" s="294"/>
      <c r="HIF617" s="294"/>
      <c r="HIG617" s="294"/>
      <c r="HIH617" s="294"/>
      <c r="HII617" s="294"/>
      <c r="HIJ617" s="294"/>
      <c r="HIK617" s="294"/>
      <c r="HIL617" s="294"/>
      <c r="HIM617" s="294"/>
      <c r="HIN617" s="294"/>
      <c r="HIO617" s="294"/>
      <c r="HIP617" s="294"/>
      <c r="HIQ617" s="294"/>
      <c r="HIR617" s="294"/>
      <c r="HIS617" s="294"/>
      <c r="HIT617" s="294"/>
      <c r="HIU617" s="294"/>
      <c r="HIV617" s="294"/>
      <c r="HIW617" s="294"/>
      <c r="HIX617" s="294"/>
      <c r="HIY617" s="294"/>
      <c r="HIZ617" s="294"/>
      <c r="HJA617" s="294"/>
      <c r="HJB617" s="294"/>
      <c r="HJC617" s="294"/>
      <c r="HJD617" s="294"/>
      <c r="HJE617" s="294"/>
      <c r="HJF617" s="294"/>
      <c r="HJG617" s="294"/>
      <c r="HJH617" s="294"/>
      <c r="HJI617" s="294"/>
      <c r="HJJ617" s="294"/>
      <c r="HJK617" s="294"/>
      <c r="HJL617" s="294"/>
      <c r="HJM617" s="294"/>
      <c r="HJN617" s="294"/>
      <c r="HJO617" s="294"/>
      <c r="HJP617" s="294"/>
      <c r="HJQ617" s="294"/>
      <c r="HJR617" s="294"/>
      <c r="HJS617" s="294"/>
      <c r="HJT617" s="294"/>
      <c r="HJU617" s="294"/>
      <c r="HJV617" s="294"/>
      <c r="HJW617" s="294"/>
      <c r="HJX617" s="294"/>
      <c r="HJY617" s="294"/>
      <c r="HJZ617" s="294"/>
      <c r="HKA617" s="294"/>
      <c r="HKB617" s="294"/>
      <c r="HKC617" s="294"/>
      <c r="HKD617" s="294"/>
      <c r="HKE617" s="294"/>
      <c r="HKF617" s="294"/>
      <c r="HKG617" s="294"/>
      <c r="HKH617" s="294"/>
      <c r="HKI617" s="294"/>
      <c r="HKJ617" s="294"/>
      <c r="HKK617" s="294"/>
      <c r="HKL617" s="294"/>
      <c r="HKM617" s="294"/>
      <c r="HKN617" s="294"/>
      <c r="HKO617" s="294"/>
      <c r="HKP617" s="294"/>
      <c r="HKQ617" s="294"/>
      <c r="HKR617" s="294"/>
      <c r="HKS617" s="294"/>
      <c r="HKT617" s="294"/>
      <c r="HKU617" s="294"/>
      <c r="HKV617" s="294"/>
      <c r="HKW617" s="294"/>
      <c r="HKX617" s="294"/>
      <c r="HKY617" s="294"/>
      <c r="HKZ617" s="294"/>
      <c r="HLA617" s="294"/>
      <c r="HLB617" s="294"/>
      <c r="HLC617" s="294"/>
      <c r="HLD617" s="294"/>
      <c r="HLE617" s="294"/>
      <c r="HLF617" s="294"/>
      <c r="HLG617" s="294"/>
      <c r="HLH617" s="294"/>
      <c r="HLI617" s="294"/>
      <c r="HLJ617" s="294"/>
      <c r="HLK617" s="294"/>
      <c r="HLL617" s="294"/>
      <c r="HLM617" s="294"/>
      <c r="HLN617" s="294"/>
      <c r="HLO617" s="294"/>
      <c r="HLP617" s="294"/>
      <c r="HLQ617" s="294"/>
      <c r="HLR617" s="294"/>
      <c r="HLS617" s="294"/>
      <c r="HLT617" s="294"/>
      <c r="HLU617" s="294"/>
      <c r="HLV617" s="294"/>
      <c r="HLW617" s="294"/>
      <c r="HLX617" s="294"/>
      <c r="HLY617" s="294"/>
      <c r="HLZ617" s="294"/>
      <c r="HMA617" s="294"/>
      <c r="HMB617" s="294"/>
      <c r="HMC617" s="294"/>
      <c r="HMD617" s="294"/>
      <c r="HME617" s="294"/>
      <c r="HMF617" s="294"/>
      <c r="HMG617" s="294"/>
      <c r="HMH617" s="294"/>
      <c r="HMI617" s="294"/>
      <c r="HMJ617" s="294"/>
      <c r="HMK617" s="294"/>
      <c r="HML617" s="294"/>
      <c r="HMM617" s="294"/>
      <c r="HMN617" s="294"/>
      <c r="HMO617" s="294"/>
      <c r="HMP617" s="294"/>
      <c r="HMQ617" s="294"/>
      <c r="HMR617" s="294"/>
      <c r="HMS617" s="294"/>
      <c r="HMT617" s="294"/>
      <c r="HMU617" s="294"/>
      <c r="HMV617" s="294"/>
      <c r="HMW617" s="294"/>
      <c r="HMX617" s="294"/>
      <c r="HMY617" s="294"/>
      <c r="HMZ617" s="294"/>
      <c r="HNA617" s="294"/>
      <c r="HNB617" s="294"/>
      <c r="HNC617" s="294"/>
      <c r="HND617" s="294"/>
      <c r="HNE617" s="294"/>
      <c r="HNF617" s="294"/>
      <c r="HNG617" s="294"/>
      <c r="HNH617" s="294"/>
      <c r="HNI617" s="294"/>
      <c r="HNJ617" s="294"/>
      <c r="HNK617" s="294"/>
      <c r="HNL617" s="294"/>
      <c r="HNM617" s="294"/>
      <c r="HNN617" s="294"/>
      <c r="HNO617" s="294"/>
      <c r="HNP617" s="294"/>
      <c r="HNQ617" s="294"/>
      <c r="HNR617" s="294"/>
      <c r="HNS617" s="294"/>
      <c r="HNT617" s="294"/>
      <c r="HNU617" s="294"/>
      <c r="HNV617" s="294"/>
      <c r="HNW617" s="294"/>
      <c r="HNX617" s="294"/>
      <c r="HNY617" s="294"/>
      <c r="HNZ617" s="294"/>
      <c r="HOA617" s="294"/>
      <c r="HOB617" s="294"/>
      <c r="HOC617" s="294"/>
      <c r="HOD617" s="294"/>
      <c r="HOE617" s="294"/>
      <c r="HOF617" s="294"/>
      <c r="HOG617" s="294"/>
      <c r="HOH617" s="294"/>
      <c r="HOI617" s="294"/>
      <c r="HOJ617" s="294"/>
      <c r="HOK617" s="294"/>
      <c r="HOL617" s="294"/>
      <c r="HOM617" s="294"/>
      <c r="HON617" s="294"/>
      <c r="HOO617" s="294"/>
      <c r="HOP617" s="294"/>
      <c r="HOQ617" s="294"/>
      <c r="HOR617" s="294"/>
      <c r="HOS617" s="294"/>
      <c r="HOT617" s="294"/>
      <c r="HOU617" s="294"/>
      <c r="HOV617" s="294"/>
      <c r="HOW617" s="294"/>
      <c r="HOX617" s="294"/>
      <c r="HOY617" s="294"/>
      <c r="HOZ617" s="294"/>
      <c r="HPA617" s="294"/>
      <c r="HPB617" s="294"/>
      <c r="HPC617" s="294"/>
      <c r="HPD617" s="294"/>
      <c r="HPE617" s="294"/>
      <c r="HPF617" s="294"/>
      <c r="HPG617" s="294"/>
      <c r="HPH617" s="294"/>
      <c r="HPI617" s="294"/>
      <c r="HPJ617" s="294"/>
      <c r="HPK617" s="294"/>
      <c r="HPL617" s="294"/>
      <c r="HPM617" s="294"/>
      <c r="HPN617" s="294"/>
      <c r="HPO617" s="294"/>
      <c r="HPP617" s="294"/>
      <c r="HPQ617" s="294"/>
      <c r="HPR617" s="294"/>
      <c r="HPS617" s="294"/>
      <c r="HPT617" s="294"/>
      <c r="HPU617" s="294"/>
      <c r="HPV617" s="294"/>
      <c r="HPW617" s="294"/>
      <c r="HPX617" s="294"/>
      <c r="HPY617" s="294"/>
      <c r="HPZ617" s="294"/>
      <c r="HQA617" s="294"/>
      <c r="HQB617" s="294"/>
      <c r="HQC617" s="294"/>
      <c r="HQD617" s="294"/>
      <c r="HQE617" s="294"/>
      <c r="HQF617" s="294"/>
      <c r="HQG617" s="294"/>
      <c r="HQH617" s="294"/>
      <c r="HQI617" s="294"/>
      <c r="HQJ617" s="294"/>
      <c r="HQK617" s="294"/>
      <c r="HQL617" s="294"/>
      <c r="HQM617" s="294"/>
      <c r="HQN617" s="294"/>
      <c r="HQO617" s="294"/>
      <c r="HQP617" s="294"/>
      <c r="HQQ617" s="294"/>
      <c r="HQR617" s="294"/>
      <c r="HQS617" s="294"/>
      <c r="HQT617" s="294"/>
      <c r="HQU617" s="294"/>
      <c r="HQV617" s="294"/>
      <c r="HQW617" s="294"/>
      <c r="HQX617" s="294"/>
      <c r="HQY617" s="294"/>
      <c r="HQZ617" s="294"/>
      <c r="HRA617" s="294"/>
      <c r="HRB617" s="294"/>
      <c r="HRC617" s="294"/>
      <c r="HRD617" s="294"/>
      <c r="HRE617" s="294"/>
      <c r="HRF617" s="294"/>
      <c r="HRG617" s="294"/>
      <c r="HRH617" s="294"/>
      <c r="HRI617" s="294"/>
      <c r="HRJ617" s="294"/>
      <c r="HRK617" s="294"/>
      <c r="HRL617" s="294"/>
      <c r="HRM617" s="294"/>
      <c r="HRN617" s="294"/>
      <c r="HRO617" s="294"/>
      <c r="HRP617" s="294"/>
      <c r="HRQ617" s="294"/>
      <c r="HRR617" s="294"/>
      <c r="HRS617" s="294"/>
      <c r="HRT617" s="294"/>
      <c r="HRU617" s="294"/>
      <c r="HRV617" s="294"/>
      <c r="HRW617" s="294"/>
      <c r="HRX617" s="294"/>
      <c r="HRY617" s="294"/>
      <c r="HRZ617" s="294"/>
      <c r="HSA617" s="294"/>
      <c r="HSB617" s="294"/>
      <c r="HSC617" s="294"/>
      <c r="HSD617" s="294"/>
      <c r="HSE617" s="294"/>
      <c r="HSF617" s="294"/>
      <c r="HSG617" s="294"/>
      <c r="HSH617" s="294"/>
      <c r="HSI617" s="294"/>
      <c r="HSJ617" s="294"/>
      <c r="HSK617" s="294"/>
      <c r="HSL617" s="294"/>
      <c r="HSM617" s="294"/>
      <c r="HSN617" s="294"/>
      <c r="HSO617" s="294"/>
      <c r="HSP617" s="294"/>
      <c r="HSQ617" s="294"/>
      <c r="HSR617" s="294"/>
      <c r="HSS617" s="294"/>
      <c r="HST617" s="294"/>
      <c r="HSU617" s="294"/>
      <c r="HSV617" s="294"/>
      <c r="HSW617" s="294"/>
      <c r="HSX617" s="294"/>
      <c r="HSY617" s="294"/>
      <c r="HSZ617" s="294"/>
      <c r="HTA617" s="294"/>
      <c r="HTB617" s="294"/>
      <c r="HTC617" s="294"/>
      <c r="HTD617" s="294"/>
      <c r="HTE617" s="294"/>
      <c r="HTF617" s="294"/>
      <c r="HTG617" s="294"/>
      <c r="HTH617" s="294"/>
      <c r="HTI617" s="294"/>
      <c r="HTJ617" s="294"/>
      <c r="HTK617" s="294"/>
      <c r="HTL617" s="294"/>
      <c r="HTM617" s="294"/>
      <c r="HTN617" s="294"/>
      <c r="HTO617" s="294"/>
      <c r="HTP617" s="294"/>
      <c r="HTQ617" s="294"/>
      <c r="HTR617" s="294"/>
      <c r="HTS617" s="294"/>
      <c r="HTT617" s="294"/>
      <c r="HTU617" s="294"/>
      <c r="HTV617" s="294"/>
      <c r="HTW617" s="294"/>
      <c r="HTX617" s="294"/>
      <c r="HTY617" s="294"/>
      <c r="HTZ617" s="294"/>
      <c r="HUA617" s="294"/>
      <c r="HUB617" s="294"/>
      <c r="HUC617" s="294"/>
      <c r="HUD617" s="294"/>
      <c r="HUE617" s="294"/>
      <c r="HUF617" s="294"/>
      <c r="HUG617" s="294"/>
      <c r="HUH617" s="294"/>
      <c r="HUI617" s="294"/>
      <c r="HUJ617" s="294"/>
      <c r="HUK617" s="294"/>
      <c r="HUL617" s="294"/>
      <c r="HUM617" s="294"/>
      <c r="HUN617" s="294"/>
      <c r="HUO617" s="294"/>
      <c r="HUP617" s="294"/>
      <c r="HUQ617" s="294"/>
      <c r="HUR617" s="294"/>
      <c r="HUS617" s="294"/>
      <c r="HUT617" s="294"/>
      <c r="HUU617" s="294"/>
      <c r="HUV617" s="294"/>
      <c r="HUW617" s="294"/>
      <c r="HUX617" s="294"/>
      <c r="HUY617" s="294"/>
      <c r="HUZ617" s="294"/>
      <c r="HVA617" s="294"/>
      <c r="HVB617" s="294"/>
      <c r="HVC617" s="294"/>
      <c r="HVD617" s="294"/>
      <c r="HVE617" s="294"/>
      <c r="HVF617" s="294"/>
      <c r="HVG617" s="294"/>
      <c r="HVH617" s="294"/>
      <c r="HVI617" s="294"/>
      <c r="HVJ617" s="294"/>
      <c r="HVK617" s="294"/>
      <c r="HVL617" s="294"/>
      <c r="HVM617" s="294"/>
      <c r="HVN617" s="294"/>
      <c r="HVO617" s="294"/>
      <c r="HVP617" s="294"/>
      <c r="HVQ617" s="294"/>
      <c r="HVR617" s="294"/>
      <c r="HVS617" s="294"/>
      <c r="HVT617" s="294"/>
      <c r="HVU617" s="294"/>
      <c r="HVV617" s="294"/>
      <c r="HVW617" s="294"/>
      <c r="HVX617" s="294"/>
      <c r="HVY617" s="294"/>
      <c r="HVZ617" s="294"/>
      <c r="HWA617" s="294"/>
      <c r="HWB617" s="294"/>
      <c r="HWC617" s="294"/>
      <c r="HWD617" s="294"/>
      <c r="HWE617" s="294"/>
      <c r="HWF617" s="294"/>
      <c r="HWG617" s="294"/>
      <c r="HWH617" s="294"/>
      <c r="HWI617" s="294"/>
      <c r="HWJ617" s="294"/>
      <c r="HWK617" s="294"/>
      <c r="HWL617" s="294"/>
      <c r="HWM617" s="294"/>
      <c r="HWN617" s="294"/>
      <c r="HWO617" s="294"/>
      <c r="HWP617" s="294"/>
      <c r="HWQ617" s="294"/>
      <c r="HWR617" s="294"/>
      <c r="HWS617" s="294"/>
      <c r="HWT617" s="294"/>
      <c r="HWU617" s="294"/>
      <c r="HWV617" s="294"/>
      <c r="HWW617" s="294"/>
      <c r="HWX617" s="294"/>
      <c r="HWY617" s="294"/>
      <c r="HWZ617" s="294"/>
      <c r="HXA617" s="294"/>
      <c r="HXB617" s="294"/>
      <c r="HXC617" s="294"/>
      <c r="HXD617" s="294"/>
      <c r="HXE617" s="294"/>
      <c r="HXF617" s="294"/>
      <c r="HXG617" s="294"/>
      <c r="HXH617" s="294"/>
      <c r="HXI617" s="294"/>
      <c r="HXJ617" s="294"/>
      <c r="HXK617" s="294"/>
      <c r="HXL617" s="294"/>
      <c r="HXM617" s="294"/>
      <c r="HXN617" s="294"/>
      <c r="HXO617" s="294"/>
      <c r="HXP617" s="294"/>
      <c r="HXQ617" s="294"/>
      <c r="HXR617" s="294"/>
      <c r="HXS617" s="294"/>
      <c r="HXT617" s="294"/>
      <c r="HXU617" s="294"/>
      <c r="HXV617" s="294"/>
      <c r="HXW617" s="294"/>
      <c r="HXX617" s="294"/>
      <c r="HXY617" s="294"/>
      <c r="HXZ617" s="294"/>
      <c r="HYA617" s="294"/>
      <c r="HYB617" s="294"/>
      <c r="HYC617" s="294"/>
      <c r="HYD617" s="294"/>
      <c r="HYE617" s="294"/>
      <c r="HYF617" s="294"/>
      <c r="HYG617" s="294"/>
      <c r="HYH617" s="294"/>
      <c r="HYI617" s="294"/>
      <c r="HYJ617" s="294"/>
      <c r="HYK617" s="294"/>
      <c r="HYL617" s="294"/>
      <c r="HYM617" s="294"/>
      <c r="HYN617" s="294"/>
      <c r="HYO617" s="294"/>
      <c r="HYP617" s="294"/>
      <c r="HYQ617" s="294"/>
      <c r="HYR617" s="294"/>
      <c r="HYS617" s="294"/>
      <c r="HYT617" s="294"/>
      <c r="HYU617" s="294"/>
      <c r="HYV617" s="294"/>
      <c r="HYW617" s="294"/>
      <c r="HYX617" s="294"/>
      <c r="HYY617" s="294"/>
      <c r="HYZ617" s="294"/>
      <c r="HZA617" s="294"/>
      <c r="HZB617" s="294"/>
      <c r="HZC617" s="294"/>
      <c r="HZD617" s="294"/>
      <c r="HZE617" s="294"/>
      <c r="HZF617" s="294"/>
      <c r="HZG617" s="294"/>
      <c r="HZH617" s="294"/>
      <c r="HZI617" s="294"/>
      <c r="HZJ617" s="294"/>
      <c r="HZK617" s="294"/>
      <c r="HZL617" s="294"/>
      <c r="HZM617" s="294"/>
      <c r="HZN617" s="294"/>
      <c r="HZO617" s="294"/>
      <c r="HZP617" s="294"/>
      <c r="HZQ617" s="294"/>
      <c r="HZR617" s="294"/>
      <c r="HZS617" s="294"/>
      <c r="HZT617" s="294"/>
      <c r="HZU617" s="294"/>
      <c r="HZV617" s="294"/>
      <c r="HZW617" s="294"/>
      <c r="HZX617" s="294"/>
      <c r="HZY617" s="294"/>
      <c r="HZZ617" s="294"/>
      <c r="IAA617" s="294"/>
      <c r="IAB617" s="294"/>
      <c r="IAC617" s="294"/>
      <c r="IAD617" s="294"/>
      <c r="IAE617" s="294"/>
      <c r="IAF617" s="294"/>
      <c r="IAG617" s="294"/>
      <c r="IAH617" s="294"/>
      <c r="IAI617" s="294"/>
      <c r="IAJ617" s="294"/>
      <c r="IAK617" s="294"/>
      <c r="IAL617" s="294"/>
      <c r="IAM617" s="294"/>
      <c r="IAN617" s="294"/>
      <c r="IAO617" s="294"/>
      <c r="IAP617" s="294"/>
      <c r="IAQ617" s="294"/>
      <c r="IAR617" s="294"/>
      <c r="IAS617" s="294"/>
      <c r="IAT617" s="294"/>
      <c r="IAU617" s="294"/>
      <c r="IAV617" s="294"/>
      <c r="IAW617" s="294"/>
      <c r="IAX617" s="294"/>
      <c r="IAY617" s="294"/>
      <c r="IAZ617" s="294"/>
      <c r="IBA617" s="294"/>
      <c r="IBB617" s="294"/>
      <c r="IBC617" s="294"/>
      <c r="IBD617" s="294"/>
      <c r="IBE617" s="294"/>
      <c r="IBF617" s="294"/>
      <c r="IBG617" s="294"/>
      <c r="IBH617" s="294"/>
      <c r="IBI617" s="294"/>
      <c r="IBJ617" s="294"/>
      <c r="IBK617" s="294"/>
      <c r="IBL617" s="294"/>
      <c r="IBM617" s="294"/>
      <c r="IBN617" s="294"/>
      <c r="IBO617" s="294"/>
      <c r="IBP617" s="294"/>
      <c r="IBQ617" s="294"/>
      <c r="IBR617" s="294"/>
      <c r="IBS617" s="294"/>
      <c r="IBT617" s="294"/>
      <c r="IBU617" s="294"/>
      <c r="IBV617" s="294"/>
      <c r="IBW617" s="294"/>
      <c r="IBX617" s="294"/>
      <c r="IBY617" s="294"/>
      <c r="IBZ617" s="294"/>
      <c r="ICA617" s="294"/>
      <c r="ICB617" s="294"/>
      <c r="ICC617" s="294"/>
      <c r="ICD617" s="294"/>
      <c r="ICE617" s="294"/>
      <c r="ICF617" s="294"/>
      <c r="ICG617" s="294"/>
      <c r="ICH617" s="294"/>
      <c r="ICI617" s="294"/>
      <c r="ICJ617" s="294"/>
      <c r="ICK617" s="294"/>
      <c r="ICL617" s="294"/>
      <c r="ICM617" s="294"/>
      <c r="ICN617" s="294"/>
      <c r="ICO617" s="294"/>
      <c r="ICP617" s="294"/>
      <c r="ICQ617" s="294"/>
      <c r="ICR617" s="294"/>
      <c r="ICS617" s="294"/>
      <c r="ICT617" s="294"/>
      <c r="ICU617" s="294"/>
      <c r="ICV617" s="294"/>
      <c r="ICW617" s="294"/>
      <c r="ICX617" s="294"/>
      <c r="ICY617" s="294"/>
      <c r="ICZ617" s="294"/>
      <c r="IDA617" s="294"/>
      <c r="IDB617" s="294"/>
      <c r="IDC617" s="294"/>
      <c r="IDD617" s="294"/>
      <c r="IDE617" s="294"/>
      <c r="IDF617" s="294"/>
      <c r="IDG617" s="294"/>
      <c r="IDH617" s="294"/>
      <c r="IDI617" s="294"/>
      <c r="IDJ617" s="294"/>
      <c r="IDK617" s="294"/>
      <c r="IDL617" s="294"/>
      <c r="IDM617" s="294"/>
      <c r="IDN617" s="294"/>
      <c r="IDO617" s="294"/>
      <c r="IDP617" s="294"/>
      <c r="IDQ617" s="294"/>
      <c r="IDR617" s="294"/>
      <c r="IDS617" s="294"/>
      <c r="IDT617" s="294"/>
      <c r="IDU617" s="294"/>
      <c r="IDV617" s="294"/>
      <c r="IDW617" s="294"/>
      <c r="IDX617" s="294"/>
      <c r="IDY617" s="294"/>
      <c r="IDZ617" s="294"/>
      <c r="IEA617" s="294"/>
      <c r="IEB617" s="294"/>
      <c r="IEC617" s="294"/>
      <c r="IED617" s="294"/>
      <c r="IEE617" s="294"/>
      <c r="IEF617" s="294"/>
      <c r="IEG617" s="294"/>
      <c r="IEH617" s="294"/>
      <c r="IEI617" s="294"/>
      <c r="IEJ617" s="294"/>
      <c r="IEK617" s="294"/>
      <c r="IEL617" s="294"/>
      <c r="IEM617" s="294"/>
      <c r="IEN617" s="294"/>
      <c r="IEO617" s="294"/>
      <c r="IEP617" s="294"/>
      <c r="IEQ617" s="294"/>
      <c r="IER617" s="294"/>
      <c r="IES617" s="294"/>
      <c r="IET617" s="294"/>
      <c r="IEU617" s="294"/>
      <c r="IEV617" s="294"/>
      <c r="IEW617" s="294"/>
      <c r="IEX617" s="294"/>
      <c r="IEY617" s="294"/>
      <c r="IEZ617" s="294"/>
      <c r="IFA617" s="294"/>
      <c r="IFB617" s="294"/>
      <c r="IFC617" s="294"/>
      <c r="IFD617" s="294"/>
      <c r="IFE617" s="294"/>
      <c r="IFF617" s="294"/>
      <c r="IFG617" s="294"/>
      <c r="IFH617" s="294"/>
      <c r="IFI617" s="294"/>
      <c r="IFJ617" s="294"/>
      <c r="IFK617" s="294"/>
      <c r="IFL617" s="294"/>
      <c r="IFM617" s="294"/>
      <c r="IFN617" s="294"/>
      <c r="IFO617" s="294"/>
      <c r="IFP617" s="294"/>
      <c r="IFQ617" s="294"/>
      <c r="IFR617" s="294"/>
      <c r="IFS617" s="294"/>
      <c r="IFT617" s="294"/>
      <c r="IFU617" s="294"/>
      <c r="IFV617" s="294"/>
      <c r="IFW617" s="294"/>
      <c r="IFX617" s="294"/>
      <c r="IFY617" s="294"/>
      <c r="IFZ617" s="294"/>
      <c r="IGA617" s="294"/>
      <c r="IGB617" s="294"/>
      <c r="IGC617" s="294"/>
      <c r="IGD617" s="294"/>
      <c r="IGE617" s="294"/>
      <c r="IGF617" s="294"/>
      <c r="IGG617" s="294"/>
      <c r="IGH617" s="294"/>
      <c r="IGI617" s="294"/>
      <c r="IGJ617" s="294"/>
      <c r="IGK617" s="294"/>
      <c r="IGL617" s="294"/>
      <c r="IGM617" s="294"/>
      <c r="IGN617" s="294"/>
      <c r="IGO617" s="294"/>
      <c r="IGP617" s="294"/>
      <c r="IGQ617" s="294"/>
      <c r="IGR617" s="294"/>
      <c r="IGS617" s="294"/>
      <c r="IGT617" s="294"/>
      <c r="IGU617" s="294"/>
      <c r="IGV617" s="294"/>
      <c r="IGW617" s="294"/>
      <c r="IGX617" s="294"/>
      <c r="IGY617" s="294"/>
      <c r="IGZ617" s="294"/>
      <c r="IHA617" s="294"/>
      <c r="IHB617" s="294"/>
      <c r="IHC617" s="294"/>
      <c r="IHD617" s="294"/>
      <c r="IHE617" s="294"/>
      <c r="IHF617" s="294"/>
      <c r="IHG617" s="294"/>
      <c r="IHH617" s="294"/>
      <c r="IHI617" s="294"/>
      <c r="IHJ617" s="294"/>
      <c r="IHK617" s="294"/>
      <c r="IHL617" s="294"/>
      <c r="IHM617" s="294"/>
      <c r="IHN617" s="294"/>
      <c r="IHO617" s="294"/>
      <c r="IHP617" s="294"/>
      <c r="IHQ617" s="294"/>
      <c r="IHR617" s="294"/>
      <c r="IHS617" s="294"/>
      <c r="IHT617" s="294"/>
      <c r="IHU617" s="294"/>
      <c r="IHV617" s="294"/>
      <c r="IHW617" s="294"/>
      <c r="IHX617" s="294"/>
      <c r="IHY617" s="294"/>
      <c r="IHZ617" s="294"/>
      <c r="IIA617" s="294"/>
      <c r="IIB617" s="294"/>
      <c r="IIC617" s="294"/>
      <c r="IID617" s="294"/>
      <c r="IIE617" s="294"/>
      <c r="IIF617" s="294"/>
      <c r="IIG617" s="294"/>
      <c r="IIH617" s="294"/>
      <c r="III617" s="294"/>
      <c r="IIJ617" s="294"/>
      <c r="IIK617" s="294"/>
      <c r="IIL617" s="294"/>
      <c r="IIM617" s="294"/>
      <c r="IIN617" s="294"/>
      <c r="IIO617" s="294"/>
      <c r="IIP617" s="294"/>
      <c r="IIQ617" s="294"/>
      <c r="IIR617" s="294"/>
      <c r="IIS617" s="294"/>
      <c r="IIT617" s="294"/>
      <c r="IIU617" s="294"/>
      <c r="IIV617" s="294"/>
      <c r="IIW617" s="294"/>
      <c r="IIX617" s="294"/>
      <c r="IIY617" s="294"/>
      <c r="IIZ617" s="294"/>
      <c r="IJA617" s="294"/>
      <c r="IJB617" s="294"/>
      <c r="IJC617" s="294"/>
      <c r="IJD617" s="294"/>
      <c r="IJE617" s="294"/>
      <c r="IJF617" s="294"/>
      <c r="IJG617" s="294"/>
      <c r="IJH617" s="294"/>
      <c r="IJI617" s="294"/>
      <c r="IJJ617" s="294"/>
      <c r="IJK617" s="294"/>
      <c r="IJL617" s="294"/>
      <c r="IJM617" s="294"/>
      <c r="IJN617" s="294"/>
      <c r="IJO617" s="294"/>
      <c r="IJP617" s="294"/>
      <c r="IJQ617" s="294"/>
      <c r="IJR617" s="294"/>
      <c r="IJS617" s="294"/>
      <c r="IJT617" s="294"/>
      <c r="IJU617" s="294"/>
      <c r="IJV617" s="294"/>
      <c r="IJW617" s="294"/>
      <c r="IJX617" s="294"/>
      <c r="IJY617" s="294"/>
      <c r="IJZ617" s="294"/>
      <c r="IKA617" s="294"/>
      <c r="IKB617" s="294"/>
      <c r="IKC617" s="294"/>
      <c r="IKD617" s="294"/>
      <c r="IKE617" s="294"/>
      <c r="IKF617" s="294"/>
      <c r="IKG617" s="294"/>
      <c r="IKH617" s="294"/>
      <c r="IKI617" s="294"/>
      <c r="IKJ617" s="294"/>
      <c r="IKK617" s="294"/>
      <c r="IKL617" s="294"/>
      <c r="IKM617" s="294"/>
      <c r="IKN617" s="294"/>
      <c r="IKO617" s="294"/>
      <c r="IKP617" s="294"/>
      <c r="IKQ617" s="294"/>
      <c r="IKR617" s="294"/>
      <c r="IKS617" s="294"/>
      <c r="IKT617" s="294"/>
      <c r="IKU617" s="294"/>
      <c r="IKV617" s="294"/>
      <c r="IKW617" s="294"/>
      <c r="IKX617" s="294"/>
      <c r="IKY617" s="294"/>
      <c r="IKZ617" s="294"/>
      <c r="ILA617" s="294"/>
      <c r="ILB617" s="294"/>
      <c r="ILC617" s="294"/>
      <c r="ILD617" s="294"/>
      <c r="ILE617" s="294"/>
      <c r="ILF617" s="294"/>
      <c r="ILG617" s="294"/>
      <c r="ILH617" s="294"/>
      <c r="ILI617" s="294"/>
      <c r="ILJ617" s="294"/>
      <c r="ILK617" s="294"/>
      <c r="ILL617" s="294"/>
      <c r="ILM617" s="294"/>
      <c r="ILN617" s="294"/>
      <c r="ILO617" s="294"/>
      <c r="ILP617" s="294"/>
      <c r="ILQ617" s="294"/>
      <c r="ILR617" s="294"/>
      <c r="ILS617" s="294"/>
      <c r="ILT617" s="294"/>
      <c r="ILU617" s="294"/>
      <c r="ILV617" s="294"/>
      <c r="ILW617" s="294"/>
      <c r="ILX617" s="294"/>
      <c r="ILY617" s="294"/>
      <c r="ILZ617" s="294"/>
      <c r="IMA617" s="294"/>
      <c r="IMB617" s="294"/>
      <c r="IMC617" s="294"/>
      <c r="IMD617" s="294"/>
      <c r="IME617" s="294"/>
      <c r="IMF617" s="294"/>
      <c r="IMG617" s="294"/>
      <c r="IMH617" s="294"/>
      <c r="IMI617" s="294"/>
      <c r="IMJ617" s="294"/>
      <c r="IMK617" s="294"/>
      <c r="IML617" s="294"/>
      <c r="IMM617" s="294"/>
      <c r="IMN617" s="294"/>
      <c r="IMO617" s="294"/>
      <c r="IMP617" s="294"/>
      <c r="IMQ617" s="294"/>
      <c r="IMR617" s="294"/>
      <c r="IMS617" s="294"/>
      <c r="IMT617" s="294"/>
      <c r="IMU617" s="294"/>
      <c r="IMV617" s="294"/>
      <c r="IMW617" s="294"/>
      <c r="IMX617" s="294"/>
      <c r="IMY617" s="294"/>
      <c r="IMZ617" s="294"/>
      <c r="INA617" s="294"/>
      <c r="INB617" s="294"/>
      <c r="INC617" s="294"/>
      <c r="IND617" s="294"/>
      <c r="INE617" s="294"/>
      <c r="INF617" s="294"/>
      <c r="ING617" s="294"/>
      <c r="INH617" s="294"/>
      <c r="INI617" s="294"/>
      <c r="INJ617" s="294"/>
      <c r="INK617" s="294"/>
      <c r="INL617" s="294"/>
      <c r="INM617" s="294"/>
      <c r="INN617" s="294"/>
      <c r="INO617" s="294"/>
      <c r="INP617" s="294"/>
      <c r="INQ617" s="294"/>
      <c r="INR617" s="294"/>
      <c r="INS617" s="294"/>
      <c r="INT617" s="294"/>
      <c r="INU617" s="294"/>
      <c r="INV617" s="294"/>
      <c r="INW617" s="294"/>
      <c r="INX617" s="294"/>
      <c r="INY617" s="294"/>
      <c r="INZ617" s="294"/>
      <c r="IOA617" s="294"/>
      <c r="IOB617" s="294"/>
      <c r="IOC617" s="294"/>
      <c r="IOD617" s="294"/>
      <c r="IOE617" s="294"/>
      <c r="IOF617" s="294"/>
      <c r="IOG617" s="294"/>
      <c r="IOH617" s="294"/>
      <c r="IOI617" s="294"/>
      <c r="IOJ617" s="294"/>
      <c r="IOK617" s="294"/>
      <c r="IOL617" s="294"/>
      <c r="IOM617" s="294"/>
      <c r="ION617" s="294"/>
      <c r="IOO617" s="294"/>
      <c r="IOP617" s="294"/>
      <c r="IOQ617" s="294"/>
      <c r="IOR617" s="294"/>
      <c r="IOS617" s="294"/>
      <c r="IOT617" s="294"/>
      <c r="IOU617" s="294"/>
      <c r="IOV617" s="294"/>
      <c r="IOW617" s="294"/>
      <c r="IOX617" s="294"/>
      <c r="IOY617" s="294"/>
      <c r="IOZ617" s="294"/>
      <c r="IPA617" s="294"/>
      <c r="IPB617" s="294"/>
      <c r="IPC617" s="294"/>
      <c r="IPD617" s="294"/>
      <c r="IPE617" s="294"/>
      <c r="IPF617" s="294"/>
      <c r="IPG617" s="294"/>
      <c r="IPH617" s="294"/>
      <c r="IPI617" s="294"/>
      <c r="IPJ617" s="294"/>
      <c r="IPK617" s="294"/>
      <c r="IPL617" s="294"/>
      <c r="IPM617" s="294"/>
      <c r="IPN617" s="294"/>
      <c r="IPO617" s="294"/>
      <c r="IPP617" s="294"/>
      <c r="IPQ617" s="294"/>
      <c r="IPR617" s="294"/>
      <c r="IPS617" s="294"/>
      <c r="IPT617" s="294"/>
      <c r="IPU617" s="294"/>
      <c r="IPV617" s="294"/>
      <c r="IPW617" s="294"/>
      <c r="IPX617" s="294"/>
      <c r="IPY617" s="294"/>
      <c r="IPZ617" s="294"/>
      <c r="IQA617" s="294"/>
      <c r="IQB617" s="294"/>
      <c r="IQC617" s="294"/>
      <c r="IQD617" s="294"/>
      <c r="IQE617" s="294"/>
      <c r="IQF617" s="294"/>
      <c r="IQG617" s="294"/>
      <c r="IQH617" s="294"/>
      <c r="IQI617" s="294"/>
      <c r="IQJ617" s="294"/>
      <c r="IQK617" s="294"/>
      <c r="IQL617" s="294"/>
      <c r="IQM617" s="294"/>
      <c r="IQN617" s="294"/>
      <c r="IQO617" s="294"/>
      <c r="IQP617" s="294"/>
      <c r="IQQ617" s="294"/>
      <c r="IQR617" s="294"/>
      <c r="IQS617" s="294"/>
      <c r="IQT617" s="294"/>
      <c r="IQU617" s="294"/>
      <c r="IQV617" s="294"/>
      <c r="IQW617" s="294"/>
      <c r="IQX617" s="294"/>
      <c r="IQY617" s="294"/>
      <c r="IQZ617" s="294"/>
      <c r="IRA617" s="294"/>
      <c r="IRB617" s="294"/>
      <c r="IRC617" s="294"/>
      <c r="IRD617" s="294"/>
      <c r="IRE617" s="294"/>
      <c r="IRF617" s="294"/>
      <c r="IRG617" s="294"/>
      <c r="IRH617" s="294"/>
      <c r="IRI617" s="294"/>
      <c r="IRJ617" s="294"/>
      <c r="IRK617" s="294"/>
      <c r="IRL617" s="294"/>
      <c r="IRM617" s="294"/>
      <c r="IRN617" s="294"/>
      <c r="IRO617" s="294"/>
      <c r="IRP617" s="294"/>
      <c r="IRQ617" s="294"/>
      <c r="IRR617" s="294"/>
      <c r="IRS617" s="294"/>
      <c r="IRT617" s="294"/>
      <c r="IRU617" s="294"/>
      <c r="IRV617" s="294"/>
      <c r="IRW617" s="294"/>
      <c r="IRX617" s="294"/>
      <c r="IRY617" s="294"/>
      <c r="IRZ617" s="294"/>
      <c r="ISA617" s="294"/>
      <c r="ISB617" s="294"/>
      <c r="ISC617" s="294"/>
      <c r="ISD617" s="294"/>
      <c r="ISE617" s="294"/>
      <c r="ISF617" s="294"/>
      <c r="ISG617" s="294"/>
      <c r="ISH617" s="294"/>
      <c r="ISI617" s="294"/>
      <c r="ISJ617" s="294"/>
      <c r="ISK617" s="294"/>
      <c r="ISL617" s="294"/>
      <c r="ISM617" s="294"/>
      <c r="ISN617" s="294"/>
      <c r="ISO617" s="294"/>
      <c r="ISP617" s="294"/>
      <c r="ISQ617" s="294"/>
      <c r="ISR617" s="294"/>
      <c r="ISS617" s="294"/>
      <c r="IST617" s="294"/>
      <c r="ISU617" s="294"/>
      <c r="ISV617" s="294"/>
      <c r="ISW617" s="294"/>
      <c r="ISX617" s="294"/>
      <c r="ISY617" s="294"/>
      <c r="ISZ617" s="294"/>
      <c r="ITA617" s="294"/>
      <c r="ITB617" s="294"/>
      <c r="ITC617" s="294"/>
      <c r="ITD617" s="294"/>
      <c r="ITE617" s="294"/>
      <c r="ITF617" s="294"/>
      <c r="ITG617" s="294"/>
      <c r="ITH617" s="294"/>
      <c r="ITI617" s="294"/>
      <c r="ITJ617" s="294"/>
      <c r="ITK617" s="294"/>
      <c r="ITL617" s="294"/>
      <c r="ITM617" s="294"/>
      <c r="ITN617" s="294"/>
      <c r="ITO617" s="294"/>
      <c r="ITP617" s="294"/>
      <c r="ITQ617" s="294"/>
      <c r="ITR617" s="294"/>
      <c r="ITS617" s="294"/>
      <c r="ITT617" s="294"/>
      <c r="ITU617" s="294"/>
      <c r="ITV617" s="294"/>
      <c r="ITW617" s="294"/>
      <c r="ITX617" s="294"/>
      <c r="ITY617" s="294"/>
      <c r="ITZ617" s="294"/>
      <c r="IUA617" s="294"/>
      <c r="IUB617" s="294"/>
      <c r="IUC617" s="294"/>
      <c r="IUD617" s="294"/>
      <c r="IUE617" s="294"/>
      <c r="IUF617" s="294"/>
      <c r="IUG617" s="294"/>
      <c r="IUH617" s="294"/>
      <c r="IUI617" s="294"/>
      <c r="IUJ617" s="294"/>
      <c r="IUK617" s="294"/>
      <c r="IUL617" s="294"/>
      <c r="IUM617" s="294"/>
      <c r="IUN617" s="294"/>
      <c r="IUO617" s="294"/>
      <c r="IUP617" s="294"/>
      <c r="IUQ617" s="294"/>
      <c r="IUR617" s="294"/>
      <c r="IUS617" s="294"/>
      <c r="IUT617" s="294"/>
      <c r="IUU617" s="294"/>
      <c r="IUV617" s="294"/>
      <c r="IUW617" s="294"/>
      <c r="IUX617" s="294"/>
      <c r="IUY617" s="294"/>
      <c r="IUZ617" s="294"/>
      <c r="IVA617" s="294"/>
      <c r="IVB617" s="294"/>
      <c r="IVC617" s="294"/>
      <c r="IVD617" s="294"/>
      <c r="IVE617" s="294"/>
      <c r="IVF617" s="294"/>
      <c r="IVG617" s="294"/>
      <c r="IVH617" s="294"/>
      <c r="IVI617" s="294"/>
      <c r="IVJ617" s="294"/>
      <c r="IVK617" s="294"/>
      <c r="IVL617" s="294"/>
      <c r="IVM617" s="294"/>
      <c r="IVN617" s="294"/>
      <c r="IVO617" s="294"/>
      <c r="IVP617" s="294"/>
      <c r="IVQ617" s="294"/>
      <c r="IVR617" s="294"/>
      <c r="IVS617" s="294"/>
      <c r="IVT617" s="294"/>
      <c r="IVU617" s="294"/>
      <c r="IVV617" s="294"/>
      <c r="IVW617" s="294"/>
      <c r="IVX617" s="294"/>
      <c r="IVY617" s="294"/>
      <c r="IVZ617" s="294"/>
      <c r="IWA617" s="294"/>
      <c r="IWB617" s="294"/>
      <c r="IWC617" s="294"/>
      <c r="IWD617" s="294"/>
      <c r="IWE617" s="294"/>
      <c r="IWF617" s="294"/>
      <c r="IWG617" s="294"/>
      <c r="IWH617" s="294"/>
      <c r="IWI617" s="294"/>
      <c r="IWJ617" s="294"/>
      <c r="IWK617" s="294"/>
      <c r="IWL617" s="294"/>
      <c r="IWM617" s="294"/>
      <c r="IWN617" s="294"/>
      <c r="IWO617" s="294"/>
      <c r="IWP617" s="294"/>
      <c r="IWQ617" s="294"/>
      <c r="IWR617" s="294"/>
      <c r="IWS617" s="294"/>
      <c r="IWT617" s="294"/>
      <c r="IWU617" s="294"/>
      <c r="IWV617" s="294"/>
      <c r="IWW617" s="294"/>
      <c r="IWX617" s="294"/>
      <c r="IWY617" s="294"/>
      <c r="IWZ617" s="294"/>
      <c r="IXA617" s="294"/>
      <c r="IXB617" s="294"/>
      <c r="IXC617" s="294"/>
      <c r="IXD617" s="294"/>
      <c r="IXE617" s="294"/>
      <c r="IXF617" s="294"/>
      <c r="IXG617" s="294"/>
      <c r="IXH617" s="294"/>
      <c r="IXI617" s="294"/>
      <c r="IXJ617" s="294"/>
      <c r="IXK617" s="294"/>
      <c r="IXL617" s="294"/>
      <c r="IXM617" s="294"/>
      <c r="IXN617" s="294"/>
      <c r="IXO617" s="294"/>
      <c r="IXP617" s="294"/>
      <c r="IXQ617" s="294"/>
      <c r="IXR617" s="294"/>
      <c r="IXS617" s="294"/>
      <c r="IXT617" s="294"/>
      <c r="IXU617" s="294"/>
      <c r="IXV617" s="294"/>
      <c r="IXW617" s="294"/>
      <c r="IXX617" s="294"/>
      <c r="IXY617" s="294"/>
      <c r="IXZ617" s="294"/>
      <c r="IYA617" s="294"/>
      <c r="IYB617" s="294"/>
      <c r="IYC617" s="294"/>
      <c r="IYD617" s="294"/>
      <c r="IYE617" s="294"/>
      <c r="IYF617" s="294"/>
      <c r="IYG617" s="294"/>
      <c r="IYH617" s="294"/>
      <c r="IYI617" s="294"/>
      <c r="IYJ617" s="294"/>
      <c r="IYK617" s="294"/>
      <c r="IYL617" s="294"/>
      <c r="IYM617" s="294"/>
      <c r="IYN617" s="294"/>
      <c r="IYO617" s="294"/>
      <c r="IYP617" s="294"/>
      <c r="IYQ617" s="294"/>
      <c r="IYR617" s="294"/>
      <c r="IYS617" s="294"/>
      <c r="IYT617" s="294"/>
      <c r="IYU617" s="294"/>
      <c r="IYV617" s="294"/>
      <c r="IYW617" s="294"/>
      <c r="IYX617" s="294"/>
      <c r="IYY617" s="294"/>
      <c r="IYZ617" s="294"/>
      <c r="IZA617" s="294"/>
      <c r="IZB617" s="294"/>
      <c r="IZC617" s="294"/>
      <c r="IZD617" s="294"/>
      <c r="IZE617" s="294"/>
      <c r="IZF617" s="294"/>
      <c r="IZG617" s="294"/>
      <c r="IZH617" s="294"/>
      <c r="IZI617" s="294"/>
      <c r="IZJ617" s="294"/>
      <c r="IZK617" s="294"/>
      <c r="IZL617" s="294"/>
      <c r="IZM617" s="294"/>
      <c r="IZN617" s="294"/>
      <c r="IZO617" s="294"/>
      <c r="IZP617" s="294"/>
      <c r="IZQ617" s="294"/>
      <c r="IZR617" s="294"/>
      <c r="IZS617" s="294"/>
      <c r="IZT617" s="294"/>
      <c r="IZU617" s="294"/>
      <c r="IZV617" s="294"/>
      <c r="IZW617" s="294"/>
      <c r="IZX617" s="294"/>
      <c r="IZY617" s="294"/>
      <c r="IZZ617" s="294"/>
      <c r="JAA617" s="294"/>
      <c r="JAB617" s="294"/>
      <c r="JAC617" s="294"/>
      <c r="JAD617" s="294"/>
      <c r="JAE617" s="294"/>
      <c r="JAF617" s="294"/>
      <c r="JAG617" s="294"/>
      <c r="JAH617" s="294"/>
      <c r="JAI617" s="294"/>
      <c r="JAJ617" s="294"/>
      <c r="JAK617" s="294"/>
      <c r="JAL617" s="294"/>
      <c r="JAM617" s="294"/>
      <c r="JAN617" s="294"/>
      <c r="JAO617" s="294"/>
      <c r="JAP617" s="294"/>
      <c r="JAQ617" s="294"/>
      <c r="JAR617" s="294"/>
      <c r="JAS617" s="294"/>
      <c r="JAT617" s="294"/>
      <c r="JAU617" s="294"/>
      <c r="JAV617" s="294"/>
      <c r="JAW617" s="294"/>
      <c r="JAX617" s="294"/>
      <c r="JAY617" s="294"/>
      <c r="JAZ617" s="294"/>
      <c r="JBA617" s="294"/>
      <c r="JBB617" s="294"/>
      <c r="JBC617" s="294"/>
      <c r="JBD617" s="294"/>
      <c r="JBE617" s="294"/>
      <c r="JBF617" s="294"/>
      <c r="JBG617" s="294"/>
      <c r="JBH617" s="294"/>
      <c r="JBI617" s="294"/>
      <c r="JBJ617" s="294"/>
      <c r="JBK617" s="294"/>
      <c r="JBL617" s="294"/>
      <c r="JBM617" s="294"/>
      <c r="JBN617" s="294"/>
      <c r="JBO617" s="294"/>
      <c r="JBP617" s="294"/>
      <c r="JBQ617" s="294"/>
      <c r="JBR617" s="294"/>
      <c r="JBS617" s="294"/>
      <c r="JBT617" s="294"/>
      <c r="JBU617" s="294"/>
      <c r="JBV617" s="294"/>
      <c r="JBW617" s="294"/>
      <c r="JBX617" s="294"/>
      <c r="JBY617" s="294"/>
      <c r="JBZ617" s="294"/>
      <c r="JCA617" s="294"/>
      <c r="JCB617" s="294"/>
      <c r="JCC617" s="294"/>
      <c r="JCD617" s="294"/>
      <c r="JCE617" s="294"/>
      <c r="JCF617" s="294"/>
      <c r="JCG617" s="294"/>
      <c r="JCH617" s="294"/>
      <c r="JCI617" s="294"/>
      <c r="JCJ617" s="294"/>
      <c r="JCK617" s="294"/>
      <c r="JCL617" s="294"/>
      <c r="JCM617" s="294"/>
      <c r="JCN617" s="294"/>
      <c r="JCO617" s="294"/>
      <c r="JCP617" s="294"/>
      <c r="JCQ617" s="294"/>
      <c r="JCR617" s="294"/>
      <c r="JCS617" s="294"/>
      <c r="JCT617" s="294"/>
      <c r="JCU617" s="294"/>
      <c r="JCV617" s="294"/>
      <c r="JCW617" s="294"/>
      <c r="JCX617" s="294"/>
      <c r="JCY617" s="294"/>
      <c r="JCZ617" s="294"/>
      <c r="JDA617" s="294"/>
      <c r="JDB617" s="294"/>
      <c r="JDC617" s="294"/>
      <c r="JDD617" s="294"/>
      <c r="JDE617" s="294"/>
      <c r="JDF617" s="294"/>
      <c r="JDG617" s="294"/>
      <c r="JDH617" s="294"/>
      <c r="JDI617" s="294"/>
      <c r="JDJ617" s="294"/>
      <c r="JDK617" s="294"/>
      <c r="JDL617" s="294"/>
      <c r="JDM617" s="294"/>
      <c r="JDN617" s="294"/>
      <c r="JDO617" s="294"/>
      <c r="JDP617" s="294"/>
      <c r="JDQ617" s="294"/>
      <c r="JDR617" s="294"/>
      <c r="JDS617" s="294"/>
      <c r="JDT617" s="294"/>
      <c r="JDU617" s="294"/>
      <c r="JDV617" s="294"/>
      <c r="JDW617" s="294"/>
      <c r="JDX617" s="294"/>
      <c r="JDY617" s="294"/>
      <c r="JDZ617" s="294"/>
      <c r="JEA617" s="294"/>
      <c r="JEB617" s="294"/>
      <c r="JEC617" s="294"/>
      <c r="JED617" s="294"/>
      <c r="JEE617" s="294"/>
      <c r="JEF617" s="294"/>
      <c r="JEG617" s="294"/>
      <c r="JEH617" s="294"/>
      <c r="JEI617" s="294"/>
      <c r="JEJ617" s="294"/>
      <c r="JEK617" s="294"/>
      <c r="JEL617" s="294"/>
      <c r="JEM617" s="294"/>
      <c r="JEN617" s="294"/>
      <c r="JEO617" s="294"/>
      <c r="JEP617" s="294"/>
      <c r="JEQ617" s="294"/>
      <c r="JER617" s="294"/>
      <c r="JES617" s="294"/>
      <c r="JET617" s="294"/>
      <c r="JEU617" s="294"/>
      <c r="JEV617" s="294"/>
      <c r="JEW617" s="294"/>
      <c r="JEX617" s="294"/>
      <c r="JEY617" s="294"/>
      <c r="JEZ617" s="294"/>
      <c r="JFA617" s="294"/>
      <c r="JFB617" s="294"/>
      <c r="JFC617" s="294"/>
      <c r="JFD617" s="294"/>
      <c r="JFE617" s="294"/>
      <c r="JFF617" s="294"/>
      <c r="JFG617" s="294"/>
      <c r="JFH617" s="294"/>
      <c r="JFI617" s="294"/>
      <c r="JFJ617" s="294"/>
      <c r="JFK617" s="294"/>
      <c r="JFL617" s="294"/>
      <c r="JFM617" s="294"/>
      <c r="JFN617" s="294"/>
      <c r="JFO617" s="294"/>
      <c r="JFP617" s="294"/>
      <c r="JFQ617" s="294"/>
      <c r="JFR617" s="294"/>
      <c r="JFS617" s="294"/>
      <c r="JFT617" s="294"/>
      <c r="JFU617" s="294"/>
      <c r="JFV617" s="294"/>
      <c r="JFW617" s="294"/>
      <c r="JFX617" s="294"/>
      <c r="JFY617" s="294"/>
      <c r="JFZ617" s="294"/>
      <c r="JGA617" s="294"/>
      <c r="JGB617" s="294"/>
      <c r="JGC617" s="294"/>
      <c r="JGD617" s="294"/>
      <c r="JGE617" s="294"/>
      <c r="JGF617" s="294"/>
      <c r="JGG617" s="294"/>
      <c r="JGH617" s="294"/>
      <c r="JGI617" s="294"/>
      <c r="JGJ617" s="294"/>
      <c r="JGK617" s="294"/>
      <c r="JGL617" s="294"/>
      <c r="JGM617" s="294"/>
      <c r="JGN617" s="294"/>
      <c r="JGO617" s="294"/>
      <c r="JGP617" s="294"/>
      <c r="JGQ617" s="294"/>
      <c r="JGR617" s="294"/>
      <c r="JGS617" s="294"/>
      <c r="JGT617" s="294"/>
      <c r="JGU617" s="294"/>
      <c r="JGV617" s="294"/>
      <c r="JGW617" s="294"/>
      <c r="JGX617" s="294"/>
      <c r="JGY617" s="294"/>
      <c r="JGZ617" s="294"/>
      <c r="JHA617" s="294"/>
      <c r="JHB617" s="294"/>
      <c r="JHC617" s="294"/>
      <c r="JHD617" s="294"/>
      <c r="JHE617" s="294"/>
      <c r="JHF617" s="294"/>
      <c r="JHG617" s="294"/>
      <c r="JHH617" s="294"/>
      <c r="JHI617" s="294"/>
      <c r="JHJ617" s="294"/>
      <c r="JHK617" s="294"/>
      <c r="JHL617" s="294"/>
      <c r="JHM617" s="294"/>
      <c r="JHN617" s="294"/>
      <c r="JHO617" s="294"/>
      <c r="JHP617" s="294"/>
      <c r="JHQ617" s="294"/>
      <c r="JHR617" s="294"/>
      <c r="JHS617" s="294"/>
      <c r="JHT617" s="294"/>
      <c r="JHU617" s="294"/>
      <c r="JHV617" s="294"/>
      <c r="JHW617" s="294"/>
      <c r="JHX617" s="294"/>
      <c r="JHY617" s="294"/>
      <c r="JHZ617" s="294"/>
      <c r="JIA617" s="294"/>
      <c r="JIB617" s="294"/>
      <c r="JIC617" s="294"/>
      <c r="JID617" s="294"/>
      <c r="JIE617" s="294"/>
      <c r="JIF617" s="294"/>
      <c r="JIG617" s="294"/>
      <c r="JIH617" s="294"/>
      <c r="JII617" s="294"/>
      <c r="JIJ617" s="294"/>
      <c r="JIK617" s="294"/>
      <c r="JIL617" s="294"/>
      <c r="JIM617" s="294"/>
      <c r="JIN617" s="294"/>
      <c r="JIO617" s="294"/>
      <c r="JIP617" s="294"/>
      <c r="JIQ617" s="294"/>
      <c r="JIR617" s="294"/>
      <c r="JIS617" s="294"/>
      <c r="JIT617" s="294"/>
      <c r="JIU617" s="294"/>
      <c r="JIV617" s="294"/>
      <c r="JIW617" s="294"/>
      <c r="JIX617" s="294"/>
      <c r="JIY617" s="294"/>
      <c r="JIZ617" s="294"/>
      <c r="JJA617" s="294"/>
      <c r="JJB617" s="294"/>
      <c r="JJC617" s="294"/>
      <c r="JJD617" s="294"/>
      <c r="JJE617" s="294"/>
      <c r="JJF617" s="294"/>
      <c r="JJG617" s="294"/>
      <c r="JJH617" s="294"/>
      <c r="JJI617" s="294"/>
      <c r="JJJ617" s="294"/>
      <c r="JJK617" s="294"/>
      <c r="JJL617" s="294"/>
      <c r="JJM617" s="294"/>
      <c r="JJN617" s="294"/>
      <c r="JJO617" s="294"/>
      <c r="JJP617" s="294"/>
      <c r="JJQ617" s="294"/>
      <c r="JJR617" s="294"/>
      <c r="JJS617" s="294"/>
      <c r="JJT617" s="294"/>
      <c r="JJU617" s="294"/>
      <c r="JJV617" s="294"/>
      <c r="JJW617" s="294"/>
      <c r="JJX617" s="294"/>
      <c r="JJY617" s="294"/>
      <c r="JJZ617" s="294"/>
      <c r="JKA617" s="294"/>
      <c r="JKB617" s="294"/>
      <c r="JKC617" s="294"/>
      <c r="JKD617" s="294"/>
      <c r="JKE617" s="294"/>
      <c r="JKF617" s="294"/>
      <c r="JKG617" s="294"/>
      <c r="JKH617" s="294"/>
      <c r="JKI617" s="294"/>
      <c r="JKJ617" s="294"/>
      <c r="JKK617" s="294"/>
      <c r="JKL617" s="294"/>
      <c r="JKM617" s="294"/>
      <c r="JKN617" s="294"/>
      <c r="JKO617" s="294"/>
      <c r="JKP617" s="294"/>
      <c r="JKQ617" s="294"/>
      <c r="JKR617" s="294"/>
      <c r="JKS617" s="294"/>
      <c r="JKT617" s="294"/>
      <c r="JKU617" s="294"/>
      <c r="JKV617" s="294"/>
      <c r="JKW617" s="294"/>
      <c r="JKX617" s="294"/>
      <c r="JKY617" s="294"/>
      <c r="JKZ617" s="294"/>
      <c r="JLA617" s="294"/>
      <c r="JLB617" s="294"/>
      <c r="JLC617" s="294"/>
      <c r="JLD617" s="294"/>
      <c r="JLE617" s="294"/>
      <c r="JLF617" s="294"/>
      <c r="JLG617" s="294"/>
      <c r="JLH617" s="294"/>
      <c r="JLI617" s="294"/>
      <c r="JLJ617" s="294"/>
      <c r="JLK617" s="294"/>
      <c r="JLL617" s="294"/>
      <c r="JLM617" s="294"/>
      <c r="JLN617" s="294"/>
      <c r="JLO617" s="294"/>
      <c r="JLP617" s="294"/>
      <c r="JLQ617" s="294"/>
      <c r="JLR617" s="294"/>
      <c r="JLS617" s="294"/>
      <c r="JLT617" s="294"/>
      <c r="JLU617" s="294"/>
      <c r="JLV617" s="294"/>
      <c r="JLW617" s="294"/>
      <c r="JLX617" s="294"/>
      <c r="JLY617" s="294"/>
      <c r="JLZ617" s="294"/>
      <c r="JMA617" s="294"/>
      <c r="JMB617" s="294"/>
      <c r="JMC617" s="294"/>
      <c r="JMD617" s="294"/>
      <c r="JME617" s="294"/>
      <c r="JMF617" s="294"/>
      <c r="JMG617" s="294"/>
      <c r="JMH617" s="294"/>
      <c r="JMI617" s="294"/>
      <c r="JMJ617" s="294"/>
      <c r="JMK617" s="294"/>
      <c r="JML617" s="294"/>
      <c r="JMM617" s="294"/>
      <c r="JMN617" s="294"/>
      <c r="JMO617" s="294"/>
      <c r="JMP617" s="294"/>
      <c r="JMQ617" s="294"/>
      <c r="JMR617" s="294"/>
      <c r="JMS617" s="294"/>
      <c r="JMT617" s="294"/>
      <c r="JMU617" s="294"/>
      <c r="JMV617" s="294"/>
      <c r="JMW617" s="294"/>
      <c r="JMX617" s="294"/>
      <c r="JMY617" s="294"/>
      <c r="JMZ617" s="294"/>
      <c r="JNA617" s="294"/>
      <c r="JNB617" s="294"/>
      <c r="JNC617" s="294"/>
      <c r="JND617" s="294"/>
      <c r="JNE617" s="294"/>
      <c r="JNF617" s="294"/>
      <c r="JNG617" s="294"/>
      <c r="JNH617" s="294"/>
      <c r="JNI617" s="294"/>
      <c r="JNJ617" s="294"/>
      <c r="JNK617" s="294"/>
      <c r="JNL617" s="294"/>
      <c r="JNM617" s="294"/>
      <c r="JNN617" s="294"/>
      <c r="JNO617" s="294"/>
      <c r="JNP617" s="294"/>
      <c r="JNQ617" s="294"/>
      <c r="JNR617" s="294"/>
      <c r="JNS617" s="294"/>
      <c r="JNT617" s="294"/>
      <c r="JNU617" s="294"/>
      <c r="JNV617" s="294"/>
      <c r="JNW617" s="294"/>
      <c r="JNX617" s="294"/>
      <c r="JNY617" s="294"/>
      <c r="JNZ617" s="294"/>
      <c r="JOA617" s="294"/>
      <c r="JOB617" s="294"/>
      <c r="JOC617" s="294"/>
      <c r="JOD617" s="294"/>
      <c r="JOE617" s="294"/>
      <c r="JOF617" s="294"/>
      <c r="JOG617" s="294"/>
      <c r="JOH617" s="294"/>
      <c r="JOI617" s="294"/>
      <c r="JOJ617" s="294"/>
      <c r="JOK617" s="294"/>
      <c r="JOL617" s="294"/>
      <c r="JOM617" s="294"/>
      <c r="JON617" s="294"/>
      <c r="JOO617" s="294"/>
      <c r="JOP617" s="294"/>
      <c r="JOQ617" s="294"/>
      <c r="JOR617" s="294"/>
      <c r="JOS617" s="294"/>
      <c r="JOT617" s="294"/>
      <c r="JOU617" s="294"/>
      <c r="JOV617" s="294"/>
      <c r="JOW617" s="294"/>
      <c r="JOX617" s="294"/>
      <c r="JOY617" s="294"/>
      <c r="JOZ617" s="294"/>
      <c r="JPA617" s="294"/>
      <c r="JPB617" s="294"/>
      <c r="JPC617" s="294"/>
      <c r="JPD617" s="294"/>
      <c r="JPE617" s="294"/>
      <c r="JPF617" s="294"/>
      <c r="JPG617" s="294"/>
      <c r="JPH617" s="294"/>
      <c r="JPI617" s="294"/>
      <c r="JPJ617" s="294"/>
      <c r="JPK617" s="294"/>
      <c r="JPL617" s="294"/>
      <c r="JPM617" s="294"/>
      <c r="JPN617" s="294"/>
      <c r="JPO617" s="294"/>
      <c r="JPP617" s="294"/>
      <c r="JPQ617" s="294"/>
      <c r="JPR617" s="294"/>
      <c r="JPS617" s="294"/>
      <c r="JPT617" s="294"/>
      <c r="JPU617" s="294"/>
      <c r="JPV617" s="294"/>
      <c r="JPW617" s="294"/>
      <c r="JPX617" s="294"/>
      <c r="JPY617" s="294"/>
      <c r="JPZ617" s="294"/>
      <c r="JQA617" s="294"/>
      <c r="JQB617" s="294"/>
      <c r="JQC617" s="294"/>
      <c r="JQD617" s="294"/>
      <c r="JQE617" s="294"/>
      <c r="JQF617" s="294"/>
      <c r="JQG617" s="294"/>
      <c r="JQH617" s="294"/>
      <c r="JQI617" s="294"/>
      <c r="JQJ617" s="294"/>
      <c r="JQK617" s="294"/>
      <c r="JQL617" s="294"/>
      <c r="JQM617" s="294"/>
      <c r="JQN617" s="294"/>
      <c r="JQO617" s="294"/>
      <c r="JQP617" s="294"/>
      <c r="JQQ617" s="294"/>
      <c r="JQR617" s="294"/>
      <c r="JQS617" s="294"/>
      <c r="JQT617" s="294"/>
      <c r="JQU617" s="294"/>
      <c r="JQV617" s="294"/>
      <c r="JQW617" s="294"/>
      <c r="JQX617" s="294"/>
      <c r="JQY617" s="294"/>
      <c r="JQZ617" s="294"/>
      <c r="JRA617" s="294"/>
      <c r="JRB617" s="294"/>
      <c r="JRC617" s="294"/>
      <c r="JRD617" s="294"/>
      <c r="JRE617" s="294"/>
      <c r="JRF617" s="294"/>
      <c r="JRG617" s="294"/>
      <c r="JRH617" s="294"/>
      <c r="JRI617" s="294"/>
      <c r="JRJ617" s="294"/>
      <c r="JRK617" s="294"/>
      <c r="JRL617" s="294"/>
      <c r="JRM617" s="294"/>
      <c r="JRN617" s="294"/>
      <c r="JRO617" s="294"/>
      <c r="JRP617" s="294"/>
      <c r="JRQ617" s="294"/>
      <c r="JRR617" s="294"/>
      <c r="JRS617" s="294"/>
      <c r="JRT617" s="294"/>
      <c r="JRU617" s="294"/>
      <c r="JRV617" s="294"/>
      <c r="JRW617" s="294"/>
      <c r="JRX617" s="294"/>
      <c r="JRY617" s="294"/>
      <c r="JRZ617" s="294"/>
      <c r="JSA617" s="294"/>
      <c r="JSB617" s="294"/>
      <c r="JSC617" s="294"/>
      <c r="JSD617" s="294"/>
      <c r="JSE617" s="294"/>
      <c r="JSF617" s="294"/>
      <c r="JSG617" s="294"/>
      <c r="JSH617" s="294"/>
      <c r="JSI617" s="294"/>
      <c r="JSJ617" s="294"/>
      <c r="JSK617" s="294"/>
      <c r="JSL617" s="294"/>
      <c r="JSM617" s="294"/>
      <c r="JSN617" s="294"/>
      <c r="JSO617" s="294"/>
      <c r="JSP617" s="294"/>
      <c r="JSQ617" s="294"/>
      <c r="JSR617" s="294"/>
      <c r="JSS617" s="294"/>
      <c r="JST617" s="294"/>
      <c r="JSU617" s="294"/>
      <c r="JSV617" s="294"/>
      <c r="JSW617" s="294"/>
      <c r="JSX617" s="294"/>
      <c r="JSY617" s="294"/>
      <c r="JSZ617" s="294"/>
      <c r="JTA617" s="294"/>
      <c r="JTB617" s="294"/>
      <c r="JTC617" s="294"/>
      <c r="JTD617" s="294"/>
      <c r="JTE617" s="294"/>
      <c r="JTF617" s="294"/>
      <c r="JTG617" s="294"/>
      <c r="JTH617" s="294"/>
      <c r="JTI617" s="294"/>
      <c r="JTJ617" s="294"/>
      <c r="JTK617" s="294"/>
      <c r="JTL617" s="294"/>
      <c r="JTM617" s="294"/>
      <c r="JTN617" s="294"/>
      <c r="JTO617" s="294"/>
      <c r="JTP617" s="294"/>
      <c r="JTQ617" s="294"/>
      <c r="JTR617" s="294"/>
      <c r="JTS617" s="294"/>
      <c r="JTT617" s="294"/>
      <c r="JTU617" s="294"/>
      <c r="JTV617" s="294"/>
      <c r="JTW617" s="294"/>
      <c r="JTX617" s="294"/>
      <c r="JTY617" s="294"/>
      <c r="JTZ617" s="294"/>
      <c r="JUA617" s="294"/>
      <c r="JUB617" s="294"/>
      <c r="JUC617" s="294"/>
      <c r="JUD617" s="294"/>
      <c r="JUE617" s="294"/>
      <c r="JUF617" s="294"/>
      <c r="JUG617" s="294"/>
      <c r="JUH617" s="294"/>
      <c r="JUI617" s="294"/>
      <c r="JUJ617" s="294"/>
      <c r="JUK617" s="294"/>
      <c r="JUL617" s="294"/>
      <c r="JUM617" s="294"/>
      <c r="JUN617" s="294"/>
      <c r="JUO617" s="294"/>
      <c r="JUP617" s="294"/>
      <c r="JUQ617" s="294"/>
      <c r="JUR617" s="294"/>
      <c r="JUS617" s="294"/>
      <c r="JUT617" s="294"/>
      <c r="JUU617" s="294"/>
      <c r="JUV617" s="294"/>
      <c r="JUW617" s="294"/>
      <c r="JUX617" s="294"/>
      <c r="JUY617" s="294"/>
      <c r="JUZ617" s="294"/>
      <c r="JVA617" s="294"/>
      <c r="JVB617" s="294"/>
      <c r="JVC617" s="294"/>
      <c r="JVD617" s="294"/>
      <c r="JVE617" s="294"/>
      <c r="JVF617" s="294"/>
      <c r="JVG617" s="294"/>
      <c r="JVH617" s="294"/>
      <c r="JVI617" s="294"/>
      <c r="JVJ617" s="294"/>
      <c r="JVK617" s="294"/>
      <c r="JVL617" s="294"/>
      <c r="JVM617" s="294"/>
      <c r="JVN617" s="294"/>
      <c r="JVO617" s="294"/>
      <c r="JVP617" s="294"/>
      <c r="JVQ617" s="294"/>
      <c r="JVR617" s="294"/>
      <c r="JVS617" s="294"/>
      <c r="JVT617" s="294"/>
      <c r="JVU617" s="294"/>
      <c r="JVV617" s="294"/>
      <c r="JVW617" s="294"/>
      <c r="JVX617" s="294"/>
      <c r="JVY617" s="294"/>
      <c r="JVZ617" s="294"/>
      <c r="JWA617" s="294"/>
      <c r="JWB617" s="294"/>
      <c r="JWC617" s="294"/>
      <c r="JWD617" s="294"/>
      <c r="JWE617" s="294"/>
      <c r="JWF617" s="294"/>
      <c r="JWG617" s="294"/>
      <c r="JWH617" s="294"/>
      <c r="JWI617" s="294"/>
      <c r="JWJ617" s="294"/>
      <c r="JWK617" s="294"/>
      <c r="JWL617" s="294"/>
      <c r="JWM617" s="294"/>
      <c r="JWN617" s="294"/>
      <c r="JWO617" s="294"/>
      <c r="JWP617" s="294"/>
      <c r="JWQ617" s="294"/>
      <c r="JWR617" s="294"/>
      <c r="JWS617" s="294"/>
      <c r="JWT617" s="294"/>
      <c r="JWU617" s="294"/>
      <c r="JWV617" s="294"/>
      <c r="JWW617" s="294"/>
      <c r="JWX617" s="294"/>
      <c r="JWY617" s="294"/>
      <c r="JWZ617" s="294"/>
      <c r="JXA617" s="294"/>
      <c r="JXB617" s="294"/>
      <c r="JXC617" s="294"/>
      <c r="JXD617" s="294"/>
      <c r="JXE617" s="294"/>
      <c r="JXF617" s="294"/>
      <c r="JXG617" s="294"/>
      <c r="JXH617" s="294"/>
      <c r="JXI617" s="294"/>
      <c r="JXJ617" s="294"/>
      <c r="JXK617" s="294"/>
      <c r="JXL617" s="294"/>
      <c r="JXM617" s="294"/>
      <c r="JXN617" s="294"/>
      <c r="JXO617" s="294"/>
      <c r="JXP617" s="294"/>
      <c r="JXQ617" s="294"/>
      <c r="JXR617" s="294"/>
      <c r="JXS617" s="294"/>
      <c r="JXT617" s="294"/>
      <c r="JXU617" s="294"/>
      <c r="JXV617" s="294"/>
      <c r="JXW617" s="294"/>
      <c r="JXX617" s="294"/>
      <c r="JXY617" s="294"/>
      <c r="JXZ617" s="294"/>
      <c r="JYA617" s="294"/>
      <c r="JYB617" s="294"/>
      <c r="JYC617" s="294"/>
      <c r="JYD617" s="294"/>
      <c r="JYE617" s="294"/>
      <c r="JYF617" s="294"/>
      <c r="JYG617" s="294"/>
      <c r="JYH617" s="294"/>
      <c r="JYI617" s="294"/>
      <c r="JYJ617" s="294"/>
      <c r="JYK617" s="294"/>
      <c r="JYL617" s="294"/>
      <c r="JYM617" s="294"/>
      <c r="JYN617" s="294"/>
      <c r="JYO617" s="294"/>
      <c r="JYP617" s="294"/>
      <c r="JYQ617" s="294"/>
      <c r="JYR617" s="294"/>
      <c r="JYS617" s="294"/>
      <c r="JYT617" s="294"/>
      <c r="JYU617" s="294"/>
      <c r="JYV617" s="294"/>
      <c r="JYW617" s="294"/>
      <c r="JYX617" s="294"/>
      <c r="JYY617" s="294"/>
      <c r="JYZ617" s="294"/>
      <c r="JZA617" s="294"/>
      <c r="JZB617" s="294"/>
      <c r="JZC617" s="294"/>
      <c r="JZD617" s="294"/>
      <c r="JZE617" s="294"/>
      <c r="JZF617" s="294"/>
      <c r="JZG617" s="294"/>
      <c r="JZH617" s="294"/>
      <c r="JZI617" s="294"/>
      <c r="JZJ617" s="294"/>
      <c r="JZK617" s="294"/>
      <c r="JZL617" s="294"/>
      <c r="JZM617" s="294"/>
      <c r="JZN617" s="294"/>
      <c r="JZO617" s="294"/>
      <c r="JZP617" s="294"/>
      <c r="JZQ617" s="294"/>
      <c r="JZR617" s="294"/>
      <c r="JZS617" s="294"/>
      <c r="JZT617" s="294"/>
      <c r="JZU617" s="294"/>
      <c r="JZV617" s="294"/>
      <c r="JZW617" s="294"/>
      <c r="JZX617" s="294"/>
      <c r="JZY617" s="294"/>
      <c r="JZZ617" s="294"/>
      <c r="KAA617" s="294"/>
      <c r="KAB617" s="294"/>
      <c r="KAC617" s="294"/>
      <c r="KAD617" s="294"/>
      <c r="KAE617" s="294"/>
      <c r="KAF617" s="294"/>
      <c r="KAG617" s="294"/>
      <c r="KAH617" s="294"/>
      <c r="KAI617" s="294"/>
      <c r="KAJ617" s="294"/>
      <c r="KAK617" s="294"/>
      <c r="KAL617" s="294"/>
      <c r="KAM617" s="294"/>
      <c r="KAN617" s="294"/>
      <c r="KAO617" s="294"/>
      <c r="KAP617" s="294"/>
      <c r="KAQ617" s="294"/>
      <c r="KAR617" s="294"/>
      <c r="KAS617" s="294"/>
      <c r="KAT617" s="294"/>
      <c r="KAU617" s="294"/>
      <c r="KAV617" s="294"/>
      <c r="KAW617" s="294"/>
      <c r="KAX617" s="294"/>
      <c r="KAY617" s="294"/>
      <c r="KAZ617" s="294"/>
      <c r="KBA617" s="294"/>
      <c r="KBB617" s="294"/>
      <c r="KBC617" s="294"/>
      <c r="KBD617" s="294"/>
      <c r="KBE617" s="294"/>
      <c r="KBF617" s="294"/>
      <c r="KBG617" s="294"/>
      <c r="KBH617" s="294"/>
      <c r="KBI617" s="294"/>
      <c r="KBJ617" s="294"/>
      <c r="KBK617" s="294"/>
      <c r="KBL617" s="294"/>
      <c r="KBM617" s="294"/>
      <c r="KBN617" s="294"/>
      <c r="KBO617" s="294"/>
      <c r="KBP617" s="294"/>
      <c r="KBQ617" s="294"/>
      <c r="KBR617" s="294"/>
      <c r="KBS617" s="294"/>
      <c r="KBT617" s="294"/>
      <c r="KBU617" s="294"/>
      <c r="KBV617" s="294"/>
      <c r="KBW617" s="294"/>
      <c r="KBX617" s="294"/>
      <c r="KBY617" s="294"/>
      <c r="KBZ617" s="294"/>
      <c r="KCA617" s="294"/>
      <c r="KCB617" s="294"/>
      <c r="KCC617" s="294"/>
      <c r="KCD617" s="294"/>
      <c r="KCE617" s="294"/>
      <c r="KCF617" s="294"/>
      <c r="KCG617" s="294"/>
      <c r="KCH617" s="294"/>
      <c r="KCI617" s="294"/>
      <c r="KCJ617" s="294"/>
      <c r="KCK617" s="294"/>
      <c r="KCL617" s="294"/>
      <c r="KCM617" s="294"/>
      <c r="KCN617" s="294"/>
      <c r="KCO617" s="294"/>
      <c r="KCP617" s="294"/>
      <c r="KCQ617" s="294"/>
      <c r="KCR617" s="294"/>
      <c r="KCS617" s="294"/>
      <c r="KCT617" s="294"/>
      <c r="KCU617" s="294"/>
      <c r="KCV617" s="294"/>
      <c r="KCW617" s="294"/>
      <c r="KCX617" s="294"/>
      <c r="KCY617" s="294"/>
      <c r="KCZ617" s="294"/>
      <c r="KDA617" s="294"/>
      <c r="KDB617" s="294"/>
      <c r="KDC617" s="294"/>
      <c r="KDD617" s="294"/>
      <c r="KDE617" s="294"/>
      <c r="KDF617" s="294"/>
      <c r="KDG617" s="294"/>
      <c r="KDH617" s="294"/>
      <c r="KDI617" s="294"/>
      <c r="KDJ617" s="294"/>
      <c r="KDK617" s="294"/>
      <c r="KDL617" s="294"/>
      <c r="KDM617" s="294"/>
      <c r="KDN617" s="294"/>
      <c r="KDO617" s="294"/>
      <c r="KDP617" s="294"/>
      <c r="KDQ617" s="294"/>
      <c r="KDR617" s="294"/>
      <c r="KDS617" s="294"/>
      <c r="KDT617" s="294"/>
      <c r="KDU617" s="294"/>
      <c r="KDV617" s="294"/>
      <c r="KDW617" s="294"/>
      <c r="KDX617" s="294"/>
      <c r="KDY617" s="294"/>
      <c r="KDZ617" s="294"/>
      <c r="KEA617" s="294"/>
      <c r="KEB617" s="294"/>
      <c r="KEC617" s="294"/>
      <c r="KED617" s="294"/>
      <c r="KEE617" s="294"/>
      <c r="KEF617" s="294"/>
      <c r="KEG617" s="294"/>
      <c r="KEH617" s="294"/>
      <c r="KEI617" s="294"/>
      <c r="KEJ617" s="294"/>
      <c r="KEK617" s="294"/>
      <c r="KEL617" s="294"/>
      <c r="KEM617" s="294"/>
      <c r="KEN617" s="294"/>
      <c r="KEO617" s="294"/>
      <c r="KEP617" s="294"/>
      <c r="KEQ617" s="294"/>
      <c r="KER617" s="294"/>
      <c r="KES617" s="294"/>
      <c r="KET617" s="294"/>
      <c r="KEU617" s="294"/>
      <c r="KEV617" s="294"/>
      <c r="KEW617" s="294"/>
      <c r="KEX617" s="294"/>
      <c r="KEY617" s="294"/>
      <c r="KEZ617" s="294"/>
      <c r="KFA617" s="294"/>
      <c r="KFB617" s="294"/>
      <c r="KFC617" s="294"/>
      <c r="KFD617" s="294"/>
      <c r="KFE617" s="294"/>
      <c r="KFF617" s="294"/>
      <c r="KFG617" s="294"/>
      <c r="KFH617" s="294"/>
      <c r="KFI617" s="294"/>
      <c r="KFJ617" s="294"/>
      <c r="KFK617" s="294"/>
      <c r="KFL617" s="294"/>
      <c r="KFM617" s="294"/>
      <c r="KFN617" s="294"/>
      <c r="KFO617" s="294"/>
      <c r="KFP617" s="294"/>
      <c r="KFQ617" s="294"/>
      <c r="KFR617" s="294"/>
      <c r="KFS617" s="294"/>
      <c r="KFT617" s="294"/>
      <c r="KFU617" s="294"/>
      <c r="KFV617" s="294"/>
      <c r="KFW617" s="294"/>
      <c r="KFX617" s="294"/>
      <c r="KFY617" s="294"/>
      <c r="KFZ617" s="294"/>
      <c r="KGA617" s="294"/>
      <c r="KGB617" s="294"/>
      <c r="KGC617" s="294"/>
      <c r="KGD617" s="294"/>
      <c r="KGE617" s="294"/>
      <c r="KGF617" s="294"/>
      <c r="KGG617" s="294"/>
      <c r="KGH617" s="294"/>
      <c r="KGI617" s="294"/>
      <c r="KGJ617" s="294"/>
      <c r="KGK617" s="294"/>
      <c r="KGL617" s="294"/>
      <c r="KGM617" s="294"/>
      <c r="KGN617" s="294"/>
      <c r="KGO617" s="294"/>
      <c r="KGP617" s="294"/>
      <c r="KGQ617" s="294"/>
      <c r="KGR617" s="294"/>
      <c r="KGS617" s="294"/>
      <c r="KGT617" s="294"/>
      <c r="KGU617" s="294"/>
      <c r="KGV617" s="294"/>
      <c r="KGW617" s="294"/>
      <c r="KGX617" s="294"/>
      <c r="KGY617" s="294"/>
      <c r="KGZ617" s="294"/>
      <c r="KHA617" s="294"/>
      <c r="KHB617" s="294"/>
      <c r="KHC617" s="294"/>
      <c r="KHD617" s="294"/>
      <c r="KHE617" s="294"/>
      <c r="KHF617" s="294"/>
      <c r="KHG617" s="294"/>
      <c r="KHH617" s="294"/>
      <c r="KHI617" s="294"/>
      <c r="KHJ617" s="294"/>
      <c r="KHK617" s="294"/>
      <c r="KHL617" s="294"/>
      <c r="KHM617" s="294"/>
      <c r="KHN617" s="294"/>
      <c r="KHO617" s="294"/>
      <c r="KHP617" s="294"/>
      <c r="KHQ617" s="294"/>
      <c r="KHR617" s="294"/>
      <c r="KHS617" s="294"/>
      <c r="KHT617" s="294"/>
      <c r="KHU617" s="294"/>
      <c r="KHV617" s="294"/>
      <c r="KHW617" s="294"/>
      <c r="KHX617" s="294"/>
      <c r="KHY617" s="294"/>
      <c r="KHZ617" s="294"/>
      <c r="KIA617" s="294"/>
      <c r="KIB617" s="294"/>
      <c r="KIC617" s="294"/>
      <c r="KID617" s="294"/>
      <c r="KIE617" s="294"/>
      <c r="KIF617" s="294"/>
      <c r="KIG617" s="294"/>
      <c r="KIH617" s="294"/>
      <c r="KII617" s="294"/>
      <c r="KIJ617" s="294"/>
      <c r="KIK617" s="294"/>
      <c r="KIL617" s="294"/>
      <c r="KIM617" s="294"/>
      <c r="KIN617" s="294"/>
      <c r="KIO617" s="294"/>
      <c r="KIP617" s="294"/>
      <c r="KIQ617" s="294"/>
      <c r="KIR617" s="294"/>
      <c r="KIS617" s="294"/>
      <c r="KIT617" s="294"/>
      <c r="KIU617" s="294"/>
      <c r="KIV617" s="294"/>
      <c r="KIW617" s="294"/>
      <c r="KIX617" s="294"/>
      <c r="KIY617" s="294"/>
      <c r="KIZ617" s="294"/>
      <c r="KJA617" s="294"/>
      <c r="KJB617" s="294"/>
      <c r="KJC617" s="294"/>
      <c r="KJD617" s="294"/>
      <c r="KJE617" s="294"/>
      <c r="KJF617" s="294"/>
      <c r="KJG617" s="294"/>
      <c r="KJH617" s="294"/>
      <c r="KJI617" s="294"/>
      <c r="KJJ617" s="294"/>
      <c r="KJK617" s="294"/>
      <c r="KJL617" s="294"/>
      <c r="KJM617" s="294"/>
      <c r="KJN617" s="294"/>
      <c r="KJO617" s="294"/>
      <c r="KJP617" s="294"/>
      <c r="KJQ617" s="294"/>
      <c r="KJR617" s="294"/>
      <c r="KJS617" s="294"/>
      <c r="KJT617" s="294"/>
      <c r="KJU617" s="294"/>
      <c r="KJV617" s="294"/>
      <c r="KJW617" s="294"/>
      <c r="KJX617" s="294"/>
      <c r="KJY617" s="294"/>
      <c r="KJZ617" s="294"/>
      <c r="KKA617" s="294"/>
      <c r="KKB617" s="294"/>
      <c r="KKC617" s="294"/>
      <c r="KKD617" s="294"/>
      <c r="KKE617" s="294"/>
      <c r="KKF617" s="294"/>
      <c r="KKG617" s="294"/>
      <c r="KKH617" s="294"/>
      <c r="KKI617" s="294"/>
      <c r="KKJ617" s="294"/>
      <c r="KKK617" s="294"/>
      <c r="KKL617" s="294"/>
      <c r="KKM617" s="294"/>
      <c r="KKN617" s="294"/>
      <c r="KKO617" s="294"/>
      <c r="KKP617" s="294"/>
      <c r="KKQ617" s="294"/>
      <c r="KKR617" s="294"/>
      <c r="KKS617" s="294"/>
      <c r="KKT617" s="294"/>
      <c r="KKU617" s="294"/>
      <c r="KKV617" s="294"/>
      <c r="KKW617" s="294"/>
      <c r="KKX617" s="294"/>
      <c r="KKY617" s="294"/>
      <c r="KKZ617" s="294"/>
      <c r="KLA617" s="294"/>
      <c r="KLB617" s="294"/>
      <c r="KLC617" s="294"/>
      <c r="KLD617" s="294"/>
      <c r="KLE617" s="294"/>
      <c r="KLF617" s="294"/>
      <c r="KLG617" s="294"/>
      <c r="KLH617" s="294"/>
      <c r="KLI617" s="294"/>
      <c r="KLJ617" s="294"/>
      <c r="KLK617" s="294"/>
      <c r="KLL617" s="294"/>
      <c r="KLM617" s="294"/>
      <c r="KLN617" s="294"/>
      <c r="KLO617" s="294"/>
      <c r="KLP617" s="294"/>
      <c r="KLQ617" s="294"/>
      <c r="KLR617" s="294"/>
      <c r="KLS617" s="294"/>
      <c r="KLT617" s="294"/>
      <c r="KLU617" s="294"/>
      <c r="KLV617" s="294"/>
      <c r="KLW617" s="294"/>
      <c r="KLX617" s="294"/>
      <c r="KLY617" s="294"/>
      <c r="KLZ617" s="294"/>
      <c r="KMA617" s="294"/>
      <c r="KMB617" s="294"/>
      <c r="KMC617" s="294"/>
      <c r="KMD617" s="294"/>
      <c r="KME617" s="294"/>
      <c r="KMF617" s="294"/>
      <c r="KMG617" s="294"/>
      <c r="KMH617" s="294"/>
      <c r="KMI617" s="294"/>
      <c r="KMJ617" s="294"/>
      <c r="KMK617" s="294"/>
      <c r="KML617" s="294"/>
      <c r="KMM617" s="294"/>
      <c r="KMN617" s="294"/>
      <c r="KMO617" s="294"/>
      <c r="KMP617" s="294"/>
      <c r="KMQ617" s="294"/>
      <c r="KMR617" s="294"/>
      <c r="KMS617" s="294"/>
      <c r="KMT617" s="294"/>
      <c r="KMU617" s="294"/>
      <c r="KMV617" s="294"/>
      <c r="KMW617" s="294"/>
      <c r="KMX617" s="294"/>
      <c r="KMY617" s="294"/>
      <c r="KMZ617" s="294"/>
      <c r="KNA617" s="294"/>
      <c r="KNB617" s="294"/>
      <c r="KNC617" s="294"/>
      <c r="KND617" s="294"/>
      <c r="KNE617" s="294"/>
      <c r="KNF617" s="294"/>
      <c r="KNG617" s="294"/>
      <c r="KNH617" s="294"/>
      <c r="KNI617" s="294"/>
      <c r="KNJ617" s="294"/>
      <c r="KNK617" s="294"/>
      <c r="KNL617" s="294"/>
      <c r="KNM617" s="294"/>
      <c r="KNN617" s="294"/>
      <c r="KNO617" s="294"/>
      <c r="KNP617" s="294"/>
      <c r="KNQ617" s="294"/>
      <c r="KNR617" s="294"/>
      <c r="KNS617" s="294"/>
      <c r="KNT617" s="294"/>
      <c r="KNU617" s="294"/>
      <c r="KNV617" s="294"/>
      <c r="KNW617" s="294"/>
      <c r="KNX617" s="294"/>
      <c r="KNY617" s="294"/>
      <c r="KNZ617" s="294"/>
      <c r="KOA617" s="294"/>
      <c r="KOB617" s="294"/>
      <c r="KOC617" s="294"/>
      <c r="KOD617" s="294"/>
      <c r="KOE617" s="294"/>
      <c r="KOF617" s="294"/>
      <c r="KOG617" s="294"/>
      <c r="KOH617" s="294"/>
      <c r="KOI617" s="294"/>
      <c r="KOJ617" s="294"/>
      <c r="KOK617" s="294"/>
      <c r="KOL617" s="294"/>
      <c r="KOM617" s="294"/>
      <c r="KON617" s="294"/>
      <c r="KOO617" s="294"/>
      <c r="KOP617" s="294"/>
      <c r="KOQ617" s="294"/>
      <c r="KOR617" s="294"/>
      <c r="KOS617" s="294"/>
      <c r="KOT617" s="294"/>
      <c r="KOU617" s="294"/>
      <c r="KOV617" s="294"/>
      <c r="KOW617" s="294"/>
      <c r="KOX617" s="294"/>
      <c r="KOY617" s="294"/>
      <c r="KOZ617" s="294"/>
      <c r="KPA617" s="294"/>
      <c r="KPB617" s="294"/>
      <c r="KPC617" s="294"/>
      <c r="KPD617" s="294"/>
      <c r="KPE617" s="294"/>
      <c r="KPF617" s="294"/>
      <c r="KPG617" s="294"/>
      <c r="KPH617" s="294"/>
      <c r="KPI617" s="294"/>
      <c r="KPJ617" s="294"/>
      <c r="KPK617" s="294"/>
      <c r="KPL617" s="294"/>
      <c r="KPM617" s="294"/>
      <c r="KPN617" s="294"/>
      <c r="KPO617" s="294"/>
      <c r="KPP617" s="294"/>
      <c r="KPQ617" s="294"/>
      <c r="KPR617" s="294"/>
      <c r="KPS617" s="294"/>
      <c r="KPT617" s="294"/>
      <c r="KPU617" s="294"/>
      <c r="KPV617" s="294"/>
      <c r="KPW617" s="294"/>
      <c r="KPX617" s="294"/>
      <c r="KPY617" s="294"/>
      <c r="KPZ617" s="294"/>
      <c r="KQA617" s="294"/>
      <c r="KQB617" s="294"/>
      <c r="KQC617" s="294"/>
      <c r="KQD617" s="294"/>
      <c r="KQE617" s="294"/>
      <c r="KQF617" s="294"/>
      <c r="KQG617" s="294"/>
      <c r="KQH617" s="294"/>
      <c r="KQI617" s="294"/>
      <c r="KQJ617" s="294"/>
      <c r="KQK617" s="294"/>
      <c r="KQL617" s="294"/>
      <c r="KQM617" s="294"/>
      <c r="KQN617" s="294"/>
      <c r="KQO617" s="294"/>
      <c r="KQP617" s="294"/>
      <c r="KQQ617" s="294"/>
      <c r="KQR617" s="294"/>
      <c r="KQS617" s="294"/>
      <c r="KQT617" s="294"/>
      <c r="KQU617" s="294"/>
      <c r="KQV617" s="294"/>
      <c r="KQW617" s="294"/>
      <c r="KQX617" s="294"/>
      <c r="KQY617" s="294"/>
      <c r="KQZ617" s="294"/>
      <c r="KRA617" s="294"/>
      <c r="KRB617" s="294"/>
      <c r="KRC617" s="294"/>
      <c r="KRD617" s="294"/>
      <c r="KRE617" s="294"/>
      <c r="KRF617" s="294"/>
      <c r="KRG617" s="294"/>
      <c r="KRH617" s="294"/>
      <c r="KRI617" s="294"/>
      <c r="KRJ617" s="294"/>
      <c r="KRK617" s="294"/>
      <c r="KRL617" s="294"/>
      <c r="KRM617" s="294"/>
      <c r="KRN617" s="294"/>
      <c r="KRO617" s="294"/>
      <c r="KRP617" s="294"/>
      <c r="KRQ617" s="294"/>
      <c r="KRR617" s="294"/>
      <c r="KRS617" s="294"/>
      <c r="KRT617" s="294"/>
      <c r="KRU617" s="294"/>
      <c r="KRV617" s="294"/>
      <c r="KRW617" s="294"/>
      <c r="KRX617" s="294"/>
      <c r="KRY617" s="294"/>
      <c r="KRZ617" s="294"/>
      <c r="KSA617" s="294"/>
      <c r="KSB617" s="294"/>
      <c r="KSC617" s="294"/>
      <c r="KSD617" s="294"/>
      <c r="KSE617" s="294"/>
      <c r="KSF617" s="294"/>
      <c r="KSG617" s="294"/>
      <c r="KSH617" s="294"/>
      <c r="KSI617" s="294"/>
      <c r="KSJ617" s="294"/>
      <c r="KSK617" s="294"/>
      <c r="KSL617" s="294"/>
      <c r="KSM617" s="294"/>
      <c r="KSN617" s="294"/>
      <c r="KSO617" s="294"/>
      <c r="KSP617" s="294"/>
      <c r="KSQ617" s="294"/>
      <c r="KSR617" s="294"/>
      <c r="KSS617" s="294"/>
      <c r="KST617" s="294"/>
      <c r="KSU617" s="294"/>
      <c r="KSV617" s="294"/>
      <c r="KSW617" s="294"/>
      <c r="KSX617" s="294"/>
      <c r="KSY617" s="294"/>
      <c r="KSZ617" s="294"/>
      <c r="KTA617" s="294"/>
      <c r="KTB617" s="294"/>
      <c r="KTC617" s="294"/>
      <c r="KTD617" s="294"/>
      <c r="KTE617" s="294"/>
      <c r="KTF617" s="294"/>
      <c r="KTG617" s="294"/>
      <c r="KTH617" s="294"/>
      <c r="KTI617" s="294"/>
      <c r="KTJ617" s="294"/>
      <c r="KTK617" s="294"/>
      <c r="KTL617" s="294"/>
      <c r="KTM617" s="294"/>
      <c r="KTN617" s="294"/>
      <c r="KTO617" s="294"/>
      <c r="KTP617" s="294"/>
      <c r="KTQ617" s="294"/>
      <c r="KTR617" s="294"/>
      <c r="KTS617" s="294"/>
      <c r="KTT617" s="294"/>
      <c r="KTU617" s="294"/>
      <c r="KTV617" s="294"/>
      <c r="KTW617" s="294"/>
      <c r="KTX617" s="294"/>
      <c r="KTY617" s="294"/>
      <c r="KTZ617" s="294"/>
      <c r="KUA617" s="294"/>
      <c r="KUB617" s="294"/>
      <c r="KUC617" s="294"/>
      <c r="KUD617" s="294"/>
      <c r="KUE617" s="294"/>
      <c r="KUF617" s="294"/>
      <c r="KUG617" s="294"/>
      <c r="KUH617" s="294"/>
      <c r="KUI617" s="294"/>
      <c r="KUJ617" s="294"/>
      <c r="KUK617" s="294"/>
      <c r="KUL617" s="294"/>
      <c r="KUM617" s="294"/>
      <c r="KUN617" s="294"/>
      <c r="KUO617" s="294"/>
      <c r="KUP617" s="294"/>
      <c r="KUQ617" s="294"/>
      <c r="KUR617" s="294"/>
      <c r="KUS617" s="294"/>
      <c r="KUT617" s="294"/>
      <c r="KUU617" s="294"/>
      <c r="KUV617" s="294"/>
      <c r="KUW617" s="294"/>
      <c r="KUX617" s="294"/>
      <c r="KUY617" s="294"/>
      <c r="KUZ617" s="294"/>
      <c r="KVA617" s="294"/>
      <c r="KVB617" s="294"/>
      <c r="KVC617" s="294"/>
      <c r="KVD617" s="294"/>
      <c r="KVE617" s="294"/>
      <c r="KVF617" s="294"/>
      <c r="KVG617" s="294"/>
      <c r="KVH617" s="294"/>
      <c r="KVI617" s="294"/>
      <c r="KVJ617" s="294"/>
      <c r="KVK617" s="294"/>
      <c r="KVL617" s="294"/>
      <c r="KVM617" s="294"/>
      <c r="KVN617" s="294"/>
      <c r="KVO617" s="294"/>
      <c r="KVP617" s="294"/>
      <c r="KVQ617" s="294"/>
      <c r="KVR617" s="294"/>
      <c r="KVS617" s="294"/>
      <c r="KVT617" s="294"/>
      <c r="KVU617" s="294"/>
      <c r="KVV617" s="294"/>
      <c r="KVW617" s="294"/>
      <c r="KVX617" s="294"/>
      <c r="KVY617" s="294"/>
      <c r="KVZ617" s="294"/>
      <c r="KWA617" s="294"/>
      <c r="KWB617" s="294"/>
      <c r="KWC617" s="294"/>
      <c r="KWD617" s="294"/>
      <c r="KWE617" s="294"/>
      <c r="KWF617" s="294"/>
      <c r="KWG617" s="294"/>
      <c r="KWH617" s="294"/>
      <c r="KWI617" s="294"/>
      <c r="KWJ617" s="294"/>
      <c r="KWK617" s="294"/>
      <c r="KWL617" s="294"/>
      <c r="KWM617" s="294"/>
      <c r="KWN617" s="294"/>
      <c r="KWO617" s="294"/>
      <c r="KWP617" s="294"/>
      <c r="KWQ617" s="294"/>
      <c r="KWR617" s="294"/>
      <c r="KWS617" s="294"/>
      <c r="KWT617" s="294"/>
      <c r="KWU617" s="294"/>
      <c r="KWV617" s="294"/>
      <c r="KWW617" s="294"/>
      <c r="KWX617" s="294"/>
      <c r="KWY617" s="294"/>
      <c r="KWZ617" s="294"/>
      <c r="KXA617" s="294"/>
      <c r="KXB617" s="294"/>
      <c r="KXC617" s="294"/>
      <c r="KXD617" s="294"/>
      <c r="KXE617" s="294"/>
      <c r="KXF617" s="294"/>
      <c r="KXG617" s="294"/>
      <c r="KXH617" s="294"/>
      <c r="KXI617" s="294"/>
      <c r="KXJ617" s="294"/>
      <c r="KXK617" s="294"/>
      <c r="KXL617" s="294"/>
      <c r="KXM617" s="294"/>
      <c r="KXN617" s="294"/>
      <c r="KXO617" s="294"/>
      <c r="KXP617" s="294"/>
      <c r="KXQ617" s="294"/>
      <c r="KXR617" s="294"/>
      <c r="KXS617" s="294"/>
      <c r="KXT617" s="294"/>
      <c r="KXU617" s="294"/>
      <c r="KXV617" s="294"/>
      <c r="KXW617" s="294"/>
      <c r="KXX617" s="294"/>
      <c r="KXY617" s="294"/>
      <c r="KXZ617" s="294"/>
      <c r="KYA617" s="294"/>
      <c r="KYB617" s="294"/>
      <c r="KYC617" s="294"/>
      <c r="KYD617" s="294"/>
      <c r="KYE617" s="294"/>
      <c r="KYF617" s="294"/>
      <c r="KYG617" s="294"/>
      <c r="KYH617" s="294"/>
      <c r="KYI617" s="294"/>
      <c r="KYJ617" s="294"/>
      <c r="KYK617" s="294"/>
      <c r="KYL617" s="294"/>
      <c r="KYM617" s="294"/>
      <c r="KYN617" s="294"/>
      <c r="KYO617" s="294"/>
      <c r="KYP617" s="294"/>
      <c r="KYQ617" s="294"/>
      <c r="KYR617" s="294"/>
      <c r="KYS617" s="294"/>
      <c r="KYT617" s="294"/>
      <c r="KYU617" s="294"/>
      <c r="KYV617" s="294"/>
      <c r="KYW617" s="294"/>
      <c r="KYX617" s="294"/>
      <c r="KYY617" s="294"/>
      <c r="KYZ617" s="294"/>
      <c r="KZA617" s="294"/>
      <c r="KZB617" s="294"/>
      <c r="KZC617" s="294"/>
      <c r="KZD617" s="294"/>
      <c r="KZE617" s="294"/>
      <c r="KZF617" s="294"/>
      <c r="KZG617" s="294"/>
      <c r="KZH617" s="294"/>
      <c r="KZI617" s="294"/>
      <c r="KZJ617" s="294"/>
      <c r="KZK617" s="294"/>
      <c r="KZL617" s="294"/>
      <c r="KZM617" s="294"/>
      <c r="KZN617" s="294"/>
      <c r="KZO617" s="294"/>
      <c r="KZP617" s="294"/>
      <c r="KZQ617" s="294"/>
      <c r="KZR617" s="294"/>
      <c r="KZS617" s="294"/>
      <c r="KZT617" s="294"/>
      <c r="KZU617" s="294"/>
      <c r="KZV617" s="294"/>
      <c r="KZW617" s="294"/>
      <c r="KZX617" s="294"/>
      <c r="KZY617" s="294"/>
      <c r="KZZ617" s="294"/>
      <c r="LAA617" s="294"/>
      <c r="LAB617" s="294"/>
      <c r="LAC617" s="294"/>
      <c r="LAD617" s="294"/>
      <c r="LAE617" s="294"/>
      <c r="LAF617" s="294"/>
      <c r="LAG617" s="294"/>
      <c r="LAH617" s="294"/>
      <c r="LAI617" s="294"/>
      <c r="LAJ617" s="294"/>
      <c r="LAK617" s="294"/>
      <c r="LAL617" s="294"/>
      <c r="LAM617" s="294"/>
      <c r="LAN617" s="294"/>
      <c r="LAO617" s="294"/>
      <c r="LAP617" s="294"/>
      <c r="LAQ617" s="294"/>
      <c r="LAR617" s="294"/>
      <c r="LAS617" s="294"/>
      <c r="LAT617" s="294"/>
      <c r="LAU617" s="294"/>
      <c r="LAV617" s="294"/>
      <c r="LAW617" s="294"/>
      <c r="LAX617" s="294"/>
      <c r="LAY617" s="294"/>
      <c r="LAZ617" s="294"/>
      <c r="LBA617" s="294"/>
      <c r="LBB617" s="294"/>
      <c r="LBC617" s="294"/>
      <c r="LBD617" s="294"/>
      <c r="LBE617" s="294"/>
      <c r="LBF617" s="294"/>
      <c r="LBG617" s="294"/>
      <c r="LBH617" s="294"/>
      <c r="LBI617" s="294"/>
      <c r="LBJ617" s="294"/>
      <c r="LBK617" s="294"/>
      <c r="LBL617" s="294"/>
      <c r="LBM617" s="294"/>
      <c r="LBN617" s="294"/>
      <c r="LBO617" s="294"/>
      <c r="LBP617" s="294"/>
      <c r="LBQ617" s="294"/>
      <c r="LBR617" s="294"/>
      <c r="LBS617" s="294"/>
      <c r="LBT617" s="294"/>
      <c r="LBU617" s="294"/>
      <c r="LBV617" s="294"/>
      <c r="LBW617" s="294"/>
      <c r="LBX617" s="294"/>
      <c r="LBY617" s="294"/>
      <c r="LBZ617" s="294"/>
      <c r="LCA617" s="294"/>
      <c r="LCB617" s="294"/>
      <c r="LCC617" s="294"/>
      <c r="LCD617" s="294"/>
      <c r="LCE617" s="294"/>
      <c r="LCF617" s="294"/>
      <c r="LCG617" s="294"/>
      <c r="LCH617" s="294"/>
      <c r="LCI617" s="294"/>
      <c r="LCJ617" s="294"/>
      <c r="LCK617" s="294"/>
      <c r="LCL617" s="294"/>
      <c r="LCM617" s="294"/>
      <c r="LCN617" s="294"/>
      <c r="LCO617" s="294"/>
      <c r="LCP617" s="294"/>
      <c r="LCQ617" s="294"/>
      <c r="LCR617" s="294"/>
      <c r="LCS617" s="294"/>
      <c r="LCT617" s="294"/>
      <c r="LCU617" s="294"/>
      <c r="LCV617" s="294"/>
      <c r="LCW617" s="294"/>
      <c r="LCX617" s="294"/>
      <c r="LCY617" s="294"/>
      <c r="LCZ617" s="294"/>
      <c r="LDA617" s="294"/>
      <c r="LDB617" s="294"/>
      <c r="LDC617" s="294"/>
      <c r="LDD617" s="294"/>
      <c r="LDE617" s="294"/>
      <c r="LDF617" s="294"/>
      <c r="LDG617" s="294"/>
      <c r="LDH617" s="294"/>
      <c r="LDI617" s="294"/>
      <c r="LDJ617" s="294"/>
      <c r="LDK617" s="294"/>
      <c r="LDL617" s="294"/>
      <c r="LDM617" s="294"/>
      <c r="LDN617" s="294"/>
      <c r="LDO617" s="294"/>
      <c r="LDP617" s="294"/>
      <c r="LDQ617" s="294"/>
      <c r="LDR617" s="294"/>
      <c r="LDS617" s="294"/>
      <c r="LDT617" s="294"/>
      <c r="LDU617" s="294"/>
      <c r="LDV617" s="294"/>
      <c r="LDW617" s="294"/>
      <c r="LDX617" s="294"/>
      <c r="LDY617" s="294"/>
      <c r="LDZ617" s="294"/>
      <c r="LEA617" s="294"/>
      <c r="LEB617" s="294"/>
      <c r="LEC617" s="294"/>
      <c r="LED617" s="294"/>
      <c r="LEE617" s="294"/>
      <c r="LEF617" s="294"/>
      <c r="LEG617" s="294"/>
      <c r="LEH617" s="294"/>
      <c r="LEI617" s="294"/>
      <c r="LEJ617" s="294"/>
      <c r="LEK617" s="294"/>
      <c r="LEL617" s="294"/>
      <c r="LEM617" s="294"/>
      <c r="LEN617" s="294"/>
      <c r="LEO617" s="294"/>
      <c r="LEP617" s="294"/>
      <c r="LEQ617" s="294"/>
      <c r="LER617" s="294"/>
      <c r="LES617" s="294"/>
      <c r="LET617" s="294"/>
      <c r="LEU617" s="294"/>
      <c r="LEV617" s="294"/>
      <c r="LEW617" s="294"/>
      <c r="LEX617" s="294"/>
      <c r="LEY617" s="294"/>
      <c r="LEZ617" s="294"/>
      <c r="LFA617" s="294"/>
      <c r="LFB617" s="294"/>
      <c r="LFC617" s="294"/>
      <c r="LFD617" s="294"/>
      <c r="LFE617" s="294"/>
      <c r="LFF617" s="294"/>
      <c r="LFG617" s="294"/>
      <c r="LFH617" s="294"/>
      <c r="LFI617" s="294"/>
      <c r="LFJ617" s="294"/>
      <c r="LFK617" s="294"/>
      <c r="LFL617" s="294"/>
      <c r="LFM617" s="294"/>
      <c r="LFN617" s="294"/>
      <c r="LFO617" s="294"/>
      <c r="LFP617" s="294"/>
      <c r="LFQ617" s="294"/>
      <c r="LFR617" s="294"/>
      <c r="LFS617" s="294"/>
      <c r="LFT617" s="294"/>
      <c r="LFU617" s="294"/>
      <c r="LFV617" s="294"/>
      <c r="LFW617" s="294"/>
      <c r="LFX617" s="294"/>
      <c r="LFY617" s="294"/>
      <c r="LFZ617" s="294"/>
      <c r="LGA617" s="294"/>
      <c r="LGB617" s="294"/>
      <c r="LGC617" s="294"/>
      <c r="LGD617" s="294"/>
      <c r="LGE617" s="294"/>
      <c r="LGF617" s="294"/>
      <c r="LGG617" s="294"/>
      <c r="LGH617" s="294"/>
      <c r="LGI617" s="294"/>
      <c r="LGJ617" s="294"/>
      <c r="LGK617" s="294"/>
      <c r="LGL617" s="294"/>
      <c r="LGM617" s="294"/>
      <c r="LGN617" s="294"/>
      <c r="LGO617" s="294"/>
      <c r="LGP617" s="294"/>
      <c r="LGQ617" s="294"/>
      <c r="LGR617" s="294"/>
      <c r="LGS617" s="294"/>
      <c r="LGT617" s="294"/>
      <c r="LGU617" s="294"/>
      <c r="LGV617" s="294"/>
      <c r="LGW617" s="294"/>
      <c r="LGX617" s="294"/>
      <c r="LGY617" s="294"/>
      <c r="LGZ617" s="294"/>
      <c r="LHA617" s="294"/>
      <c r="LHB617" s="294"/>
      <c r="LHC617" s="294"/>
      <c r="LHD617" s="294"/>
      <c r="LHE617" s="294"/>
      <c r="LHF617" s="294"/>
      <c r="LHG617" s="294"/>
      <c r="LHH617" s="294"/>
      <c r="LHI617" s="294"/>
      <c r="LHJ617" s="294"/>
      <c r="LHK617" s="294"/>
      <c r="LHL617" s="294"/>
      <c r="LHM617" s="294"/>
      <c r="LHN617" s="294"/>
      <c r="LHO617" s="294"/>
      <c r="LHP617" s="294"/>
      <c r="LHQ617" s="294"/>
      <c r="LHR617" s="294"/>
      <c r="LHS617" s="294"/>
      <c r="LHT617" s="294"/>
      <c r="LHU617" s="294"/>
      <c r="LHV617" s="294"/>
      <c r="LHW617" s="294"/>
      <c r="LHX617" s="294"/>
      <c r="LHY617" s="294"/>
      <c r="LHZ617" s="294"/>
      <c r="LIA617" s="294"/>
      <c r="LIB617" s="294"/>
      <c r="LIC617" s="294"/>
      <c r="LID617" s="294"/>
      <c r="LIE617" s="294"/>
      <c r="LIF617" s="294"/>
      <c r="LIG617" s="294"/>
      <c r="LIH617" s="294"/>
      <c r="LII617" s="294"/>
      <c r="LIJ617" s="294"/>
      <c r="LIK617" s="294"/>
      <c r="LIL617" s="294"/>
      <c r="LIM617" s="294"/>
      <c r="LIN617" s="294"/>
      <c r="LIO617" s="294"/>
      <c r="LIP617" s="294"/>
      <c r="LIQ617" s="294"/>
      <c r="LIR617" s="294"/>
      <c r="LIS617" s="294"/>
      <c r="LIT617" s="294"/>
      <c r="LIU617" s="294"/>
      <c r="LIV617" s="294"/>
      <c r="LIW617" s="294"/>
      <c r="LIX617" s="294"/>
      <c r="LIY617" s="294"/>
      <c r="LIZ617" s="294"/>
      <c r="LJA617" s="294"/>
      <c r="LJB617" s="294"/>
      <c r="LJC617" s="294"/>
      <c r="LJD617" s="294"/>
      <c r="LJE617" s="294"/>
      <c r="LJF617" s="294"/>
      <c r="LJG617" s="294"/>
      <c r="LJH617" s="294"/>
      <c r="LJI617" s="294"/>
      <c r="LJJ617" s="294"/>
      <c r="LJK617" s="294"/>
      <c r="LJL617" s="294"/>
      <c r="LJM617" s="294"/>
      <c r="LJN617" s="294"/>
      <c r="LJO617" s="294"/>
      <c r="LJP617" s="294"/>
      <c r="LJQ617" s="294"/>
      <c r="LJR617" s="294"/>
      <c r="LJS617" s="294"/>
      <c r="LJT617" s="294"/>
      <c r="LJU617" s="294"/>
      <c r="LJV617" s="294"/>
      <c r="LJW617" s="294"/>
      <c r="LJX617" s="294"/>
      <c r="LJY617" s="294"/>
      <c r="LJZ617" s="294"/>
      <c r="LKA617" s="294"/>
      <c r="LKB617" s="294"/>
      <c r="LKC617" s="294"/>
      <c r="LKD617" s="294"/>
      <c r="LKE617" s="294"/>
      <c r="LKF617" s="294"/>
      <c r="LKG617" s="294"/>
      <c r="LKH617" s="294"/>
      <c r="LKI617" s="294"/>
      <c r="LKJ617" s="294"/>
      <c r="LKK617" s="294"/>
      <c r="LKL617" s="294"/>
      <c r="LKM617" s="294"/>
      <c r="LKN617" s="294"/>
      <c r="LKO617" s="294"/>
      <c r="LKP617" s="294"/>
      <c r="LKQ617" s="294"/>
      <c r="LKR617" s="294"/>
      <c r="LKS617" s="294"/>
      <c r="LKT617" s="294"/>
      <c r="LKU617" s="294"/>
      <c r="LKV617" s="294"/>
      <c r="LKW617" s="294"/>
      <c r="LKX617" s="294"/>
      <c r="LKY617" s="294"/>
      <c r="LKZ617" s="294"/>
      <c r="LLA617" s="294"/>
      <c r="LLB617" s="294"/>
      <c r="LLC617" s="294"/>
      <c r="LLD617" s="294"/>
      <c r="LLE617" s="294"/>
      <c r="LLF617" s="294"/>
      <c r="LLG617" s="294"/>
      <c r="LLH617" s="294"/>
      <c r="LLI617" s="294"/>
      <c r="LLJ617" s="294"/>
      <c r="LLK617" s="294"/>
      <c r="LLL617" s="294"/>
      <c r="LLM617" s="294"/>
      <c r="LLN617" s="294"/>
      <c r="LLO617" s="294"/>
      <c r="LLP617" s="294"/>
      <c r="LLQ617" s="294"/>
      <c r="LLR617" s="294"/>
      <c r="LLS617" s="294"/>
      <c r="LLT617" s="294"/>
      <c r="LLU617" s="294"/>
      <c r="LLV617" s="294"/>
      <c r="LLW617" s="294"/>
      <c r="LLX617" s="294"/>
      <c r="LLY617" s="294"/>
      <c r="LLZ617" s="294"/>
      <c r="LMA617" s="294"/>
      <c r="LMB617" s="294"/>
      <c r="LMC617" s="294"/>
      <c r="LMD617" s="294"/>
      <c r="LME617" s="294"/>
      <c r="LMF617" s="294"/>
      <c r="LMG617" s="294"/>
      <c r="LMH617" s="294"/>
      <c r="LMI617" s="294"/>
      <c r="LMJ617" s="294"/>
      <c r="LMK617" s="294"/>
      <c r="LML617" s="294"/>
      <c r="LMM617" s="294"/>
      <c r="LMN617" s="294"/>
      <c r="LMO617" s="294"/>
      <c r="LMP617" s="294"/>
      <c r="LMQ617" s="294"/>
      <c r="LMR617" s="294"/>
      <c r="LMS617" s="294"/>
      <c r="LMT617" s="294"/>
      <c r="LMU617" s="294"/>
      <c r="LMV617" s="294"/>
      <c r="LMW617" s="294"/>
      <c r="LMX617" s="294"/>
      <c r="LMY617" s="294"/>
      <c r="LMZ617" s="294"/>
      <c r="LNA617" s="294"/>
      <c r="LNB617" s="294"/>
      <c r="LNC617" s="294"/>
      <c r="LND617" s="294"/>
      <c r="LNE617" s="294"/>
      <c r="LNF617" s="294"/>
      <c r="LNG617" s="294"/>
      <c r="LNH617" s="294"/>
      <c r="LNI617" s="294"/>
      <c r="LNJ617" s="294"/>
      <c r="LNK617" s="294"/>
      <c r="LNL617" s="294"/>
      <c r="LNM617" s="294"/>
      <c r="LNN617" s="294"/>
      <c r="LNO617" s="294"/>
      <c r="LNP617" s="294"/>
      <c r="LNQ617" s="294"/>
      <c r="LNR617" s="294"/>
      <c r="LNS617" s="294"/>
      <c r="LNT617" s="294"/>
      <c r="LNU617" s="294"/>
      <c r="LNV617" s="294"/>
      <c r="LNW617" s="294"/>
      <c r="LNX617" s="294"/>
      <c r="LNY617" s="294"/>
      <c r="LNZ617" s="294"/>
      <c r="LOA617" s="294"/>
      <c r="LOB617" s="294"/>
      <c r="LOC617" s="294"/>
      <c r="LOD617" s="294"/>
      <c r="LOE617" s="294"/>
      <c r="LOF617" s="294"/>
      <c r="LOG617" s="294"/>
      <c r="LOH617" s="294"/>
      <c r="LOI617" s="294"/>
      <c r="LOJ617" s="294"/>
      <c r="LOK617" s="294"/>
      <c r="LOL617" s="294"/>
      <c r="LOM617" s="294"/>
      <c r="LON617" s="294"/>
      <c r="LOO617" s="294"/>
      <c r="LOP617" s="294"/>
      <c r="LOQ617" s="294"/>
      <c r="LOR617" s="294"/>
      <c r="LOS617" s="294"/>
      <c r="LOT617" s="294"/>
      <c r="LOU617" s="294"/>
      <c r="LOV617" s="294"/>
      <c r="LOW617" s="294"/>
      <c r="LOX617" s="294"/>
      <c r="LOY617" s="294"/>
      <c r="LOZ617" s="294"/>
      <c r="LPA617" s="294"/>
      <c r="LPB617" s="294"/>
      <c r="LPC617" s="294"/>
      <c r="LPD617" s="294"/>
      <c r="LPE617" s="294"/>
      <c r="LPF617" s="294"/>
      <c r="LPG617" s="294"/>
      <c r="LPH617" s="294"/>
      <c r="LPI617" s="294"/>
      <c r="LPJ617" s="294"/>
      <c r="LPK617" s="294"/>
      <c r="LPL617" s="294"/>
      <c r="LPM617" s="294"/>
      <c r="LPN617" s="294"/>
      <c r="LPO617" s="294"/>
      <c r="LPP617" s="294"/>
      <c r="LPQ617" s="294"/>
      <c r="LPR617" s="294"/>
      <c r="LPS617" s="294"/>
      <c r="LPT617" s="294"/>
      <c r="LPU617" s="294"/>
      <c r="LPV617" s="294"/>
      <c r="LPW617" s="294"/>
      <c r="LPX617" s="294"/>
      <c r="LPY617" s="294"/>
      <c r="LPZ617" s="294"/>
      <c r="LQA617" s="294"/>
      <c r="LQB617" s="294"/>
      <c r="LQC617" s="294"/>
      <c r="LQD617" s="294"/>
      <c r="LQE617" s="294"/>
      <c r="LQF617" s="294"/>
      <c r="LQG617" s="294"/>
      <c r="LQH617" s="294"/>
      <c r="LQI617" s="294"/>
      <c r="LQJ617" s="294"/>
      <c r="LQK617" s="294"/>
      <c r="LQL617" s="294"/>
      <c r="LQM617" s="294"/>
      <c r="LQN617" s="294"/>
      <c r="LQO617" s="294"/>
      <c r="LQP617" s="294"/>
      <c r="LQQ617" s="294"/>
      <c r="LQR617" s="294"/>
      <c r="LQS617" s="294"/>
      <c r="LQT617" s="294"/>
      <c r="LQU617" s="294"/>
      <c r="LQV617" s="294"/>
      <c r="LQW617" s="294"/>
      <c r="LQX617" s="294"/>
      <c r="LQY617" s="294"/>
      <c r="LQZ617" s="294"/>
      <c r="LRA617" s="294"/>
      <c r="LRB617" s="294"/>
      <c r="LRC617" s="294"/>
      <c r="LRD617" s="294"/>
      <c r="LRE617" s="294"/>
      <c r="LRF617" s="294"/>
      <c r="LRG617" s="294"/>
      <c r="LRH617" s="294"/>
      <c r="LRI617" s="294"/>
      <c r="LRJ617" s="294"/>
      <c r="LRK617" s="294"/>
      <c r="LRL617" s="294"/>
      <c r="LRM617" s="294"/>
      <c r="LRN617" s="294"/>
      <c r="LRO617" s="294"/>
      <c r="LRP617" s="294"/>
      <c r="LRQ617" s="294"/>
      <c r="LRR617" s="294"/>
      <c r="LRS617" s="294"/>
      <c r="LRT617" s="294"/>
      <c r="LRU617" s="294"/>
      <c r="LRV617" s="294"/>
      <c r="LRW617" s="294"/>
      <c r="LRX617" s="294"/>
      <c r="LRY617" s="294"/>
      <c r="LRZ617" s="294"/>
      <c r="LSA617" s="294"/>
      <c r="LSB617" s="294"/>
      <c r="LSC617" s="294"/>
      <c r="LSD617" s="294"/>
      <c r="LSE617" s="294"/>
      <c r="LSF617" s="294"/>
      <c r="LSG617" s="294"/>
      <c r="LSH617" s="294"/>
      <c r="LSI617" s="294"/>
      <c r="LSJ617" s="294"/>
      <c r="LSK617" s="294"/>
      <c r="LSL617" s="294"/>
      <c r="LSM617" s="294"/>
      <c r="LSN617" s="294"/>
      <c r="LSO617" s="294"/>
      <c r="LSP617" s="294"/>
      <c r="LSQ617" s="294"/>
      <c r="LSR617" s="294"/>
      <c r="LSS617" s="294"/>
      <c r="LST617" s="294"/>
      <c r="LSU617" s="294"/>
      <c r="LSV617" s="294"/>
      <c r="LSW617" s="294"/>
      <c r="LSX617" s="294"/>
      <c r="LSY617" s="294"/>
      <c r="LSZ617" s="294"/>
      <c r="LTA617" s="294"/>
      <c r="LTB617" s="294"/>
      <c r="LTC617" s="294"/>
      <c r="LTD617" s="294"/>
      <c r="LTE617" s="294"/>
      <c r="LTF617" s="294"/>
      <c r="LTG617" s="294"/>
      <c r="LTH617" s="294"/>
      <c r="LTI617" s="294"/>
      <c r="LTJ617" s="294"/>
      <c r="LTK617" s="294"/>
      <c r="LTL617" s="294"/>
      <c r="LTM617" s="294"/>
      <c r="LTN617" s="294"/>
      <c r="LTO617" s="294"/>
      <c r="LTP617" s="294"/>
      <c r="LTQ617" s="294"/>
      <c r="LTR617" s="294"/>
      <c r="LTS617" s="294"/>
      <c r="LTT617" s="294"/>
      <c r="LTU617" s="294"/>
      <c r="LTV617" s="294"/>
      <c r="LTW617" s="294"/>
      <c r="LTX617" s="294"/>
      <c r="LTY617" s="294"/>
      <c r="LTZ617" s="294"/>
      <c r="LUA617" s="294"/>
      <c r="LUB617" s="294"/>
      <c r="LUC617" s="294"/>
      <c r="LUD617" s="294"/>
      <c r="LUE617" s="294"/>
      <c r="LUF617" s="294"/>
      <c r="LUG617" s="294"/>
      <c r="LUH617" s="294"/>
      <c r="LUI617" s="294"/>
      <c r="LUJ617" s="294"/>
      <c r="LUK617" s="294"/>
      <c r="LUL617" s="294"/>
      <c r="LUM617" s="294"/>
      <c r="LUN617" s="294"/>
      <c r="LUO617" s="294"/>
      <c r="LUP617" s="294"/>
      <c r="LUQ617" s="294"/>
      <c r="LUR617" s="294"/>
      <c r="LUS617" s="294"/>
      <c r="LUT617" s="294"/>
      <c r="LUU617" s="294"/>
      <c r="LUV617" s="294"/>
      <c r="LUW617" s="294"/>
      <c r="LUX617" s="294"/>
      <c r="LUY617" s="294"/>
      <c r="LUZ617" s="294"/>
      <c r="LVA617" s="294"/>
      <c r="LVB617" s="294"/>
      <c r="LVC617" s="294"/>
      <c r="LVD617" s="294"/>
      <c r="LVE617" s="294"/>
      <c r="LVF617" s="294"/>
      <c r="LVG617" s="294"/>
      <c r="LVH617" s="294"/>
      <c r="LVI617" s="294"/>
      <c r="LVJ617" s="294"/>
      <c r="LVK617" s="294"/>
      <c r="LVL617" s="294"/>
      <c r="LVM617" s="294"/>
      <c r="LVN617" s="294"/>
      <c r="LVO617" s="294"/>
      <c r="LVP617" s="294"/>
      <c r="LVQ617" s="294"/>
      <c r="LVR617" s="294"/>
      <c r="LVS617" s="294"/>
      <c r="LVT617" s="294"/>
      <c r="LVU617" s="294"/>
      <c r="LVV617" s="294"/>
      <c r="LVW617" s="294"/>
      <c r="LVX617" s="294"/>
      <c r="LVY617" s="294"/>
      <c r="LVZ617" s="294"/>
      <c r="LWA617" s="294"/>
      <c r="LWB617" s="294"/>
      <c r="LWC617" s="294"/>
      <c r="LWD617" s="294"/>
      <c r="LWE617" s="294"/>
      <c r="LWF617" s="294"/>
      <c r="LWG617" s="294"/>
      <c r="LWH617" s="294"/>
      <c r="LWI617" s="294"/>
      <c r="LWJ617" s="294"/>
      <c r="LWK617" s="294"/>
      <c r="LWL617" s="294"/>
      <c r="LWM617" s="294"/>
      <c r="LWN617" s="294"/>
      <c r="LWO617" s="294"/>
      <c r="LWP617" s="294"/>
      <c r="LWQ617" s="294"/>
      <c r="LWR617" s="294"/>
      <c r="LWS617" s="294"/>
      <c r="LWT617" s="294"/>
      <c r="LWU617" s="294"/>
      <c r="LWV617" s="294"/>
      <c r="LWW617" s="294"/>
      <c r="LWX617" s="294"/>
      <c r="LWY617" s="294"/>
      <c r="LWZ617" s="294"/>
      <c r="LXA617" s="294"/>
      <c r="LXB617" s="294"/>
      <c r="LXC617" s="294"/>
      <c r="LXD617" s="294"/>
      <c r="LXE617" s="294"/>
      <c r="LXF617" s="294"/>
      <c r="LXG617" s="294"/>
      <c r="LXH617" s="294"/>
      <c r="LXI617" s="294"/>
      <c r="LXJ617" s="294"/>
      <c r="LXK617" s="294"/>
      <c r="LXL617" s="294"/>
      <c r="LXM617" s="294"/>
      <c r="LXN617" s="294"/>
      <c r="LXO617" s="294"/>
      <c r="LXP617" s="294"/>
      <c r="LXQ617" s="294"/>
      <c r="LXR617" s="294"/>
      <c r="LXS617" s="294"/>
      <c r="LXT617" s="294"/>
      <c r="LXU617" s="294"/>
      <c r="LXV617" s="294"/>
      <c r="LXW617" s="294"/>
      <c r="LXX617" s="294"/>
      <c r="LXY617" s="294"/>
      <c r="LXZ617" s="294"/>
      <c r="LYA617" s="294"/>
      <c r="LYB617" s="294"/>
      <c r="LYC617" s="294"/>
      <c r="LYD617" s="294"/>
      <c r="LYE617" s="294"/>
      <c r="LYF617" s="294"/>
      <c r="LYG617" s="294"/>
      <c r="LYH617" s="294"/>
      <c r="LYI617" s="294"/>
      <c r="LYJ617" s="294"/>
      <c r="LYK617" s="294"/>
      <c r="LYL617" s="294"/>
      <c r="LYM617" s="294"/>
      <c r="LYN617" s="294"/>
      <c r="LYO617" s="294"/>
      <c r="LYP617" s="294"/>
      <c r="LYQ617" s="294"/>
      <c r="LYR617" s="294"/>
      <c r="LYS617" s="294"/>
      <c r="LYT617" s="294"/>
      <c r="LYU617" s="294"/>
      <c r="LYV617" s="294"/>
      <c r="LYW617" s="294"/>
      <c r="LYX617" s="294"/>
      <c r="LYY617" s="294"/>
      <c r="LYZ617" s="294"/>
      <c r="LZA617" s="294"/>
      <c r="LZB617" s="294"/>
      <c r="LZC617" s="294"/>
      <c r="LZD617" s="294"/>
      <c r="LZE617" s="294"/>
      <c r="LZF617" s="294"/>
      <c r="LZG617" s="294"/>
      <c r="LZH617" s="294"/>
      <c r="LZI617" s="294"/>
      <c r="LZJ617" s="294"/>
      <c r="LZK617" s="294"/>
      <c r="LZL617" s="294"/>
      <c r="LZM617" s="294"/>
      <c r="LZN617" s="294"/>
      <c r="LZO617" s="294"/>
      <c r="LZP617" s="294"/>
      <c r="LZQ617" s="294"/>
      <c r="LZR617" s="294"/>
      <c r="LZS617" s="294"/>
      <c r="LZT617" s="294"/>
      <c r="LZU617" s="294"/>
      <c r="LZV617" s="294"/>
      <c r="LZW617" s="294"/>
      <c r="LZX617" s="294"/>
      <c r="LZY617" s="294"/>
      <c r="LZZ617" s="294"/>
      <c r="MAA617" s="294"/>
      <c r="MAB617" s="294"/>
      <c r="MAC617" s="294"/>
      <c r="MAD617" s="294"/>
      <c r="MAE617" s="294"/>
      <c r="MAF617" s="294"/>
      <c r="MAG617" s="294"/>
      <c r="MAH617" s="294"/>
      <c r="MAI617" s="294"/>
      <c r="MAJ617" s="294"/>
      <c r="MAK617" s="294"/>
      <c r="MAL617" s="294"/>
      <c r="MAM617" s="294"/>
      <c r="MAN617" s="294"/>
      <c r="MAO617" s="294"/>
      <c r="MAP617" s="294"/>
      <c r="MAQ617" s="294"/>
      <c r="MAR617" s="294"/>
      <c r="MAS617" s="294"/>
      <c r="MAT617" s="294"/>
      <c r="MAU617" s="294"/>
      <c r="MAV617" s="294"/>
      <c r="MAW617" s="294"/>
      <c r="MAX617" s="294"/>
      <c r="MAY617" s="294"/>
      <c r="MAZ617" s="294"/>
      <c r="MBA617" s="294"/>
      <c r="MBB617" s="294"/>
      <c r="MBC617" s="294"/>
      <c r="MBD617" s="294"/>
      <c r="MBE617" s="294"/>
      <c r="MBF617" s="294"/>
      <c r="MBG617" s="294"/>
      <c r="MBH617" s="294"/>
      <c r="MBI617" s="294"/>
      <c r="MBJ617" s="294"/>
      <c r="MBK617" s="294"/>
      <c r="MBL617" s="294"/>
      <c r="MBM617" s="294"/>
      <c r="MBN617" s="294"/>
      <c r="MBO617" s="294"/>
      <c r="MBP617" s="294"/>
      <c r="MBQ617" s="294"/>
      <c r="MBR617" s="294"/>
      <c r="MBS617" s="294"/>
      <c r="MBT617" s="294"/>
      <c r="MBU617" s="294"/>
      <c r="MBV617" s="294"/>
      <c r="MBW617" s="294"/>
      <c r="MBX617" s="294"/>
      <c r="MBY617" s="294"/>
      <c r="MBZ617" s="294"/>
      <c r="MCA617" s="294"/>
      <c r="MCB617" s="294"/>
      <c r="MCC617" s="294"/>
      <c r="MCD617" s="294"/>
      <c r="MCE617" s="294"/>
      <c r="MCF617" s="294"/>
      <c r="MCG617" s="294"/>
      <c r="MCH617" s="294"/>
      <c r="MCI617" s="294"/>
      <c r="MCJ617" s="294"/>
      <c r="MCK617" s="294"/>
      <c r="MCL617" s="294"/>
      <c r="MCM617" s="294"/>
      <c r="MCN617" s="294"/>
      <c r="MCO617" s="294"/>
      <c r="MCP617" s="294"/>
      <c r="MCQ617" s="294"/>
      <c r="MCR617" s="294"/>
      <c r="MCS617" s="294"/>
      <c r="MCT617" s="294"/>
      <c r="MCU617" s="294"/>
      <c r="MCV617" s="294"/>
      <c r="MCW617" s="294"/>
      <c r="MCX617" s="294"/>
      <c r="MCY617" s="294"/>
      <c r="MCZ617" s="294"/>
      <c r="MDA617" s="294"/>
      <c r="MDB617" s="294"/>
      <c r="MDC617" s="294"/>
      <c r="MDD617" s="294"/>
      <c r="MDE617" s="294"/>
      <c r="MDF617" s="294"/>
      <c r="MDG617" s="294"/>
      <c r="MDH617" s="294"/>
      <c r="MDI617" s="294"/>
      <c r="MDJ617" s="294"/>
      <c r="MDK617" s="294"/>
      <c r="MDL617" s="294"/>
      <c r="MDM617" s="294"/>
      <c r="MDN617" s="294"/>
      <c r="MDO617" s="294"/>
      <c r="MDP617" s="294"/>
      <c r="MDQ617" s="294"/>
      <c r="MDR617" s="294"/>
      <c r="MDS617" s="294"/>
      <c r="MDT617" s="294"/>
      <c r="MDU617" s="294"/>
      <c r="MDV617" s="294"/>
      <c r="MDW617" s="294"/>
      <c r="MDX617" s="294"/>
      <c r="MDY617" s="294"/>
      <c r="MDZ617" s="294"/>
      <c r="MEA617" s="294"/>
      <c r="MEB617" s="294"/>
      <c r="MEC617" s="294"/>
      <c r="MED617" s="294"/>
      <c r="MEE617" s="294"/>
      <c r="MEF617" s="294"/>
      <c r="MEG617" s="294"/>
      <c r="MEH617" s="294"/>
      <c r="MEI617" s="294"/>
      <c r="MEJ617" s="294"/>
      <c r="MEK617" s="294"/>
      <c r="MEL617" s="294"/>
      <c r="MEM617" s="294"/>
      <c r="MEN617" s="294"/>
      <c r="MEO617" s="294"/>
      <c r="MEP617" s="294"/>
      <c r="MEQ617" s="294"/>
      <c r="MER617" s="294"/>
      <c r="MES617" s="294"/>
      <c r="MET617" s="294"/>
      <c r="MEU617" s="294"/>
      <c r="MEV617" s="294"/>
      <c r="MEW617" s="294"/>
      <c r="MEX617" s="294"/>
      <c r="MEY617" s="294"/>
      <c r="MEZ617" s="294"/>
      <c r="MFA617" s="294"/>
      <c r="MFB617" s="294"/>
      <c r="MFC617" s="294"/>
      <c r="MFD617" s="294"/>
      <c r="MFE617" s="294"/>
      <c r="MFF617" s="294"/>
      <c r="MFG617" s="294"/>
      <c r="MFH617" s="294"/>
      <c r="MFI617" s="294"/>
      <c r="MFJ617" s="294"/>
      <c r="MFK617" s="294"/>
      <c r="MFL617" s="294"/>
      <c r="MFM617" s="294"/>
      <c r="MFN617" s="294"/>
      <c r="MFO617" s="294"/>
      <c r="MFP617" s="294"/>
      <c r="MFQ617" s="294"/>
      <c r="MFR617" s="294"/>
      <c r="MFS617" s="294"/>
      <c r="MFT617" s="294"/>
      <c r="MFU617" s="294"/>
      <c r="MFV617" s="294"/>
      <c r="MFW617" s="294"/>
      <c r="MFX617" s="294"/>
      <c r="MFY617" s="294"/>
      <c r="MFZ617" s="294"/>
      <c r="MGA617" s="294"/>
      <c r="MGB617" s="294"/>
      <c r="MGC617" s="294"/>
      <c r="MGD617" s="294"/>
      <c r="MGE617" s="294"/>
      <c r="MGF617" s="294"/>
      <c r="MGG617" s="294"/>
      <c r="MGH617" s="294"/>
      <c r="MGI617" s="294"/>
      <c r="MGJ617" s="294"/>
      <c r="MGK617" s="294"/>
      <c r="MGL617" s="294"/>
      <c r="MGM617" s="294"/>
      <c r="MGN617" s="294"/>
      <c r="MGO617" s="294"/>
      <c r="MGP617" s="294"/>
      <c r="MGQ617" s="294"/>
      <c r="MGR617" s="294"/>
      <c r="MGS617" s="294"/>
      <c r="MGT617" s="294"/>
      <c r="MGU617" s="294"/>
      <c r="MGV617" s="294"/>
      <c r="MGW617" s="294"/>
      <c r="MGX617" s="294"/>
      <c r="MGY617" s="294"/>
      <c r="MGZ617" s="294"/>
      <c r="MHA617" s="294"/>
      <c r="MHB617" s="294"/>
      <c r="MHC617" s="294"/>
      <c r="MHD617" s="294"/>
      <c r="MHE617" s="294"/>
      <c r="MHF617" s="294"/>
      <c r="MHG617" s="294"/>
      <c r="MHH617" s="294"/>
      <c r="MHI617" s="294"/>
      <c r="MHJ617" s="294"/>
      <c r="MHK617" s="294"/>
      <c r="MHL617" s="294"/>
      <c r="MHM617" s="294"/>
      <c r="MHN617" s="294"/>
      <c r="MHO617" s="294"/>
      <c r="MHP617" s="294"/>
      <c r="MHQ617" s="294"/>
      <c r="MHR617" s="294"/>
      <c r="MHS617" s="294"/>
      <c r="MHT617" s="294"/>
      <c r="MHU617" s="294"/>
      <c r="MHV617" s="294"/>
      <c r="MHW617" s="294"/>
      <c r="MHX617" s="294"/>
      <c r="MHY617" s="294"/>
      <c r="MHZ617" s="294"/>
      <c r="MIA617" s="294"/>
      <c r="MIB617" s="294"/>
      <c r="MIC617" s="294"/>
      <c r="MID617" s="294"/>
      <c r="MIE617" s="294"/>
      <c r="MIF617" s="294"/>
      <c r="MIG617" s="294"/>
      <c r="MIH617" s="294"/>
      <c r="MII617" s="294"/>
      <c r="MIJ617" s="294"/>
      <c r="MIK617" s="294"/>
      <c r="MIL617" s="294"/>
      <c r="MIM617" s="294"/>
      <c r="MIN617" s="294"/>
      <c r="MIO617" s="294"/>
      <c r="MIP617" s="294"/>
      <c r="MIQ617" s="294"/>
      <c r="MIR617" s="294"/>
      <c r="MIS617" s="294"/>
      <c r="MIT617" s="294"/>
      <c r="MIU617" s="294"/>
      <c r="MIV617" s="294"/>
      <c r="MIW617" s="294"/>
      <c r="MIX617" s="294"/>
      <c r="MIY617" s="294"/>
      <c r="MIZ617" s="294"/>
      <c r="MJA617" s="294"/>
      <c r="MJB617" s="294"/>
      <c r="MJC617" s="294"/>
      <c r="MJD617" s="294"/>
      <c r="MJE617" s="294"/>
      <c r="MJF617" s="294"/>
      <c r="MJG617" s="294"/>
      <c r="MJH617" s="294"/>
      <c r="MJI617" s="294"/>
      <c r="MJJ617" s="294"/>
      <c r="MJK617" s="294"/>
      <c r="MJL617" s="294"/>
      <c r="MJM617" s="294"/>
      <c r="MJN617" s="294"/>
      <c r="MJO617" s="294"/>
      <c r="MJP617" s="294"/>
      <c r="MJQ617" s="294"/>
      <c r="MJR617" s="294"/>
      <c r="MJS617" s="294"/>
      <c r="MJT617" s="294"/>
      <c r="MJU617" s="294"/>
      <c r="MJV617" s="294"/>
      <c r="MJW617" s="294"/>
      <c r="MJX617" s="294"/>
      <c r="MJY617" s="294"/>
      <c r="MJZ617" s="294"/>
      <c r="MKA617" s="294"/>
      <c r="MKB617" s="294"/>
      <c r="MKC617" s="294"/>
      <c r="MKD617" s="294"/>
      <c r="MKE617" s="294"/>
      <c r="MKF617" s="294"/>
      <c r="MKG617" s="294"/>
      <c r="MKH617" s="294"/>
      <c r="MKI617" s="294"/>
      <c r="MKJ617" s="294"/>
      <c r="MKK617" s="294"/>
      <c r="MKL617" s="294"/>
      <c r="MKM617" s="294"/>
      <c r="MKN617" s="294"/>
      <c r="MKO617" s="294"/>
      <c r="MKP617" s="294"/>
      <c r="MKQ617" s="294"/>
      <c r="MKR617" s="294"/>
      <c r="MKS617" s="294"/>
      <c r="MKT617" s="294"/>
      <c r="MKU617" s="294"/>
      <c r="MKV617" s="294"/>
      <c r="MKW617" s="294"/>
      <c r="MKX617" s="294"/>
      <c r="MKY617" s="294"/>
      <c r="MKZ617" s="294"/>
      <c r="MLA617" s="294"/>
      <c r="MLB617" s="294"/>
      <c r="MLC617" s="294"/>
      <c r="MLD617" s="294"/>
      <c r="MLE617" s="294"/>
      <c r="MLF617" s="294"/>
      <c r="MLG617" s="294"/>
      <c r="MLH617" s="294"/>
      <c r="MLI617" s="294"/>
      <c r="MLJ617" s="294"/>
      <c r="MLK617" s="294"/>
      <c r="MLL617" s="294"/>
      <c r="MLM617" s="294"/>
      <c r="MLN617" s="294"/>
      <c r="MLO617" s="294"/>
      <c r="MLP617" s="294"/>
      <c r="MLQ617" s="294"/>
      <c r="MLR617" s="294"/>
      <c r="MLS617" s="294"/>
      <c r="MLT617" s="294"/>
      <c r="MLU617" s="294"/>
      <c r="MLV617" s="294"/>
      <c r="MLW617" s="294"/>
      <c r="MLX617" s="294"/>
      <c r="MLY617" s="294"/>
      <c r="MLZ617" s="294"/>
      <c r="MMA617" s="294"/>
      <c r="MMB617" s="294"/>
      <c r="MMC617" s="294"/>
      <c r="MMD617" s="294"/>
      <c r="MME617" s="294"/>
      <c r="MMF617" s="294"/>
      <c r="MMG617" s="294"/>
      <c r="MMH617" s="294"/>
      <c r="MMI617" s="294"/>
      <c r="MMJ617" s="294"/>
      <c r="MMK617" s="294"/>
      <c r="MML617" s="294"/>
      <c r="MMM617" s="294"/>
      <c r="MMN617" s="294"/>
      <c r="MMO617" s="294"/>
      <c r="MMP617" s="294"/>
      <c r="MMQ617" s="294"/>
      <c r="MMR617" s="294"/>
      <c r="MMS617" s="294"/>
      <c r="MMT617" s="294"/>
      <c r="MMU617" s="294"/>
      <c r="MMV617" s="294"/>
      <c r="MMW617" s="294"/>
      <c r="MMX617" s="294"/>
      <c r="MMY617" s="294"/>
      <c r="MMZ617" s="294"/>
      <c r="MNA617" s="294"/>
      <c r="MNB617" s="294"/>
      <c r="MNC617" s="294"/>
      <c r="MND617" s="294"/>
      <c r="MNE617" s="294"/>
      <c r="MNF617" s="294"/>
      <c r="MNG617" s="294"/>
      <c r="MNH617" s="294"/>
      <c r="MNI617" s="294"/>
      <c r="MNJ617" s="294"/>
      <c r="MNK617" s="294"/>
      <c r="MNL617" s="294"/>
      <c r="MNM617" s="294"/>
      <c r="MNN617" s="294"/>
      <c r="MNO617" s="294"/>
      <c r="MNP617" s="294"/>
      <c r="MNQ617" s="294"/>
      <c r="MNR617" s="294"/>
      <c r="MNS617" s="294"/>
      <c r="MNT617" s="294"/>
      <c r="MNU617" s="294"/>
      <c r="MNV617" s="294"/>
      <c r="MNW617" s="294"/>
      <c r="MNX617" s="294"/>
      <c r="MNY617" s="294"/>
      <c r="MNZ617" s="294"/>
      <c r="MOA617" s="294"/>
      <c r="MOB617" s="294"/>
      <c r="MOC617" s="294"/>
      <c r="MOD617" s="294"/>
      <c r="MOE617" s="294"/>
      <c r="MOF617" s="294"/>
      <c r="MOG617" s="294"/>
      <c r="MOH617" s="294"/>
      <c r="MOI617" s="294"/>
      <c r="MOJ617" s="294"/>
      <c r="MOK617" s="294"/>
      <c r="MOL617" s="294"/>
      <c r="MOM617" s="294"/>
      <c r="MON617" s="294"/>
      <c r="MOO617" s="294"/>
      <c r="MOP617" s="294"/>
      <c r="MOQ617" s="294"/>
      <c r="MOR617" s="294"/>
      <c r="MOS617" s="294"/>
      <c r="MOT617" s="294"/>
      <c r="MOU617" s="294"/>
      <c r="MOV617" s="294"/>
      <c r="MOW617" s="294"/>
      <c r="MOX617" s="294"/>
      <c r="MOY617" s="294"/>
      <c r="MOZ617" s="294"/>
      <c r="MPA617" s="294"/>
      <c r="MPB617" s="294"/>
      <c r="MPC617" s="294"/>
      <c r="MPD617" s="294"/>
      <c r="MPE617" s="294"/>
      <c r="MPF617" s="294"/>
      <c r="MPG617" s="294"/>
      <c r="MPH617" s="294"/>
      <c r="MPI617" s="294"/>
      <c r="MPJ617" s="294"/>
      <c r="MPK617" s="294"/>
      <c r="MPL617" s="294"/>
      <c r="MPM617" s="294"/>
      <c r="MPN617" s="294"/>
      <c r="MPO617" s="294"/>
      <c r="MPP617" s="294"/>
      <c r="MPQ617" s="294"/>
      <c r="MPR617" s="294"/>
      <c r="MPS617" s="294"/>
      <c r="MPT617" s="294"/>
      <c r="MPU617" s="294"/>
      <c r="MPV617" s="294"/>
      <c r="MPW617" s="294"/>
      <c r="MPX617" s="294"/>
      <c r="MPY617" s="294"/>
      <c r="MPZ617" s="294"/>
      <c r="MQA617" s="294"/>
      <c r="MQB617" s="294"/>
      <c r="MQC617" s="294"/>
      <c r="MQD617" s="294"/>
      <c r="MQE617" s="294"/>
      <c r="MQF617" s="294"/>
      <c r="MQG617" s="294"/>
      <c r="MQH617" s="294"/>
      <c r="MQI617" s="294"/>
      <c r="MQJ617" s="294"/>
      <c r="MQK617" s="294"/>
      <c r="MQL617" s="294"/>
      <c r="MQM617" s="294"/>
      <c r="MQN617" s="294"/>
      <c r="MQO617" s="294"/>
      <c r="MQP617" s="294"/>
      <c r="MQQ617" s="294"/>
      <c r="MQR617" s="294"/>
      <c r="MQS617" s="294"/>
      <c r="MQT617" s="294"/>
      <c r="MQU617" s="294"/>
      <c r="MQV617" s="294"/>
      <c r="MQW617" s="294"/>
      <c r="MQX617" s="294"/>
      <c r="MQY617" s="294"/>
      <c r="MQZ617" s="294"/>
      <c r="MRA617" s="294"/>
      <c r="MRB617" s="294"/>
      <c r="MRC617" s="294"/>
      <c r="MRD617" s="294"/>
      <c r="MRE617" s="294"/>
      <c r="MRF617" s="294"/>
      <c r="MRG617" s="294"/>
      <c r="MRH617" s="294"/>
      <c r="MRI617" s="294"/>
      <c r="MRJ617" s="294"/>
      <c r="MRK617" s="294"/>
      <c r="MRL617" s="294"/>
      <c r="MRM617" s="294"/>
      <c r="MRN617" s="294"/>
      <c r="MRO617" s="294"/>
      <c r="MRP617" s="294"/>
      <c r="MRQ617" s="294"/>
      <c r="MRR617" s="294"/>
      <c r="MRS617" s="294"/>
      <c r="MRT617" s="294"/>
      <c r="MRU617" s="294"/>
      <c r="MRV617" s="294"/>
      <c r="MRW617" s="294"/>
      <c r="MRX617" s="294"/>
      <c r="MRY617" s="294"/>
      <c r="MRZ617" s="294"/>
      <c r="MSA617" s="294"/>
      <c r="MSB617" s="294"/>
      <c r="MSC617" s="294"/>
      <c r="MSD617" s="294"/>
      <c r="MSE617" s="294"/>
      <c r="MSF617" s="294"/>
      <c r="MSG617" s="294"/>
      <c r="MSH617" s="294"/>
      <c r="MSI617" s="294"/>
      <c r="MSJ617" s="294"/>
      <c r="MSK617" s="294"/>
      <c r="MSL617" s="294"/>
      <c r="MSM617" s="294"/>
      <c r="MSN617" s="294"/>
      <c r="MSO617" s="294"/>
      <c r="MSP617" s="294"/>
      <c r="MSQ617" s="294"/>
      <c r="MSR617" s="294"/>
      <c r="MSS617" s="294"/>
      <c r="MST617" s="294"/>
      <c r="MSU617" s="294"/>
      <c r="MSV617" s="294"/>
      <c r="MSW617" s="294"/>
      <c r="MSX617" s="294"/>
      <c r="MSY617" s="294"/>
      <c r="MSZ617" s="294"/>
      <c r="MTA617" s="294"/>
      <c r="MTB617" s="294"/>
      <c r="MTC617" s="294"/>
      <c r="MTD617" s="294"/>
      <c r="MTE617" s="294"/>
      <c r="MTF617" s="294"/>
      <c r="MTG617" s="294"/>
      <c r="MTH617" s="294"/>
      <c r="MTI617" s="294"/>
      <c r="MTJ617" s="294"/>
      <c r="MTK617" s="294"/>
      <c r="MTL617" s="294"/>
      <c r="MTM617" s="294"/>
      <c r="MTN617" s="294"/>
      <c r="MTO617" s="294"/>
      <c r="MTP617" s="294"/>
      <c r="MTQ617" s="294"/>
      <c r="MTR617" s="294"/>
      <c r="MTS617" s="294"/>
      <c r="MTT617" s="294"/>
      <c r="MTU617" s="294"/>
      <c r="MTV617" s="294"/>
      <c r="MTW617" s="294"/>
      <c r="MTX617" s="294"/>
      <c r="MTY617" s="294"/>
      <c r="MTZ617" s="294"/>
      <c r="MUA617" s="294"/>
      <c r="MUB617" s="294"/>
      <c r="MUC617" s="294"/>
      <c r="MUD617" s="294"/>
      <c r="MUE617" s="294"/>
      <c r="MUF617" s="294"/>
      <c r="MUG617" s="294"/>
      <c r="MUH617" s="294"/>
      <c r="MUI617" s="294"/>
      <c r="MUJ617" s="294"/>
      <c r="MUK617" s="294"/>
      <c r="MUL617" s="294"/>
      <c r="MUM617" s="294"/>
      <c r="MUN617" s="294"/>
      <c r="MUO617" s="294"/>
      <c r="MUP617" s="294"/>
      <c r="MUQ617" s="294"/>
      <c r="MUR617" s="294"/>
      <c r="MUS617" s="294"/>
      <c r="MUT617" s="294"/>
      <c r="MUU617" s="294"/>
      <c r="MUV617" s="294"/>
      <c r="MUW617" s="294"/>
      <c r="MUX617" s="294"/>
      <c r="MUY617" s="294"/>
      <c r="MUZ617" s="294"/>
      <c r="MVA617" s="294"/>
      <c r="MVB617" s="294"/>
      <c r="MVC617" s="294"/>
      <c r="MVD617" s="294"/>
      <c r="MVE617" s="294"/>
      <c r="MVF617" s="294"/>
      <c r="MVG617" s="294"/>
      <c r="MVH617" s="294"/>
      <c r="MVI617" s="294"/>
      <c r="MVJ617" s="294"/>
      <c r="MVK617" s="294"/>
      <c r="MVL617" s="294"/>
      <c r="MVM617" s="294"/>
      <c r="MVN617" s="294"/>
      <c r="MVO617" s="294"/>
      <c r="MVP617" s="294"/>
      <c r="MVQ617" s="294"/>
      <c r="MVR617" s="294"/>
      <c r="MVS617" s="294"/>
      <c r="MVT617" s="294"/>
      <c r="MVU617" s="294"/>
      <c r="MVV617" s="294"/>
      <c r="MVW617" s="294"/>
      <c r="MVX617" s="294"/>
      <c r="MVY617" s="294"/>
      <c r="MVZ617" s="294"/>
      <c r="MWA617" s="294"/>
      <c r="MWB617" s="294"/>
      <c r="MWC617" s="294"/>
      <c r="MWD617" s="294"/>
      <c r="MWE617" s="294"/>
      <c r="MWF617" s="294"/>
      <c r="MWG617" s="294"/>
      <c r="MWH617" s="294"/>
      <c r="MWI617" s="294"/>
      <c r="MWJ617" s="294"/>
      <c r="MWK617" s="294"/>
      <c r="MWL617" s="294"/>
      <c r="MWM617" s="294"/>
      <c r="MWN617" s="294"/>
      <c r="MWO617" s="294"/>
      <c r="MWP617" s="294"/>
      <c r="MWQ617" s="294"/>
      <c r="MWR617" s="294"/>
      <c r="MWS617" s="294"/>
      <c r="MWT617" s="294"/>
      <c r="MWU617" s="294"/>
      <c r="MWV617" s="294"/>
      <c r="MWW617" s="294"/>
      <c r="MWX617" s="294"/>
      <c r="MWY617" s="294"/>
      <c r="MWZ617" s="294"/>
      <c r="MXA617" s="294"/>
      <c r="MXB617" s="294"/>
      <c r="MXC617" s="294"/>
      <c r="MXD617" s="294"/>
      <c r="MXE617" s="294"/>
      <c r="MXF617" s="294"/>
      <c r="MXG617" s="294"/>
      <c r="MXH617" s="294"/>
      <c r="MXI617" s="294"/>
      <c r="MXJ617" s="294"/>
      <c r="MXK617" s="294"/>
      <c r="MXL617" s="294"/>
      <c r="MXM617" s="294"/>
      <c r="MXN617" s="294"/>
      <c r="MXO617" s="294"/>
      <c r="MXP617" s="294"/>
      <c r="MXQ617" s="294"/>
      <c r="MXR617" s="294"/>
      <c r="MXS617" s="294"/>
      <c r="MXT617" s="294"/>
      <c r="MXU617" s="294"/>
      <c r="MXV617" s="294"/>
      <c r="MXW617" s="294"/>
      <c r="MXX617" s="294"/>
      <c r="MXY617" s="294"/>
      <c r="MXZ617" s="294"/>
      <c r="MYA617" s="294"/>
      <c r="MYB617" s="294"/>
      <c r="MYC617" s="294"/>
      <c r="MYD617" s="294"/>
      <c r="MYE617" s="294"/>
      <c r="MYF617" s="294"/>
      <c r="MYG617" s="294"/>
      <c r="MYH617" s="294"/>
      <c r="MYI617" s="294"/>
      <c r="MYJ617" s="294"/>
      <c r="MYK617" s="294"/>
      <c r="MYL617" s="294"/>
      <c r="MYM617" s="294"/>
      <c r="MYN617" s="294"/>
      <c r="MYO617" s="294"/>
      <c r="MYP617" s="294"/>
      <c r="MYQ617" s="294"/>
      <c r="MYR617" s="294"/>
      <c r="MYS617" s="294"/>
      <c r="MYT617" s="294"/>
      <c r="MYU617" s="294"/>
      <c r="MYV617" s="294"/>
      <c r="MYW617" s="294"/>
      <c r="MYX617" s="294"/>
      <c r="MYY617" s="294"/>
      <c r="MYZ617" s="294"/>
      <c r="MZA617" s="294"/>
      <c r="MZB617" s="294"/>
      <c r="MZC617" s="294"/>
      <c r="MZD617" s="294"/>
      <c r="MZE617" s="294"/>
      <c r="MZF617" s="294"/>
      <c r="MZG617" s="294"/>
      <c r="MZH617" s="294"/>
      <c r="MZI617" s="294"/>
      <c r="MZJ617" s="294"/>
      <c r="MZK617" s="294"/>
      <c r="MZL617" s="294"/>
      <c r="MZM617" s="294"/>
      <c r="MZN617" s="294"/>
      <c r="MZO617" s="294"/>
      <c r="MZP617" s="294"/>
      <c r="MZQ617" s="294"/>
      <c r="MZR617" s="294"/>
      <c r="MZS617" s="294"/>
      <c r="MZT617" s="294"/>
      <c r="MZU617" s="294"/>
      <c r="MZV617" s="294"/>
      <c r="MZW617" s="294"/>
      <c r="MZX617" s="294"/>
      <c r="MZY617" s="294"/>
      <c r="MZZ617" s="294"/>
      <c r="NAA617" s="294"/>
      <c r="NAB617" s="294"/>
      <c r="NAC617" s="294"/>
      <c r="NAD617" s="294"/>
      <c r="NAE617" s="294"/>
      <c r="NAF617" s="294"/>
      <c r="NAG617" s="294"/>
      <c r="NAH617" s="294"/>
      <c r="NAI617" s="294"/>
      <c r="NAJ617" s="294"/>
      <c r="NAK617" s="294"/>
      <c r="NAL617" s="294"/>
      <c r="NAM617" s="294"/>
      <c r="NAN617" s="294"/>
      <c r="NAO617" s="294"/>
      <c r="NAP617" s="294"/>
      <c r="NAQ617" s="294"/>
      <c r="NAR617" s="294"/>
      <c r="NAS617" s="294"/>
      <c r="NAT617" s="294"/>
      <c r="NAU617" s="294"/>
      <c r="NAV617" s="294"/>
      <c r="NAW617" s="294"/>
      <c r="NAX617" s="294"/>
      <c r="NAY617" s="294"/>
      <c r="NAZ617" s="294"/>
      <c r="NBA617" s="294"/>
      <c r="NBB617" s="294"/>
      <c r="NBC617" s="294"/>
      <c r="NBD617" s="294"/>
      <c r="NBE617" s="294"/>
      <c r="NBF617" s="294"/>
      <c r="NBG617" s="294"/>
      <c r="NBH617" s="294"/>
      <c r="NBI617" s="294"/>
      <c r="NBJ617" s="294"/>
      <c r="NBK617" s="294"/>
      <c r="NBL617" s="294"/>
      <c r="NBM617" s="294"/>
      <c r="NBN617" s="294"/>
      <c r="NBO617" s="294"/>
      <c r="NBP617" s="294"/>
      <c r="NBQ617" s="294"/>
      <c r="NBR617" s="294"/>
      <c r="NBS617" s="294"/>
      <c r="NBT617" s="294"/>
      <c r="NBU617" s="294"/>
      <c r="NBV617" s="294"/>
      <c r="NBW617" s="294"/>
      <c r="NBX617" s="294"/>
      <c r="NBY617" s="294"/>
      <c r="NBZ617" s="294"/>
      <c r="NCA617" s="294"/>
      <c r="NCB617" s="294"/>
      <c r="NCC617" s="294"/>
      <c r="NCD617" s="294"/>
      <c r="NCE617" s="294"/>
      <c r="NCF617" s="294"/>
      <c r="NCG617" s="294"/>
      <c r="NCH617" s="294"/>
      <c r="NCI617" s="294"/>
      <c r="NCJ617" s="294"/>
      <c r="NCK617" s="294"/>
      <c r="NCL617" s="294"/>
      <c r="NCM617" s="294"/>
      <c r="NCN617" s="294"/>
      <c r="NCO617" s="294"/>
      <c r="NCP617" s="294"/>
      <c r="NCQ617" s="294"/>
      <c r="NCR617" s="294"/>
      <c r="NCS617" s="294"/>
      <c r="NCT617" s="294"/>
      <c r="NCU617" s="294"/>
      <c r="NCV617" s="294"/>
      <c r="NCW617" s="294"/>
      <c r="NCX617" s="294"/>
      <c r="NCY617" s="294"/>
      <c r="NCZ617" s="294"/>
      <c r="NDA617" s="294"/>
      <c r="NDB617" s="294"/>
      <c r="NDC617" s="294"/>
      <c r="NDD617" s="294"/>
      <c r="NDE617" s="294"/>
      <c r="NDF617" s="294"/>
      <c r="NDG617" s="294"/>
      <c r="NDH617" s="294"/>
      <c r="NDI617" s="294"/>
      <c r="NDJ617" s="294"/>
      <c r="NDK617" s="294"/>
      <c r="NDL617" s="294"/>
      <c r="NDM617" s="294"/>
      <c r="NDN617" s="294"/>
      <c r="NDO617" s="294"/>
      <c r="NDP617" s="294"/>
      <c r="NDQ617" s="294"/>
      <c r="NDR617" s="294"/>
      <c r="NDS617" s="294"/>
      <c r="NDT617" s="294"/>
      <c r="NDU617" s="294"/>
      <c r="NDV617" s="294"/>
      <c r="NDW617" s="294"/>
      <c r="NDX617" s="294"/>
      <c r="NDY617" s="294"/>
      <c r="NDZ617" s="294"/>
      <c r="NEA617" s="294"/>
      <c r="NEB617" s="294"/>
      <c r="NEC617" s="294"/>
      <c r="NED617" s="294"/>
      <c r="NEE617" s="294"/>
      <c r="NEF617" s="294"/>
      <c r="NEG617" s="294"/>
      <c r="NEH617" s="294"/>
      <c r="NEI617" s="294"/>
      <c r="NEJ617" s="294"/>
      <c r="NEK617" s="294"/>
      <c r="NEL617" s="294"/>
      <c r="NEM617" s="294"/>
      <c r="NEN617" s="294"/>
      <c r="NEO617" s="294"/>
      <c r="NEP617" s="294"/>
      <c r="NEQ617" s="294"/>
      <c r="NER617" s="294"/>
      <c r="NES617" s="294"/>
      <c r="NET617" s="294"/>
      <c r="NEU617" s="294"/>
      <c r="NEV617" s="294"/>
      <c r="NEW617" s="294"/>
      <c r="NEX617" s="294"/>
      <c r="NEY617" s="294"/>
      <c r="NEZ617" s="294"/>
      <c r="NFA617" s="294"/>
      <c r="NFB617" s="294"/>
      <c r="NFC617" s="294"/>
      <c r="NFD617" s="294"/>
      <c r="NFE617" s="294"/>
      <c r="NFF617" s="294"/>
      <c r="NFG617" s="294"/>
      <c r="NFH617" s="294"/>
      <c r="NFI617" s="294"/>
      <c r="NFJ617" s="294"/>
      <c r="NFK617" s="294"/>
      <c r="NFL617" s="294"/>
      <c r="NFM617" s="294"/>
      <c r="NFN617" s="294"/>
      <c r="NFO617" s="294"/>
      <c r="NFP617" s="294"/>
      <c r="NFQ617" s="294"/>
      <c r="NFR617" s="294"/>
      <c r="NFS617" s="294"/>
      <c r="NFT617" s="294"/>
      <c r="NFU617" s="294"/>
      <c r="NFV617" s="294"/>
      <c r="NFW617" s="294"/>
      <c r="NFX617" s="294"/>
      <c r="NFY617" s="294"/>
      <c r="NFZ617" s="294"/>
      <c r="NGA617" s="294"/>
      <c r="NGB617" s="294"/>
      <c r="NGC617" s="294"/>
      <c r="NGD617" s="294"/>
      <c r="NGE617" s="294"/>
      <c r="NGF617" s="294"/>
      <c r="NGG617" s="294"/>
      <c r="NGH617" s="294"/>
      <c r="NGI617" s="294"/>
      <c r="NGJ617" s="294"/>
      <c r="NGK617" s="294"/>
      <c r="NGL617" s="294"/>
      <c r="NGM617" s="294"/>
      <c r="NGN617" s="294"/>
      <c r="NGO617" s="294"/>
      <c r="NGP617" s="294"/>
      <c r="NGQ617" s="294"/>
      <c r="NGR617" s="294"/>
      <c r="NGS617" s="294"/>
      <c r="NGT617" s="294"/>
      <c r="NGU617" s="294"/>
      <c r="NGV617" s="294"/>
      <c r="NGW617" s="294"/>
      <c r="NGX617" s="294"/>
      <c r="NGY617" s="294"/>
      <c r="NGZ617" s="294"/>
      <c r="NHA617" s="294"/>
      <c r="NHB617" s="294"/>
      <c r="NHC617" s="294"/>
      <c r="NHD617" s="294"/>
      <c r="NHE617" s="294"/>
      <c r="NHF617" s="294"/>
      <c r="NHG617" s="294"/>
      <c r="NHH617" s="294"/>
      <c r="NHI617" s="294"/>
      <c r="NHJ617" s="294"/>
      <c r="NHK617" s="294"/>
      <c r="NHL617" s="294"/>
      <c r="NHM617" s="294"/>
      <c r="NHN617" s="294"/>
      <c r="NHO617" s="294"/>
      <c r="NHP617" s="294"/>
      <c r="NHQ617" s="294"/>
      <c r="NHR617" s="294"/>
      <c r="NHS617" s="294"/>
      <c r="NHT617" s="294"/>
      <c r="NHU617" s="294"/>
      <c r="NHV617" s="294"/>
      <c r="NHW617" s="294"/>
      <c r="NHX617" s="294"/>
      <c r="NHY617" s="294"/>
      <c r="NHZ617" s="294"/>
      <c r="NIA617" s="294"/>
      <c r="NIB617" s="294"/>
      <c r="NIC617" s="294"/>
      <c r="NID617" s="294"/>
      <c r="NIE617" s="294"/>
      <c r="NIF617" s="294"/>
      <c r="NIG617" s="294"/>
      <c r="NIH617" s="294"/>
      <c r="NII617" s="294"/>
      <c r="NIJ617" s="294"/>
      <c r="NIK617" s="294"/>
      <c r="NIL617" s="294"/>
      <c r="NIM617" s="294"/>
      <c r="NIN617" s="294"/>
      <c r="NIO617" s="294"/>
      <c r="NIP617" s="294"/>
      <c r="NIQ617" s="294"/>
      <c r="NIR617" s="294"/>
      <c r="NIS617" s="294"/>
      <c r="NIT617" s="294"/>
      <c r="NIU617" s="294"/>
      <c r="NIV617" s="294"/>
      <c r="NIW617" s="294"/>
      <c r="NIX617" s="294"/>
      <c r="NIY617" s="294"/>
      <c r="NIZ617" s="294"/>
      <c r="NJA617" s="294"/>
      <c r="NJB617" s="294"/>
      <c r="NJC617" s="294"/>
      <c r="NJD617" s="294"/>
      <c r="NJE617" s="294"/>
      <c r="NJF617" s="294"/>
      <c r="NJG617" s="294"/>
      <c r="NJH617" s="294"/>
      <c r="NJI617" s="294"/>
      <c r="NJJ617" s="294"/>
      <c r="NJK617" s="294"/>
      <c r="NJL617" s="294"/>
      <c r="NJM617" s="294"/>
      <c r="NJN617" s="294"/>
      <c r="NJO617" s="294"/>
      <c r="NJP617" s="294"/>
      <c r="NJQ617" s="294"/>
      <c r="NJR617" s="294"/>
      <c r="NJS617" s="294"/>
      <c r="NJT617" s="294"/>
      <c r="NJU617" s="294"/>
      <c r="NJV617" s="294"/>
      <c r="NJW617" s="294"/>
      <c r="NJX617" s="294"/>
      <c r="NJY617" s="294"/>
      <c r="NJZ617" s="294"/>
      <c r="NKA617" s="294"/>
      <c r="NKB617" s="294"/>
      <c r="NKC617" s="294"/>
      <c r="NKD617" s="294"/>
      <c r="NKE617" s="294"/>
      <c r="NKF617" s="294"/>
      <c r="NKG617" s="294"/>
      <c r="NKH617" s="294"/>
      <c r="NKI617" s="294"/>
      <c r="NKJ617" s="294"/>
      <c r="NKK617" s="294"/>
      <c r="NKL617" s="294"/>
      <c r="NKM617" s="294"/>
      <c r="NKN617" s="294"/>
      <c r="NKO617" s="294"/>
      <c r="NKP617" s="294"/>
      <c r="NKQ617" s="294"/>
      <c r="NKR617" s="294"/>
      <c r="NKS617" s="294"/>
      <c r="NKT617" s="294"/>
      <c r="NKU617" s="294"/>
      <c r="NKV617" s="294"/>
      <c r="NKW617" s="294"/>
      <c r="NKX617" s="294"/>
      <c r="NKY617" s="294"/>
      <c r="NKZ617" s="294"/>
      <c r="NLA617" s="294"/>
      <c r="NLB617" s="294"/>
      <c r="NLC617" s="294"/>
      <c r="NLD617" s="294"/>
      <c r="NLE617" s="294"/>
      <c r="NLF617" s="294"/>
      <c r="NLG617" s="294"/>
      <c r="NLH617" s="294"/>
      <c r="NLI617" s="294"/>
      <c r="NLJ617" s="294"/>
      <c r="NLK617" s="294"/>
      <c r="NLL617" s="294"/>
      <c r="NLM617" s="294"/>
      <c r="NLN617" s="294"/>
      <c r="NLO617" s="294"/>
      <c r="NLP617" s="294"/>
      <c r="NLQ617" s="294"/>
      <c r="NLR617" s="294"/>
      <c r="NLS617" s="294"/>
      <c r="NLT617" s="294"/>
      <c r="NLU617" s="294"/>
      <c r="NLV617" s="294"/>
      <c r="NLW617" s="294"/>
      <c r="NLX617" s="294"/>
      <c r="NLY617" s="294"/>
      <c r="NLZ617" s="294"/>
      <c r="NMA617" s="294"/>
      <c r="NMB617" s="294"/>
      <c r="NMC617" s="294"/>
      <c r="NMD617" s="294"/>
      <c r="NME617" s="294"/>
      <c r="NMF617" s="294"/>
      <c r="NMG617" s="294"/>
      <c r="NMH617" s="294"/>
      <c r="NMI617" s="294"/>
      <c r="NMJ617" s="294"/>
      <c r="NMK617" s="294"/>
      <c r="NML617" s="294"/>
      <c r="NMM617" s="294"/>
      <c r="NMN617" s="294"/>
      <c r="NMO617" s="294"/>
      <c r="NMP617" s="294"/>
      <c r="NMQ617" s="294"/>
      <c r="NMR617" s="294"/>
      <c r="NMS617" s="294"/>
      <c r="NMT617" s="294"/>
      <c r="NMU617" s="294"/>
      <c r="NMV617" s="294"/>
      <c r="NMW617" s="294"/>
      <c r="NMX617" s="294"/>
      <c r="NMY617" s="294"/>
      <c r="NMZ617" s="294"/>
      <c r="NNA617" s="294"/>
      <c r="NNB617" s="294"/>
      <c r="NNC617" s="294"/>
      <c r="NND617" s="294"/>
      <c r="NNE617" s="294"/>
      <c r="NNF617" s="294"/>
      <c r="NNG617" s="294"/>
      <c r="NNH617" s="294"/>
      <c r="NNI617" s="294"/>
      <c r="NNJ617" s="294"/>
      <c r="NNK617" s="294"/>
      <c r="NNL617" s="294"/>
      <c r="NNM617" s="294"/>
      <c r="NNN617" s="294"/>
      <c r="NNO617" s="294"/>
      <c r="NNP617" s="294"/>
      <c r="NNQ617" s="294"/>
      <c r="NNR617" s="294"/>
      <c r="NNS617" s="294"/>
      <c r="NNT617" s="294"/>
      <c r="NNU617" s="294"/>
      <c r="NNV617" s="294"/>
      <c r="NNW617" s="294"/>
      <c r="NNX617" s="294"/>
      <c r="NNY617" s="294"/>
      <c r="NNZ617" s="294"/>
      <c r="NOA617" s="294"/>
      <c r="NOB617" s="294"/>
      <c r="NOC617" s="294"/>
      <c r="NOD617" s="294"/>
      <c r="NOE617" s="294"/>
      <c r="NOF617" s="294"/>
      <c r="NOG617" s="294"/>
      <c r="NOH617" s="294"/>
      <c r="NOI617" s="294"/>
      <c r="NOJ617" s="294"/>
      <c r="NOK617" s="294"/>
      <c r="NOL617" s="294"/>
      <c r="NOM617" s="294"/>
      <c r="NON617" s="294"/>
      <c r="NOO617" s="294"/>
      <c r="NOP617" s="294"/>
      <c r="NOQ617" s="294"/>
      <c r="NOR617" s="294"/>
      <c r="NOS617" s="294"/>
      <c r="NOT617" s="294"/>
      <c r="NOU617" s="294"/>
      <c r="NOV617" s="294"/>
      <c r="NOW617" s="294"/>
      <c r="NOX617" s="294"/>
      <c r="NOY617" s="294"/>
      <c r="NOZ617" s="294"/>
      <c r="NPA617" s="294"/>
      <c r="NPB617" s="294"/>
      <c r="NPC617" s="294"/>
      <c r="NPD617" s="294"/>
      <c r="NPE617" s="294"/>
      <c r="NPF617" s="294"/>
      <c r="NPG617" s="294"/>
      <c r="NPH617" s="294"/>
      <c r="NPI617" s="294"/>
      <c r="NPJ617" s="294"/>
      <c r="NPK617" s="294"/>
      <c r="NPL617" s="294"/>
      <c r="NPM617" s="294"/>
      <c r="NPN617" s="294"/>
      <c r="NPO617" s="294"/>
      <c r="NPP617" s="294"/>
      <c r="NPQ617" s="294"/>
      <c r="NPR617" s="294"/>
      <c r="NPS617" s="294"/>
      <c r="NPT617" s="294"/>
      <c r="NPU617" s="294"/>
      <c r="NPV617" s="294"/>
      <c r="NPW617" s="294"/>
      <c r="NPX617" s="294"/>
      <c r="NPY617" s="294"/>
      <c r="NPZ617" s="294"/>
      <c r="NQA617" s="294"/>
      <c r="NQB617" s="294"/>
      <c r="NQC617" s="294"/>
      <c r="NQD617" s="294"/>
      <c r="NQE617" s="294"/>
      <c r="NQF617" s="294"/>
      <c r="NQG617" s="294"/>
      <c r="NQH617" s="294"/>
      <c r="NQI617" s="294"/>
      <c r="NQJ617" s="294"/>
      <c r="NQK617" s="294"/>
      <c r="NQL617" s="294"/>
      <c r="NQM617" s="294"/>
      <c r="NQN617" s="294"/>
      <c r="NQO617" s="294"/>
      <c r="NQP617" s="294"/>
      <c r="NQQ617" s="294"/>
      <c r="NQR617" s="294"/>
      <c r="NQS617" s="294"/>
      <c r="NQT617" s="294"/>
      <c r="NQU617" s="294"/>
      <c r="NQV617" s="294"/>
      <c r="NQW617" s="294"/>
      <c r="NQX617" s="294"/>
      <c r="NQY617" s="294"/>
      <c r="NQZ617" s="294"/>
      <c r="NRA617" s="294"/>
      <c r="NRB617" s="294"/>
      <c r="NRC617" s="294"/>
      <c r="NRD617" s="294"/>
      <c r="NRE617" s="294"/>
      <c r="NRF617" s="294"/>
      <c r="NRG617" s="294"/>
      <c r="NRH617" s="294"/>
      <c r="NRI617" s="294"/>
      <c r="NRJ617" s="294"/>
      <c r="NRK617" s="294"/>
      <c r="NRL617" s="294"/>
      <c r="NRM617" s="294"/>
      <c r="NRN617" s="294"/>
      <c r="NRO617" s="294"/>
      <c r="NRP617" s="294"/>
      <c r="NRQ617" s="294"/>
      <c r="NRR617" s="294"/>
      <c r="NRS617" s="294"/>
      <c r="NRT617" s="294"/>
      <c r="NRU617" s="294"/>
      <c r="NRV617" s="294"/>
      <c r="NRW617" s="294"/>
      <c r="NRX617" s="294"/>
      <c r="NRY617" s="294"/>
      <c r="NRZ617" s="294"/>
      <c r="NSA617" s="294"/>
      <c r="NSB617" s="294"/>
      <c r="NSC617" s="294"/>
      <c r="NSD617" s="294"/>
      <c r="NSE617" s="294"/>
      <c r="NSF617" s="294"/>
      <c r="NSG617" s="294"/>
      <c r="NSH617" s="294"/>
      <c r="NSI617" s="294"/>
      <c r="NSJ617" s="294"/>
      <c r="NSK617" s="294"/>
      <c r="NSL617" s="294"/>
      <c r="NSM617" s="294"/>
      <c r="NSN617" s="294"/>
      <c r="NSO617" s="294"/>
      <c r="NSP617" s="294"/>
      <c r="NSQ617" s="294"/>
      <c r="NSR617" s="294"/>
      <c r="NSS617" s="294"/>
      <c r="NST617" s="294"/>
      <c r="NSU617" s="294"/>
      <c r="NSV617" s="294"/>
      <c r="NSW617" s="294"/>
      <c r="NSX617" s="294"/>
      <c r="NSY617" s="294"/>
      <c r="NSZ617" s="294"/>
      <c r="NTA617" s="294"/>
      <c r="NTB617" s="294"/>
      <c r="NTC617" s="294"/>
      <c r="NTD617" s="294"/>
      <c r="NTE617" s="294"/>
      <c r="NTF617" s="294"/>
      <c r="NTG617" s="294"/>
      <c r="NTH617" s="294"/>
      <c r="NTI617" s="294"/>
      <c r="NTJ617" s="294"/>
      <c r="NTK617" s="294"/>
      <c r="NTL617" s="294"/>
      <c r="NTM617" s="294"/>
      <c r="NTN617" s="294"/>
      <c r="NTO617" s="294"/>
      <c r="NTP617" s="294"/>
      <c r="NTQ617" s="294"/>
      <c r="NTR617" s="294"/>
      <c r="NTS617" s="294"/>
      <c r="NTT617" s="294"/>
      <c r="NTU617" s="294"/>
      <c r="NTV617" s="294"/>
      <c r="NTW617" s="294"/>
      <c r="NTX617" s="294"/>
      <c r="NTY617" s="294"/>
      <c r="NTZ617" s="294"/>
      <c r="NUA617" s="294"/>
      <c r="NUB617" s="294"/>
      <c r="NUC617" s="294"/>
      <c r="NUD617" s="294"/>
      <c r="NUE617" s="294"/>
      <c r="NUF617" s="294"/>
      <c r="NUG617" s="294"/>
      <c r="NUH617" s="294"/>
      <c r="NUI617" s="294"/>
      <c r="NUJ617" s="294"/>
      <c r="NUK617" s="294"/>
      <c r="NUL617" s="294"/>
      <c r="NUM617" s="294"/>
      <c r="NUN617" s="294"/>
      <c r="NUO617" s="294"/>
      <c r="NUP617" s="294"/>
      <c r="NUQ617" s="294"/>
      <c r="NUR617" s="294"/>
      <c r="NUS617" s="294"/>
      <c r="NUT617" s="294"/>
      <c r="NUU617" s="294"/>
      <c r="NUV617" s="294"/>
      <c r="NUW617" s="294"/>
      <c r="NUX617" s="294"/>
      <c r="NUY617" s="294"/>
      <c r="NUZ617" s="294"/>
      <c r="NVA617" s="294"/>
      <c r="NVB617" s="294"/>
      <c r="NVC617" s="294"/>
      <c r="NVD617" s="294"/>
      <c r="NVE617" s="294"/>
      <c r="NVF617" s="294"/>
      <c r="NVG617" s="294"/>
      <c r="NVH617" s="294"/>
      <c r="NVI617" s="294"/>
      <c r="NVJ617" s="294"/>
      <c r="NVK617" s="294"/>
      <c r="NVL617" s="294"/>
      <c r="NVM617" s="294"/>
      <c r="NVN617" s="294"/>
      <c r="NVO617" s="294"/>
      <c r="NVP617" s="294"/>
      <c r="NVQ617" s="294"/>
      <c r="NVR617" s="294"/>
      <c r="NVS617" s="294"/>
      <c r="NVT617" s="294"/>
      <c r="NVU617" s="294"/>
      <c r="NVV617" s="294"/>
      <c r="NVW617" s="294"/>
      <c r="NVX617" s="294"/>
      <c r="NVY617" s="294"/>
      <c r="NVZ617" s="294"/>
      <c r="NWA617" s="294"/>
      <c r="NWB617" s="294"/>
      <c r="NWC617" s="294"/>
      <c r="NWD617" s="294"/>
      <c r="NWE617" s="294"/>
      <c r="NWF617" s="294"/>
      <c r="NWG617" s="294"/>
      <c r="NWH617" s="294"/>
      <c r="NWI617" s="294"/>
      <c r="NWJ617" s="294"/>
      <c r="NWK617" s="294"/>
      <c r="NWL617" s="294"/>
      <c r="NWM617" s="294"/>
      <c r="NWN617" s="294"/>
      <c r="NWO617" s="294"/>
      <c r="NWP617" s="294"/>
      <c r="NWQ617" s="294"/>
      <c r="NWR617" s="294"/>
      <c r="NWS617" s="294"/>
      <c r="NWT617" s="294"/>
      <c r="NWU617" s="294"/>
      <c r="NWV617" s="294"/>
      <c r="NWW617" s="294"/>
      <c r="NWX617" s="294"/>
      <c r="NWY617" s="294"/>
      <c r="NWZ617" s="294"/>
      <c r="NXA617" s="294"/>
      <c r="NXB617" s="294"/>
      <c r="NXC617" s="294"/>
      <c r="NXD617" s="294"/>
      <c r="NXE617" s="294"/>
      <c r="NXF617" s="294"/>
      <c r="NXG617" s="294"/>
      <c r="NXH617" s="294"/>
      <c r="NXI617" s="294"/>
      <c r="NXJ617" s="294"/>
      <c r="NXK617" s="294"/>
      <c r="NXL617" s="294"/>
      <c r="NXM617" s="294"/>
      <c r="NXN617" s="294"/>
      <c r="NXO617" s="294"/>
      <c r="NXP617" s="294"/>
      <c r="NXQ617" s="294"/>
      <c r="NXR617" s="294"/>
      <c r="NXS617" s="294"/>
      <c r="NXT617" s="294"/>
      <c r="NXU617" s="294"/>
      <c r="NXV617" s="294"/>
      <c r="NXW617" s="294"/>
      <c r="NXX617" s="294"/>
      <c r="NXY617" s="294"/>
      <c r="NXZ617" s="294"/>
      <c r="NYA617" s="294"/>
      <c r="NYB617" s="294"/>
      <c r="NYC617" s="294"/>
      <c r="NYD617" s="294"/>
      <c r="NYE617" s="294"/>
      <c r="NYF617" s="294"/>
      <c r="NYG617" s="294"/>
      <c r="NYH617" s="294"/>
      <c r="NYI617" s="294"/>
      <c r="NYJ617" s="294"/>
      <c r="NYK617" s="294"/>
      <c r="NYL617" s="294"/>
      <c r="NYM617" s="294"/>
      <c r="NYN617" s="294"/>
      <c r="NYO617" s="294"/>
      <c r="NYP617" s="294"/>
      <c r="NYQ617" s="294"/>
      <c r="NYR617" s="294"/>
      <c r="NYS617" s="294"/>
      <c r="NYT617" s="294"/>
      <c r="NYU617" s="294"/>
      <c r="NYV617" s="294"/>
      <c r="NYW617" s="294"/>
      <c r="NYX617" s="294"/>
      <c r="NYY617" s="294"/>
      <c r="NYZ617" s="294"/>
      <c r="NZA617" s="294"/>
      <c r="NZB617" s="294"/>
      <c r="NZC617" s="294"/>
      <c r="NZD617" s="294"/>
      <c r="NZE617" s="294"/>
      <c r="NZF617" s="294"/>
      <c r="NZG617" s="294"/>
      <c r="NZH617" s="294"/>
      <c r="NZI617" s="294"/>
      <c r="NZJ617" s="294"/>
      <c r="NZK617" s="294"/>
      <c r="NZL617" s="294"/>
      <c r="NZM617" s="294"/>
      <c r="NZN617" s="294"/>
      <c r="NZO617" s="294"/>
      <c r="NZP617" s="294"/>
      <c r="NZQ617" s="294"/>
      <c r="NZR617" s="294"/>
      <c r="NZS617" s="294"/>
      <c r="NZT617" s="294"/>
      <c r="NZU617" s="294"/>
      <c r="NZV617" s="294"/>
      <c r="NZW617" s="294"/>
      <c r="NZX617" s="294"/>
      <c r="NZY617" s="294"/>
      <c r="NZZ617" s="294"/>
      <c r="OAA617" s="294"/>
      <c r="OAB617" s="294"/>
      <c r="OAC617" s="294"/>
      <c r="OAD617" s="294"/>
      <c r="OAE617" s="294"/>
      <c r="OAF617" s="294"/>
      <c r="OAG617" s="294"/>
      <c r="OAH617" s="294"/>
      <c r="OAI617" s="294"/>
      <c r="OAJ617" s="294"/>
      <c r="OAK617" s="294"/>
      <c r="OAL617" s="294"/>
      <c r="OAM617" s="294"/>
      <c r="OAN617" s="294"/>
      <c r="OAO617" s="294"/>
      <c r="OAP617" s="294"/>
      <c r="OAQ617" s="294"/>
      <c r="OAR617" s="294"/>
      <c r="OAS617" s="294"/>
      <c r="OAT617" s="294"/>
      <c r="OAU617" s="294"/>
      <c r="OAV617" s="294"/>
      <c r="OAW617" s="294"/>
      <c r="OAX617" s="294"/>
      <c r="OAY617" s="294"/>
      <c r="OAZ617" s="294"/>
      <c r="OBA617" s="294"/>
      <c r="OBB617" s="294"/>
      <c r="OBC617" s="294"/>
      <c r="OBD617" s="294"/>
      <c r="OBE617" s="294"/>
      <c r="OBF617" s="294"/>
      <c r="OBG617" s="294"/>
      <c r="OBH617" s="294"/>
      <c r="OBI617" s="294"/>
      <c r="OBJ617" s="294"/>
      <c r="OBK617" s="294"/>
      <c r="OBL617" s="294"/>
      <c r="OBM617" s="294"/>
      <c r="OBN617" s="294"/>
      <c r="OBO617" s="294"/>
      <c r="OBP617" s="294"/>
      <c r="OBQ617" s="294"/>
      <c r="OBR617" s="294"/>
      <c r="OBS617" s="294"/>
      <c r="OBT617" s="294"/>
      <c r="OBU617" s="294"/>
      <c r="OBV617" s="294"/>
      <c r="OBW617" s="294"/>
      <c r="OBX617" s="294"/>
      <c r="OBY617" s="294"/>
      <c r="OBZ617" s="294"/>
      <c r="OCA617" s="294"/>
      <c r="OCB617" s="294"/>
      <c r="OCC617" s="294"/>
      <c r="OCD617" s="294"/>
      <c r="OCE617" s="294"/>
      <c r="OCF617" s="294"/>
      <c r="OCG617" s="294"/>
      <c r="OCH617" s="294"/>
      <c r="OCI617" s="294"/>
      <c r="OCJ617" s="294"/>
      <c r="OCK617" s="294"/>
      <c r="OCL617" s="294"/>
      <c r="OCM617" s="294"/>
      <c r="OCN617" s="294"/>
      <c r="OCO617" s="294"/>
      <c r="OCP617" s="294"/>
      <c r="OCQ617" s="294"/>
      <c r="OCR617" s="294"/>
      <c r="OCS617" s="294"/>
      <c r="OCT617" s="294"/>
      <c r="OCU617" s="294"/>
      <c r="OCV617" s="294"/>
      <c r="OCW617" s="294"/>
      <c r="OCX617" s="294"/>
      <c r="OCY617" s="294"/>
      <c r="OCZ617" s="294"/>
      <c r="ODA617" s="294"/>
      <c r="ODB617" s="294"/>
      <c r="ODC617" s="294"/>
      <c r="ODD617" s="294"/>
      <c r="ODE617" s="294"/>
      <c r="ODF617" s="294"/>
      <c r="ODG617" s="294"/>
      <c r="ODH617" s="294"/>
      <c r="ODI617" s="294"/>
      <c r="ODJ617" s="294"/>
      <c r="ODK617" s="294"/>
      <c r="ODL617" s="294"/>
      <c r="ODM617" s="294"/>
      <c r="ODN617" s="294"/>
      <c r="ODO617" s="294"/>
      <c r="ODP617" s="294"/>
      <c r="ODQ617" s="294"/>
      <c r="ODR617" s="294"/>
      <c r="ODS617" s="294"/>
      <c r="ODT617" s="294"/>
      <c r="ODU617" s="294"/>
      <c r="ODV617" s="294"/>
      <c r="ODW617" s="294"/>
      <c r="ODX617" s="294"/>
      <c r="ODY617" s="294"/>
      <c r="ODZ617" s="294"/>
      <c r="OEA617" s="294"/>
      <c r="OEB617" s="294"/>
      <c r="OEC617" s="294"/>
      <c r="OED617" s="294"/>
      <c r="OEE617" s="294"/>
      <c r="OEF617" s="294"/>
      <c r="OEG617" s="294"/>
      <c r="OEH617" s="294"/>
      <c r="OEI617" s="294"/>
      <c r="OEJ617" s="294"/>
      <c r="OEK617" s="294"/>
      <c r="OEL617" s="294"/>
      <c r="OEM617" s="294"/>
      <c r="OEN617" s="294"/>
      <c r="OEO617" s="294"/>
      <c r="OEP617" s="294"/>
      <c r="OEQ617" s="294"/>
      <c r="OER617" s="294"/>
      <c r="OES617" s="294"/>
      <c r="OET617" s="294"/>
      <c r="OEU617" s="294"/>
      <c r="OEV617" s="294"/>
      <c r="OEW617" s="294"/>
      <c r="OEX617" s="294"/>
      <c r="OEY617" s="294"/>
      <c r="OEZ617" s="294"/>
      <c r="OFA617" s="294"/>
      <c r="OFB617" s="294"/>
      <c r="OFC617" s="294"/>
      <c r="OFD617" s="294"/>
      <c r="OFE617" s="294"/>
      <c r="OFF617" s="294"/>
      <c r="OFG617" s="294"/>
      <c r="OFH617" s="294"/>
      <c r="OFI617" s="294"/>
      <c r="OFJ617" s="294"/>
      <c r="OFK617" s="294"/>
      <c r="OFL617" s="294"/>
      <c r="OFM617" s="294"/>
      <c r="OFN617" s="294"/>
      <c r="OFO617" s="294"/>
      <c r="OFP617" s="294"/>
      <c r="OFQ617" s="294"/>
      <c r="OFR617" s="294"/>
      <c r="OFS617" s="294"/>
      <c r="OFT617" s="294"/>
      <c r="OFU617" s="294"/>
      <c r="OFV617" s="294"/>
      <c r="OFW617" s="294"/>
      <c r="OFX617" s="294"/>
      <c r="OFY617" s="294"/>
      <c r="OFZ617" s="294"/>
      <c r="OGA617" s="294"/>
      <c r="OGB617" s="294"/>
      <c r="OGC617" s="294"/>
      <c r="OGD617" s="294"/>
      <c r="OGE617" s="294"/>
      <c r="OGF617" s="294"/>
      <c r="OGG617" s="294"/>
      <c r="OGH617" s="294"/>
      <c r="OGI617" s="294"/>
      <c r="OGJ617" s="294"/>
      <c r="OGK617" s="294"/>
      <c r="OGL617" s="294"/>
      <c r="OGM617" s="294"/>
      <c r="OGN617" s="294"/>
      <c r="OGO617" s="294"/>
      <c r="OGP617" s="294"/>
      <c r="OGQ617" s="294"/>
      <c r="OGR617" s="294"/>
      <c r="OGS617" s="294"/>
      <c r="OGT617" s="294"/>
      <c r="OGU617" s="294"/>
      <c r="OGV617" s="294"/>
      <c r="OGW617" s="294"/>
      <c r="OGX617" s="294"/>
      <c r="OGY617" s="294"/>
      <c r="OGZ617" s="294"/>
      <c r="OHA617" s="294"/>
      <c r="OHB617" s="294"/>
      <c r="OHC617" s="294"/>
      <c r="OHD617" s="294"/>
      <c r="OHE617" s="294"/>
      <c r="OHF617" s="294"/>
      <c r="OHG617" s="294"/>
      <c r="OHH617" s="294"/>
      <c r="OHI617" s="294"/>
      <c r="OHJ617" s="294"/>
      <c r="OHK617" s="294"/>
      <c r="OHL617" s="294"/>
      <c r="OHM617" s="294"/>
      <c r="OHN617" s="294"/>
      <c r="OHO617" s="294"/>
      <c r="OHP617" s="294"/>
      <c r="OHQ617" s="294"/>
      <c r="OHR617" s="294"/>
      <c r="OHS617" s="294"/>
      <c r="OHT617" s="294"/>
      <c r="OHU617" s="294"/>
      <c r="OHV617" s="294"/>
      <c r="OHW617" s="294"/>
      <c r="OHX617" s="294"/>
      <c r="OHY617" s="294"/>
      <c r="OHZ617" s="294"/>
      <c r="OIA617" s="294"/>
      <c r="OIB617" s="294"/>
      <c r="OIC617" s="294"/>
      <c r="OID617" s="294"/>
      <c r="OIE617" s="294"/>
      <c r="OIF617" s="294"/>
      <c r="OIG617" s="294"/>
      <c r="OIH617" s="294"/>
      <c r="OII617" s="294"/>
      <c r="OIJ617" s="294"/>
      <c r="OIK617" s="294"/>
      <c r="OIL617" s="294"/>
      <c r="OIM617" s="294"/>
      <c r="OIN617" s="294"/>
      <c r="OIO617" s="294"/>
      <c r="OIP617" s="294"/>
      <c r="OIQ617" s="294"/>
      <c r="OIR617" s="294"/>
      <c r="OIS617" s="294"/>
      <c r="OIT617" s="294"/>
      <c r="OIU617" s="294"/>
      <c r="OIV617" s="294"/>
      <c r="OIW617" s="294"/>
      <c r="OIX617" s="294"/>
      <c r="OIY617" s="294"/>
      <c r="OIZ617" s="294"/>
      <c r="OJA617" s="294"/>
      <c r="OJB617" s="294"/>
      <c r="OJC617" s="294"/>
      <c r="OJD617" s="294"/>
      <c r="OJE617" s="294"/>
      <c r="OJF617" s="294"/>
      <c r="OJG617" s="294"/>
      <c r="OJH617" s="294"/>
      <c r="OJI617" s="294"/>
      <c r="OJJ617" s="294"/>
      <c r="OJK617" s="294"/>
      <c r="OJL617" s="294"/>
      <c r="OJM617" s="294"/>
      <c r="OJN617" s="294"/>
      <c r="OJO617" s="294"/>
      <c r="OJP617" s="294"/>
      <c r="OJQ617" s="294"/>
      <c r="OJR617" s="294"/>
      <c r="OJS617" s="294"/>
      <c r="OJT617" s="294"/>
      <c r="OJU617" s="294"/>
      <c r="OJV617" s="294"/>
      <c r="OJW617" s="294"/>
      <c r="OJX617" s="294"/>
      <c r="OJY617" s="294"/>
      <c r="OJZ617" s="294"/>
      <c r="OKA617" s="294"/>
      <c r="OKB617" s="294"/>
      <c r="OKC617" s="294"/>
      <c r="OKD617" s="294"/>
      <c r="OKE617" s="294"/>
      <c r="OKF617" s="294"/>
      <c r="OKG617" s="294"/>
      <c r="OKH617" s="294"/>
      <c r="OKI617" s="294"/>
      <c r="OKJ617" s="294"/>
      <c r="OKK617" s="294"/>
      <c r="OKL617" s="294"/>
      <c r="OKM617" s="294"/>
      <c r="OKN617" s="294"/>
      <c r="OKO617" s="294"/>
      <c r="OKP617" s="294"/>
      <c r="OKQ617" s="294"/>
      <c r="OKR617" s="294"/>
      <c r="OKS617" s="294"/>
      <c r="OKT617" s="294"/>
      <c r="OKU617" s="294"/>
      <c r="OKV617" s="294"/>
      <c r="OKW617" s="294"/>
      <c r="OKX617" s="294"/>
      <c r="OKY617" s="294"/>
      <c r="OKZ617" s="294"/>
      <c r="OLA617" s="294"/>
      <c r="OLB617" s="294"/>
      <c r="OLC617" s="294"/>
      <c r="OLD617" s="294"/>
      <c r="OLE617" s="294"/>
      <c r="OLF617" s="294"/>
      <c r="OLG617" s="294"/>
      <c r="OLH617" s="294"/>
      <c r="OLI617" s="294"/>
      <c r="OLJ617" s="294"/>
      <c r="OLK617" s="294"/>
      <c r="OLL617" s="294"/>
      <c r="OLM617" s="294"/>
      <c r="OLN617" s="294"/>
      <c r="OLO617" s="294"/>
      <c r="OLP617" s="294"/>
      <c r="OLQ617" s="294"/>
      <c r="OLR617" s="294"/>
      <c r="OLS617" s="294"/>
      <c r="OLT617" s="294"/>
      <c r="OLU617" s="294"/>
      <c r="OLV617" s="294"/>
      <c r="OLW617" s="294"/>
      <c r="OLX617" s="294"/>
      <c r="OLY617" s="294"/>
      <c r="OLZ617" s="294"/>
      <c r="OMA617" s="294"/>
      <c r="OMB617" s="294"/>
      <c r="OMC617" s="294"/>
      <c r="OMD617" s="294"/>
      <c r="OME617" s="294"/>
      <c r="OMF617" s="294"/>
      <c r="OMG617" s="294"/>
      <c r="OMH617" s="294"/>
      <c r="OMI617" s="294"/>
      <c r="OMJ617" s="294"/>
      <c r="OMK617" s="294"/>
      <c r="OML617" s="294"/>
      <c r="OMM617" s="294"/>
      <c r="OMN617" s="294"/>
      <c r="OMO617" s="294"/>
      <c r="OMP617" s="294"/>
      <c r="OMQ617" s="294"/>
      <c r="OMR617" s="294"/>
      <c r="OMS617" s="294"/>
      <c r="OMT617" s="294"/>
      <c r="OMU617" s="294"/>
      <c r="OMV617" s="294"/>
      <c r="OMW617" s="294"/>
      <c r="OMX617" s="294"/>
      <c r="OMY617" s="294"/>
      <c r="OMZ617" s="294"/>
      <c r="ONA617" s="294"/>
      <c r="ONB617" s="294"/>
      <c r="ONC617" s="294"/>
      <c r="OND617" s="294"/>
      <c r="ONE617" s="294"/>
      <c r="ONF617" s="294"/>
      <c r="ONG617" s="294"/>
      <c r="ONH617" s="294"/>
      <c r="ONI617" s="294"/>
      <c r="ONJ617" s="294"/>
      <c r="ONK617" s="294"/>
      <c r="ONL617" s="294"/>
      <c r="ONM617" s="294"/>
      <c r="ONN617" s="294"/>
      <c r="ONO617" s="294"/>
      <c r="ONP617" s="294"/>
      <c r="ONQ617" s="294"/>
      <c r="ONR617" s="294"/>
      <c r="ONS617" s="294"/>
      <c r="ONT617" s="294"/>
      <c r="ONU617" s="294"/>
      <c r="ONV617" s="294"/>
      <c r="ONW617" s="294"/>
      <c r="ONX617" s="294"/>
      <c r="ONY617" s="294"/>
      <c r="ONZ617" s="294"/>
      <c r="OOA617" s="294"/>
      <c r="OOB617" s="294"/>
      <c r="OOC617" s="294"/>
      <c r="OOD617" s="294"/>
      <c r="OOE617" s="294"/>
      <c r="OOF617" s="294"/>
      <c r="OOG617" s="294"/>
      <c r="OOH617" s="294"/>
      <c r="OOI617" s="294"/>
      <c r="OOJ617" s="294"/>
      <c r="OOK617" s="294"/>
      <c r="OOL617" s="294"/>
      <c r="OOM617" s="294"/>
      <c r="OON617" s="294"/>
      <c r="OOO617" s="294"/>
      <c r="OOP617" s="294"/>
      <c r="OOQ617" s="294"/>
      <c r="OOR617" s="294"/>
      <c r="OOS617" s="294"/>
      <c r="OOT617" s="294"/>
      <c r="OOU617" s="294"/>
      <c r="OOV617" s="294"/>
      <c r="OOW617" s="294"/>
      <c r="OOX617" s="294"/>
      <c r="OOY617" s="294"/>
      <c r="OOZ617" s="294"/>
      <c r="OPA617" s="294"/>
      <c r="OPB617" s="294"/>
      <c r="OPC617" s="294"/>
      <c r="OPD617" s="294"/>
      <c r="OPE617" s="294"/>
      <c r="OPF617" s="294"/>
      <c r="OPG617" s="294"/>
      <c r="OPH617" s="294"/>
      <c r="OPI617" s="294"/>
      <c r="OPJ617" s="294"/>
      <c r="OPK617" s="294"/>
      <c r="OPL617" s="294"/>
      <c r="OPM617" s="294"/>
      <c r="OPN617" s="294"/>
      <c r="OPO617" s="294"/>
      <c r="OPP617" s="294"/>
      <c r="OPQ617" s="294"/>
      <c r="OPR617" s="294"/>
      <c r="OPS617" s="294"/>
      <c r="OPT617" s="294"/>
      <c r="OPU617" s="294"/>
      <c r="OPV617" s="294"/>
      <c r="OPW617" s="294"/>
      <c r="OPX617" s="294"/>
      <c r="OPY617" s="294"/>
      <c r="OPZ617" s="294"/>
      <c r="OQA617" s="294"/>
      <c r="OQB617" s="294"/>
      <c r="OQC617" s="294"/>
      <c r="OQD617" s="294"/>
      <c r="OQE617" s="294"/>
      <c r="OQF617" s="294"/>
      <c r="OQG617" s="294"/>
      <c r="OQH617" s="294"/>
      <c r="OQI617" s="294"/>
      <c r="OQJ617" s="294"/>
      <c r="OQK617" s="294"/>
      <c r="OQL617" s="294"/>
      <c r="OQM617" s="294"/>
      <c r="OQN617" s="294"/>
      <c r="OQO617" s="294"/>
      <c r="OQP617" s="294"/>
      <c r="OQQ617" s="294"/>
      <c r="OQR617" s="294"/>
      <c r="OQS617" s="294"/>
      <c r="OQT617" s="294"/>
      <c r="OQU617" s="294"/>
      <c r="OQV617" s="294"/>
      <c r="OQW617" s="294"/>
      <c r="OQX617" s="294"/>
      <c r="OQY617" s="294"/>
      <c r="OQZ617" s="294"/>
      <c r="ORA617" s="294"/>
      <c r="ORB617" s="294"/>
      <c r="ORC617" s="294"/>
      <c r="ORD617" s="294"/>
      <c r="ORE617" s="294"/>
      <c r="ORF617" s="294"/>
      <c r="ORG617" s="294"/>
      <c r="ORH617" s="294"/>
      <c r="ORI617" s="294"/>
      <c r="ORJ617" s="294"/>
      <c r="ORK617" s="294"/>
      <c r="ORL617" s="294"/>
      <c r="ORM617" s="294"/>
      <c r="ORN617" s="294"/>
      <c r="ORO617" s="294"/>
      <c r="ORP617" s="294"/>
      <c r="ORQ617" s="294"/>
      <c r="ORR617" s="294"/>
      <c r="ORS617" s="294"/>
      <c r="ORT617" s="294"/>
      <c r="ORU617" s="294"/>
      <c r="ORV617" s="294"/>
      <c r="ORW617" s="294"/>
      <c r="ORX617" s="294"/>
      <c r="ORY617" s="294"/>
      <c r="ORZ617" s="294"/>
      <c r="OSA617" s="294"/>
      <c r="OSB617" s="294"/>
      <c r="OSC617" s="294"/>
      <c r="OSD617" s="294"/>
      <c r="OSE617" s="294"/>
      <c r="OSF617" s="294"/>
      <c r="OSG617" s="294"/>
      <c r="OSH617" s="294"/>
      <c r="OSI617" s="294"/>
      <c r="OSJ617" s="294"/>
      <c r="OSK617" s="294"/>
      <c r="OSL617" s="294"/>
      <c r="OSM617" s="294"/>
      <c r="OSN617" s="294"/>
      <c r="OSO617" s="294"/>
      <c r="OSP617" s="294"/>
      <c r="OSQ617" s="294"/>
      <c r="OSR617" s="294"/>
      <c r="OSS617" s="294"/>
      <c r="OST617" s="294"/>
      <c r="OSU617" s="294"/>
      <c r="OSV617" s="294"/>
      <c r="OSW617" s="294"/>
      <c r="OSX617" s="294"/>
      <c r="OSY617" s="294"/>
      <c r="OSZ617" s="294"/>
      <c r="OTA617" s="294"/>
      <c r="OTB617" s="294"/>
      <c r="OTC617" s="294"/>
      <c r="OTD617" s="294"/>
      <c r="OTE617" s="294"/>
      <c r="OTF617" s="294"/>
      <c r="OTG617" s="294"/>
      <c r="OTH617" s="294"/>
      <c r="OTI617" s="294"/>
      <c r="OTJ617" s="294"/>
      <c r="OTK617" s="294"/>
      <c r="OTL617" s="294"/>
      <c r="OTM617" s="294"/>
      <c r="OTN617" s="294"/>
      <c r="OTO617" s="294"/>
      <c r="OTP617" s="294"/>
      <c r="OTQ617" s="294"/>
      <c r="OTR617" s="294"/>
      <c r="OTS617" s="294"/>
      <c r="OTT617" s="294"/>
      <c r="OTU617" s="294"/>
      <c r="OTV617" s="294"/>
      <c r="OTW617" s="294"/>
      <c r="OTX617" s="294"/>
      <c r="OTY617" s="294"/>
      <c r="OTZ617" s="294"/>
      <c r="OUA617" s="294"/>
      <c r="OUB617" s="294"/>
      <c r="OUC617" s="294"/>
      <c r="OUD617" s="294"/>
      <c r="OUE617" s="294"/>
      <c r="OUF617" s="294"/>
      <c r="OUG617" s="294"/>
      <c r="OUH617" s="294"/>
      <c r="OUI617" s="294"/>
      <c r="OUJ617" s="294"/>
      <c r="OUK617" s="294"/>
      <c r="OUL617" s="294"/>
      <c r="OUM617" s="294"/>
      <c r="OUN617" s="294"/>
      <c r="OUO617" s="294"/>
      <c r="OUP617" s="294"/>
      <c r="OUQ617" s="294"/>
      <c r="OUR617" s="294"/>
      <c r="OUS617" s="294"/>
      <c r="OUT617" s="294"/>
      <c r="OUU617" s="294"/>
      <c r="OUV617" s="294"/>
      <c r="OUW617" s="294"/>
      <c r="OUX617" s="294"/>
      <c r="OUY617" s="294"/>
      <c r="OUZ617" s="294"/>
      <c r="OVA617" s="294"/>
      <c r="OVB617" s="294"/>
      <c r="OVC617" s="294"/>
      <c r="OVD617" s="294"/>
      <c r="OVE617" s="294"/>
      <c r="OVF617" s="294"/>
      <c r="OVG617" s="294"/>
      <c r="OVH617" s="294"/>
      <c r="OVI617" s="294"/>
      <c r="OVJ617" s="294"/>
      <c r="OVK617" s="294"/>
      <c r="OVL617" s="294"/>
      <c r="OVM617" s="294"/>
      <c r="OVN617" s="294"/>
      <c r="OVO617" s="294"/>
      <c r="OVP617" s="294"/>
      <c r="OVQ617" s="294"/>
      <c r="OVR617" s="294"/>
      <c r="OVS617" s="294"/>
      <c r="OVT617" s="294"/>
      <c r="OVU617" s="294"/>
      <c r="OVV617" s="294"/>
      <c r="OVW617" s="294"/>
      <c r="OVX617" s="294"/>
      <c r="OVY617" s="294"/>
      <c r="OVZ617" s="294"/>
      <c r="OWA617" s="294"/>
      <c r="OWB617" s="294"/>
      <c r="OWC617" s="294"/>
      <c r="OWD617" s="294"/>
      <c r="OWE617" s="294"/>
      <c r="OWF617" s="294"/>
      <c r="OWG617" s="294"/>
      <c r="OWH617" s="294"/>
      <c r="OWI617" s="294"/>
      <c r="OWJ617" s="294"/>
      <c r="OWK617" s="294"/>
      <c r="OWL617" s="294"/>
      <c r="OWM617" s="294"/>
      <c r="OWN617" s="294"/>
      <c r="OWO617" s="294"/>
      <c r="OWP617" s="294"/>
      <c r="OWQ617" s="294"/>
      <c r="OWR617" s="294"/>
      <c r="OWS617" s="294"/>
      <c r="OWT617" s="294"/>
      <c r="OWU617" s="294"/>
      <c r="OWV617" s="294"/>
      <c r="OWW617" s="294"/>
      <c r="OWX617" s="294"/>
      <c r="OWY617" s="294"/>
      <c r="OWZ617" s="294"/>
      <c r="OXA617" s="294"/>
      <c r="OXB617" s="294"/>
      <c r="OXC617" s="294"/>
      <c r="OXD617" s="294"/>
      <c r="OXE617" s="294"/>
      <c r="OXF617" s="294"/>
      <c r="OXG617" s="294"/>
      <c r="OXH617" s="294"/>
      <c r="OXI617" s="294"/>
      <c r="OXJ617" s="294"/>
      <c r="OXK617" s="294"/>
      <c r="OXL617" s="294"/>
      <c r="OXM617" s="294"/>
      <c r="OXN617" s="294"/>
      <c r="OXO617" s="294"/>
      <c r="OXP617" s="294"/>
      <c r="OXQ617" s="294"/>
      <c r="OXR617" s="294"/>
      <c r="OXS617" s="294"/>
      <c r="OXT617" s="294"/>
      <c r="OXU617" s="294"/>
      <c r="OXV617" s="294"/>
      <c r="OXW617" s="294"/>
      <c r="OXX617" s="294"/>
      <c r="OXY617" s="294"/>
      <c r="OXZ617" s="294"/>
      <c r="OYA617" s="294"/>
      <c r="OYB617" s="294"/>
      <c r="OYC617" s="294"/>
      <c r="OYD617" s="294"/>
      <c r="OYE617" s="294"/>
      <c r="OYF617" s="294"/>
      <c r="OYG617" s="294"/>
      <c r="OYH617" s="294"/>
      <c r="OYI617" s="294"/>
      <c r="OYJ617" s="294"/>
      <c r="OYK617" s="294"/>
      <c r="OYL617" s="294"/>
      <c r="OYM617" s="294"/>
      <c r="OYN617" s="294"/>
      <c r="OYO617" s="294"/>
      <c r="OYP617" s="294"/>
      <c r="OYQ617" s="294"/>
      <c r="OYR617" s="294"/>
      <c r="OYS617" s="294"/>
      <c r="OYT617" s="294"/>
      <c r="OYU617" s="294"/>
      <c r="OYV617" s="294"/>
      <c r="OYW617" s="294"/>
      <c r="OYX617" s="294"/>
      <c r="OYY617" s="294"/>
      <c r="OYZ617" s="294"/>
      <c r="OZA617" s="294"/>
      <c r="OZB617" s="294"/>
      <c r="OZC617" s="294"/>
      <c r="OZD617" s="294"/>
      <c r="OZE617" s="294"/>
      <c r="OZF617" s="294"/>
      <c r="OZG617" s="294"/>
      <c r="OZH617" s="294"/>
      <c r="OZI617" s="294"/>
      <c r="OZJ617" s="294"/>
      <c r="OZK617" s="294"/>
      <c r="OZL617" s="294"/>
      <c r="OZM617" s="294"/>
      <c r="OZN617" s="294"/>
      <c r="OZO617" s="294"/>
      <c r="OZP617" s="294"/>
      <c r="OZQ617" s="294"/>
      <c r="OZR617" s="294"/>
      <c r="OZS617" s="294"/>
      <c r="OZT617" s="294"/>
      <c r="OZU617" s="294"/>
      <c r="OZV617" s="294"/>
      <c r="OZW617" s="294"/>
      <c r="OZX617" s="294"/>
      <c r="OZY617" s="294"/>
      <c r="OZZ617" s="294"/>
      <c r="PAA617" s="294"/>
      <c r="PAB617" s="294"/>
      <c r="PAC617" s="294"/>
      <c r="PAD617" s="294"/>
      <c r="PAE617" s="294"/>
      <c r="PAF617" s="294"/>
      <c r="PAG617" s="294"/>
      <c r="PAH617" s="294"/>
      <c r="PAI617" s="294"/>
      <c r="PAJ617" s="294"/>
      <c r="PAK617" s="294"/>
      <c r="PAL617" s="294"/>
      <c r="PAM617" s="294"/>
      <c r="PAN617" s="294"/>
      <c r="PAO617" s="294"/>
      <c r="PAP617" s="294"/>
      <c r="PAQ617" s="294"/>
      <c r="PAR617" s="294"/>
      <c r="PAS617" s="294"/>
      <c r="PAT617" s="294"/>
      <c r="PAU617" s="294"/>
      <c r="PAV617" s="294"/>
      <c r="PAW617" s="294"/>
      <c r="PAX617" s="294"/>
      <c r="PAY617" s="294"/>
      <c r="PAZ617" s="294"/>
      <c r="PBA617" s="294"/>
      <c r="PBB617" s="294"/>
      <c r="PBC617" s="294"/>
      <c r="PBD617" s="294"/>
      <c r="PBE617" s="294"/>
      <c r="PBF617" s="294"/>
      <c r="PBG617" s="294"/>
      <c r="PBH617" s="294"/>
      <c r="PBI617" s="294"/>
      <c r="PBJ617" s="294"/>
      <c r="PBK617" s="294"/>
      <c r="PBL617" s="294"/>
      <c r="PBM617" s="294"/>
      <c r="PBN617" s="294"/>
      <c r="PBO617" s="294"/>
      <c r="PBP617" s="294"/>
      <c r="PBQ617" s="294"/>
      <c r="PBR617" s="294"/>
      <c r="PBS617" s="294"/>
      <c r="PBT617" s="294"/>
      <c r="PBU617" s="294"/>
      <c r="PBV617" s="294"/>
      <c r="PBW617" s="294"/>
      <c r="PBX617" s="294"/>
      <c r="PBY617" s="294"/>
      <c r="PBZ617" s="294"/>
      <c r="PCA617" s="294"/>
      <c r="PCB617" s="294"/>
      <c r="PCC617" s="294"/>
      <c r="PCD617" s="294"/>
      <c r="PCE617" s="294"/>
      <c r="PCF617" s="294"/>
      <c r="PCG617" s="294"/>
      <c r="PCH617" s="294"/>
      <c r="PCI617" s="294"/>
      <c r="PCJ617" s="294"/>
      <c r="PCK617" s="294"/>
      <c r="PCL617" s="294"/>
      <c r="PCM617" s="294"/>
      <c r="PCN617" s="294"/>
      <c r="PCO617" s="294"/>
      <c r="PCP617" s="294"/>
      <c r="PCQ617" s="294"/>
      <c r="PCR617" s="294"/>
      <c r="PCS617" s="294"/>
      <c r="PCT617" s="294"/>
      <c r="PCU617" s="294"/>
      <c r="PCV617" s="294"/>
      <c r="PCW617" s="294"/>
      <c r="PCX617" s="294"/>
      <c r="PCY617" s="294"/>
      <c r="PCZ617" s="294"/>
      <c r="PDA617" s="294"/>
      <c r="PDB617" s="294"/>
      <c r="PDC617" s="294"/>
      <c r="PDD617" s="294"/>
      <c r="PDE617" s="294"/>
      <c r="PDF617" s="294"/>
      <c r="PDG617" s="294"/>
      <c r="PDH617" s="294"/>
      <c r="PDI617" s="294"/>
      <c r="PDJ617" s="294"/>
      <c r="PDK617" s="294"/>
      <c r="PDL617" s="294"/>
      <c r="PDM617" s="294"/>
      <c r="PDN617" s="294"/>
      <c r="PDO617" s="294"/>
      <c r="PDP617" s="294"/>
      <c r="PDQ617" s="294"/>
      <c r="PDR617" s="294"/>
      <c r="PDS617" s="294"/>
      <c r="PDT617" s="294"/>
      <c r="PDU617" s="294"/>
      <c r="PDV617" s="294"/>
      <c r="PDW617" s="294"/>
      <c r="PDX617" s="294"/>
      <c r="PDY617" s="294"/>
      <c r="PDZ617" s="294"/>
      <c r="PEA617" s="294"/>
      <c r="PEB617" s="294"/>
      <c r="PEC617" s="294"/>
      <c r="PED617" s="294"/>
      <c r="PEE617" s="294"/>
      <c r="PEF617" s="294"/>
      <c r="PEG617" s="294"/>
      <c r="PEH617" s="294"/>
      <c r="PEI617" s="294"/>
      <c r="PEJ617" s="294"/>
      <c r="PEK617" s="294"/>
      <c r="PEL617" s="294"/>
      <c r="PEM617" s="294"/>
      <c r="PEN617" s="294"/>
      <c r="PEO617" s="294"/>
      <c r="PEP617" s="294"/>
      <c r="PEQ617" s="294"/>
      <c r="PER617" s="294"/>
      <c r="PES617" s="294"/>
      <c r="PET617" s="294"/>
      <c r="PEU617" s="294"/>
      <c r="PEV617" s="294"/>
      <c r="PEW617" s="294"/>
      <c r="PEX617" s="294"/>
      <c r="PEY617" s="294"/>
      <c r="PEZ617" s="294"/>
      <c r="PFA617" s="294"/>
      <c r="PFB617" s="294"/>
      <c r="PFC617" s="294"/>
      <c r="PFD617" s="294"/>
      <c r="PFE617" s="294"/>
      <c r="PFF617" s="294"/>
      <c r="PFG617" s="294"/>
      <c r="PFH617" s="294"/>
      <c r="PFI617" s="294"/>
      <c r="PFJ617" s="294"/>
      <c r="PFK617" s="294"/>
      <c r="PFL617" s="294"/>
      <c r="PFM617" s="294"/>
      <c r="PFN617" s="294"/>
      <c r="PFO617" s="294"/>
      <c r="PFP617" s="294"/>
      <c r="PFQ617" s="294"/>
      <c r="PFR617" s="294"/>
      <c r="PFS617" s="294"/>
      <c r="PFT617" s="294"/>
      <c r="PFU617" s="294"/>
      <c r="PFV617" s="294"/>
      <c r="PFW617" s="294"/>
      <c r="PFX617" s="294"/>
      <c r="PFY617" s="294"/>
      <c r="PFZ617" s="294"/>
      <c r="PGA617" s="294"/>
      <c r="PGB617" s="294"/>
      <c r="PGC617" s="294"/>
      <c r="PGD617" s="294"/>
      <c r="PGE617" s="294"/>
      <c r="PGF617" s="294"/>
      <c r="PGG617" s="294"/>
      <c r="PGH617" s="294"/>
      <c r="PGI617" s="294"/>
      <c r="PGJ617" s="294"/>
      <c r="PGK617" s="294"/>
      <c r="PGL617" s="294"/>
      <c r="PGM617" s="294"/>
      <c r="PGN617" s="294"/>
      <c r="PGO617" s="294"/>
      <c r="PGP617" s="294"/>
      <c r="PGQ617" s="294"/>
      <c r="PGR617" s="294"/>
      <c r="PGS617" s="294"/>
      <c r="PGT617" s="294"/>
      <c r="PGU617" s="294"/>
      <c r="PGV617" s="294"/>
      <c r="PGW617" s="294"/>
      <c r="PGX617" s="294"/>
      <c r="PGY617" s="294"/>
      <c r="PGZ617" s="294"/>
      <c r="PHA617" s="294"/>
      <c r="PHB617" s="294"/>
      <c r="PHC617" s="294"/>
      <c r="PHD617" s="294"/>
      <c r="PHE617" s="294"/>
      <c r="PHF617" s="294"/>
      <c r="PHG617" s="294"/>
      <c r="PHH617" s="294"/>
      <c r="PHI617" s="294"/>
      <c r="PHJ617" s="294"/>
      <c r="PHK617" s="294"/>
      <c r="PHL617" s="294"/>
      <c r="PHM617" s="294"/>
      <c r="PHN617" s="294"/>
      <c r="PHO617" s="294"/>
      <c r="PHP617" s="294"/>
      <c r="PHQ617" s="294"/>
      <c r="PHR617" s="294"/>
      <c r="PHS617" s="294"/>
      <c r="PHT617" s="294"/>
      <c r="PHU617" s="294"/>
      <c r="PHV617" s="294"/>
      <c r="PHW617" s="294"/>
      <c r="PHX617" s="294"/>
      <c r="PHY617" s="294"/>
      <c r="PHZ617" s="294"/>
      <c r="PIA617" s="294"/>
      <c r="PIB617" s="294"/>
      <c r="PIC617" s="294"/>
      <c r="PID617" s="294"/>
      <c r="PIE617" s="294"/>
      <c r="PIF617" s="294"/>
      <c r="PIG617" s="294"/>
      <c r="PIH617" s="294"/>
      <c r="PII617" s="294"/>
      <c r="PIJ617" s="294"/>
      <c r="PIK617" s="294"/>
      <c r="PIL617" s="294"/>
      <c r="PIM617" s="294"/>
      <c r="PIN617" s="294"/>
      <c r="PIO617" s="294"/>
      <c r="PIP617" s="294"/>
      <c r="PIQ617" s="294"/>
      <c r="PIR617" s="294"/>
      <c r="PIS617" s="294"/>
      <c r="PIT617" s="294"/>
      <c r="PIU617" s="294"/>
      <c r="PIV617" s="294"/>
      <c r="PIW617" s="294"/>
      <c r="PIX617" s="294"/>
      <c r="PIY617" s="294"/>
      <c r="PIZ617" s="294"/>
      <c r="PJA617" s="294"/>
      <c r="PJB617" s="294"/>
      <c r="PJC617" s="294"/>
      <c r="PJD617" s="294"/>
      <c r="PJE617" s="294"/>
      <c r="PJF617" s="294"/>
      <c r="PJG617" s="294"/>
      <c r="PJH617" s="294"/>
      <c r="PJI617" s="294"/>
      <c r="PJJ617" s="294"/>
      <c r="PJK617" s="294"/>
      <c r="PJL617" s="294"/>
      <c r="PJM617" s="294"/>
      <c r="PJN617" s="294"/>
      <c r="PJO617" s="294"/>
      <c r="PJP617" s="294"/>
      <c r="PJQ617" s="294"/>
      <c r="PJR617" s="294"/>
      <c r="PJS617" s="294"/>
      <c r="PJT617" s="294"/>
      <c r="PJU617" s="294"/>
      <c r="PJV617" s="294"/>
      <c r="PJW617" s="294"/>
      <c r="PJX617" s="294"/>
      <c r="PJY617" s="294"/>
      <c r="PJZ617" s="294"/>
      <c r="PKA617" s="294"/>
      <c r="PKB617" s="294"/>
      <c r="PKC617" s="294"/>
      <c r="PKD617" s="294"/>
      <c r="PKE617" s="294"/>
      <c r="PKF617" s="294"/>
      <c r="PKG617" s="294"/>
      <c r="PKH617" s="294"/>
      <c r="PKI617" s="294"/>
      <c r="PKJ617" s="294"/>
      <c r="PKK617" s="294"/>
      <c r="PKL617" s="294"/>
      <c r="PKM617" s="294"/>
      <c r="PKN617" s="294"/>
      <c r="PKO617" s="294"/>
      <c r="PKP617" s="294"/>
      <c r="PKQ617" s="294"/>
      <c r="PKR617" s="294"/>
      <c r="PKS617" s="294"/>
      <c r="PKT617" s="294"/>
      <c r="PKU617" s="294"/>
      <c r="PKV617" s="294"/>
      <c r="PKW617" s="294"/>
      <c r="PKX617" s="294"/>
      <c r="PKY617" s="294"/>
      <c r="PKZ617" s="294"/>
      <c r="PLA617" s="294"/>
      <c r="PLB617" s="294"/>
      <c r="PLC617" s="294"/>
      <c r="PLD617" s="294"/>
      <c r="PLE617" s="294"/>
      <c r="PLF617" s="294"/>
      <c r="PLG617" s="294"/>
      <c r="PLH617" s="294"/>
      <c r="PLI617" s="294"/>
      <c r="PLJ617" s="294"/>
      <c r="PLK617" s="294"/>
      <c r="PLL617" s="294"/>
      <c r="PLM617" s="294"/>
      <c r="PLN617" s="294"/>
      <c r="PLO617" s="294"/>
      <c r="PLP617" s="294"/>
      <c r="PLQ617" s="294"/>
      <c r="PLR617" s="294"/>
      <c r="PLS617" s="294"/>
      <c r="PLT617" s="294"/>
      <c r="PLU617" s="294"/>
      <c r="PLV617" s="294"/>
      <c r="PLW617" s="294"/>
      <c r="PLX617" s="294"/>
      <c r="PLY617" s="294"/>
      <c r="PLZ617" s="294"/>
      <c r="PMA617" s="294"/>
      <c r="PMB617" s="294"/>
      <c r="PMC617" s="294"/>
      <c r="PMD617" s="294"/>
      <c r="PME617" s="294"/>
      <c r="PMF617" s="294"/>
      <c r="PMG617" s="294"/>
      <c r="PMH617" s="294"/>
      <c r="PMI617" s="294"/>
      <c r="PMJ617" s="294"/>
      <c r="PMK617" s="294"/>
      <c r="PML617" s="294"/>
      <c r="PMM617" s="294"/>
      <c r="PMN617" s="294"/>
      <c r="PMO617" s="294"/>
      <c r="PMP617" s="294"/>
      <c r="PMQ617" s="294"/>
      <c r="PMR617" s="294"/>
      <c r="PMS617" s="294"/>
      <c r="PMT617" s="294"/>
      <c r="PMU617" s="294"/>
      <c r="PMV617" s="294"/>
      <c r="PMW617" s="294"/>
      <c r="PMX617" s="294"/>
      <c r="PMY617" s="294"/>
      <c r="PMZ617" s="294"/>
      <c r="PNA617" s="294"/>
      <c r="PNB617" s="294"/>
      <c r="PNC617" s="294"/>
      <c r="PND617" s="294"/>
      <c r="PNE617" s="294"/>
      <c r="PNF617" s="294"/>
      <c r="PNG617" s="294"/>
      <c r="PNH617" s="294"/>
      <c r="PNI617" s="294"/>
      <c r="PNJ617" s="294"/>
      <c r="PNK617" s="294"/>
      <c r="PNL617" s="294"/>
      <c r="PNM617" s="294"/>
      <c r="PNN617" s="294"/>
      <c r="PNO617" s="294"/>
      <c r="PNP617" s="294"/>
      <c r="PNQ617" s="294"/>
      <c r="PNR617" s="294"/>
      <c r="PNS617" s="294"/>
      <c r="PNT617" s="294"/>
      <c r="PNU617" s="294"/>
      <c r="PNV617" s="294"/>
      <c r="PNW617" s="294"/>
      <c r="PNX617" s="294"/>
      <c r="PNY617" s="294"/>
      <c r="PNZ617" s="294"/>
      <c r="POA617" s="294"/>
      <c r="POB617" s="294"/>
      <c r="POC617" s="294"/>
      <c r="POD617" s="294"/>
      <c r="POE617" s="294"/>
      <c r="POF617" s="294"/>
      <c r="POG617" s="294"/>
      <c r="POH617" s="294"/>
      <c r="POI617" s="294"/>
      <c r="POJ617" s="294"/>
      <c r="POK617" s="294"/>
      <c r="POL617" s="294"/>
      <c r="POM617" s="294"/>
      <c r="PON617" s="294"/>
      <c r="POO617" s="294"/>
      <c r="POP617" s="294"/>
      <c r="POQ617" s="294"/>
      <c r="POR617" s="294"/>
      <c r="POS617" s="294"/>
      <c r="POT617" s="294"/>
      <c r="POU617" s="294"/>
      <c r="POV617" s="294"/>
      <c r="POW617" s="294"/>
      <c r="POX617" s="294"/>
      <c r="POY617" s="294"/>
      <c r="POZ617" s="294"/>
      <c r="PPA617" s="294"/>
      <c r="PPB617" s="294"/>
      <c r="PPC617" s="294"/>
      <c r="PPD617" s="294"/>
      <c r="PPE617" s="294"/>
      <c r="PPF617" s="294"/>
      <c r="PPG617" s="294"/>
      <c r="PPH617" s="294"/>
      <c r="PPI617" s="294"/>
      <c r="PPJ617" s="294"/>
      <c r="PPK617" s="294"/>
      <c r="PPL617" s="294"/>
      <c r="PPM617" s="294"/>
      <c r="PPN617" s="294"/>
      <c r="PPO617" s="294"/>
      <c r="PPP617" s="294"/>
      <c r="PPQ617" s="294"/>
      <c r="PPR617" s="294"/>
      <c r="PPS617" s="294"/>
      <c r="PPT617" s="294"/>
      <c r="PPU617" s="294"/>
      <c r="PPV617" s="294"/>
      <c r="PPW617" s="294"/>
      <c r="PPX617" s="294"/>
      <c r="PPY617" s="294"/>
      <c r="PPZ617" s="294"/>
      <c r="PQA617" s="294"/>
      <c r="PQB617" s="294"/>
      <c r="PQC617" s="294"/>
      <c r="PQD617" s="294"/>
      <c r="PQE617" s="294"/>
      <c r="PQF617" s="294"/>
      <c r="PQG617" s="294"/>
      <c r="PQH617" s="294"/>
      <c r="PQI617" s="294"/>
      <c r="PQJ617" s="294"/>
      <c r="PQK617" s="294"/>
      <c r="PQL617" s="294"/>
      <c r="PQM617" s="294"/>
      <c r="PQN617" s="294"/>
      <c r="PQO617" s="294"/>
      <c r="PQP617" s="294"/>
      <c r="PQQ617" s="294"/>
      <c r="PQR617" s="294"/>
      <c r="PQS617" s="294"/>
      <c r="PQT617" s="294"/>
      <c r="PQU617" s="294"/>
      <c r="PQV617" s="294"/>
      <c r="PQW617" s="294"/>
      <c r="PQX617" s="294"/>
      <c r="PQY617" s="294"/>
      <c r="PQZ617" s="294"/>
      <c r="PRA617" s="294"/>
      <c r="PRB617" s="294"/>
      <c r="PRC617" s="294"/>
      <c r="PRD617" s="294"/>
      <c r="PRE617" s="294"/>
      <c r="PRF617" s="294"/>
      <c r="PRG617" s="294"/>
      <c r="PRH617" s="294"/>
      <c r="PRI617" s="294"/>
      <c r="PRJ617" s="294"/>
      <c r="PRK617" s="294"/>
      <c r="PRL617" s="294"/>
      <c r="PRM617" s="294"/>
      <c r="PRN617" s="294"/>
      <c r="PRO617" s="294"/>
      <c r="PRP617" s="294"/>
      <c r="PRQ617" s="294"/>
      <c r="PRR617" s="294"/>
      <c r="PRS617" s="294"/>
      <c r="PRT617" s="294"/>
      <c r="PRU617" s="294"/>
      <c r="PRV617" s="294"/>
      <c r="PRW617" s="294"/>
      <c r="PRX617" s="294"/>
      <c r="PRY617" s="294"/>
      <c r="PRZ617" s="294"/>
      <c r="PSA617" s="294"/>
      <c r="PSB617" s="294"/>
      <c r="PSC617" s="294"/>
      <c r="PSD617" s="294"/>
      <c r="PSE617" s="294"/>
      <c r="PSF617" s="294"/>
      <c r="PSG617" s="294"/>
      <c r="PSH617" s="294"/>
      <c r="PSI617" s="294"/>
      <c r="PSJ617" s="294"/>
      <c r="PSK617" s="294"/>
      <c r="PSL617" s="294"/>
      <c r="PSM617" s="294"/>
      <c r="PSN617" s="294"/>
      <c r="PSO617" s="294"/>
      <c r="PSP617" s="294"/>
      <c r="PSQ617" s="294"/>
      <c r="PSR617" s="294"/>
      <c r="PSS617" s="294"/>
      <c r="PST617" s="294"/>
      <c r="PSU617" s="294"/>
      <c r="PSV617" s="294"/>
      <c r="PSW617" s="294"/>
      <c r="PSX617" s="294"/>
      <c r="PSY617" s="294"/>
      <c r="PSZ617" s="294"/>
      <c r="PTA617" s="294"/>
      <c r="PTB617" s="294"/>
      <c r="PTC617" s="294"/>
      <c r="PTD617" s="294"/>
      <c r="PTE617" s="294"/>
      <c r="PTF617" s="294"/>
      <c r="PTG617" s="294"/>
      <c r="PTH617" s="294"/>
      <c r="PTI617" s="294"/>
      <c r="PTJ617" s="294"/>
      <c r="PTK617" s="294"/>
      <c r="PTL617" s="294"/>
      <c r="PTM617" s="294"/>
      <c r="PTN617" s="294"/>
      <c r="PTO617" s="294"/>
      <c r="PTP617" s="294"/>
      <c r="PTQ617" s="294"/>
      <c r="PTR617" s="294"/>
      <c r="PTS617" s="294"/>
      <c r="PTT617" s="294"/>
      <c r="PTU617" s="294"/>
      <c r="PTV617" s="294"/>
      <c r="PTW617" s="294"/>
      <c r="PTX617" s="294"/>
      <c r="PTY617" s="294"/>
      <c r="PTZ617" s="294"/>
      <c r="PUA617" s="294"/>
      <c r="PUB617" s="294"/>
      <c r="PUC617" s="294"/>
      <c r="PUD617" s="294"/>
      <c r="PUE617" s="294"/>
      <c r="PUF617" s="294"/>
      <c r="PUG617" s="294"/>
      <c r="PUH617" s="294"/>
      <c r="PUI617" s="294"/>
      <c r="PUJ617" s="294"/>
      <c r="PUK617" s="294"/>
      <c r="PUL617" s="294"/>
      <c r="PUM617" s="294"/>
      <c r="PUN617" s="294"/>
      <c r="PUO617" s="294"/>
      <c r="PUP617" s="294"/>
      <c r="PUQ617" s="294"/>
      <c r="PUR617" s="294"/>
      <c r="PUS617" s="294"/>
      <c r="PUT617" s="294"/>
      <c r="PUU617" s="294"/>
      <c r="PUV617" s="294"/>
      <c r="PUW617" s="294"/>
      <c r="PUX617" s="294"/>
      <c r="PUY617" s="294"/>
      <c r="PUZ617" s="294"/>
      <c r="PVA617" s="294"/>
      <c r="PVB617" s="294"/>
      <c r="PVC617" s="294"/>
      <c r="PVD617" s="294"/>
      <c r="PVE617" s="294"/>
      <c r="PVF617" s="294"/>
      <c r="PVG617" s="294"/>
      <c r="PVH617" s="294"/>
      <c r="PVI617" s="294"/>
      <c r="PVJ617" s="294"/>
      <c r="PVK617" s="294"/>
      <c r="PVL617" s="294"/>
      <c r="PVM617" s="294"/>
      <c r="PVN617" s="294"/>
      <c r="PVO617" s="294"/>
      <c r="PVP617" s="294"/>
      <c r="PVQ617" s="294"/>
      <c r="PVR617" s="294"/>
      <c r="PVS617" s="294"/>
      <c r="PVT617" s="294"/>
      <c r="PVU617" s="294"/>
      <c r="PVV617" s="294"/>
      <c r="PVW617" s="294"/>
      <c r="PVX617" s="294"/>
      <c r="PVY617" s="294"/>
      <c r="PVZ617" s="294"/>
      <c r="PWA617" s="294"/>
      <c r="PWB617" s="294"/>
      <c r="PWC617" s="294"/>
      <c r="PWD617" s="294"/>
      <c r="PWE617" s="294"/>
      <c r="PWF617" s="294"/>
      <c r="PWG617" s="294"/>
      <c r="PWH617" s="294"/>
      <c r="PWI617" s="294"/>
      <c r="PWJ617" s="294"/>
      <c r="PWK617" s="294"/>
      <c r="PWL617" s="294"/>
      <c r="PWM617" s="294"/>
      <c r="PWN617" s="294"/>
      <c r="PWO617" s="294"/>
      <c r="PWP617" s="294"/>
      <c r="PWQ617" s="294"/>
      <c r="PWR617" s="294"/>
      <c r="PWS617" s="294"/>
      <c r="PWT617" s="294"/>
      <c r="PWU617" s="294"/>
      <c r="PWV617" s="294"/>
      <c r="PWW617" s="294"/>
      <c r="PWX617" s="294"/>
      <c r="PWY617" s="294"/>
      <c r="PWZ617" s="294"/>
      <c r="PXA617" s="294"/>
      <c r="PXB617" s="294"/>
      <c r="PXC617" s="294"/>
      <c r="PXD617" s="294"/>
      <c r="PXE617" s="294"/>
      <c r="PXF617" s="294"/>
      <c r="PXG617" s="294"/>
      <c r="PXH617" s="294"/>
      <c r="PXI617" s="294"/>
      <c r="PXJ617" s="294"/>
      <c r="PXK617" s="294"/>
      <c r="PXL617" s="294"/>
      <c r="PXM617" s="294"/>
      <c r="PXN617" s="294"/>
      <c r="PXO617" s="294"/>
      <c r="PXP617" s="294"/>
      <c r="PXQ617" s="294"/>
      <c r="PXR617" s="294"/>
      <c r="PXS617" s="294"/>
      <c r="PXT617" s="294"/>
      <c r="PXU617" s="294"/>
      <c r="PXV617" s="294"/>
      <c r="PXW617" s="294"/>
      <c r="PXX617" s="294"/>
      <c r="PXY617" s="294"/>
      <c r="PXZ617" s="294"/>
      <c r="PYA617" s="294"/>
      <c r="PYB617" s="294"/>
      <c r="PYC617" s="294"/>
      <c r="PYD617" s="294"/>
      <c r="PYE617" s="294"/>
      <c r="PYF617" s="294"/>
      <c r="PYG617" s="294"/>
      <c r="PYH617" s="294"/>
      <c r="PYI617" s="294"/>
      <c r="PYJ617" s="294"/>
      <c r="PYK617" s="294"/>
      <c r="PYL617" s="294"/>
      <c r="PYM617" s="294"/>
      <c r="PYN617" s="294"/>
      <c r="PYO617" s="294"/>
      <c r="PYP617" s="294"/>
      <c r="PYQ617" s="294"/>
      <c r="PYR617" s="294"/>
      <c r="PYS617" s="294"/>
      <c r="PYT617" s="294"/>
      <c r="PYU617" s="294"/>
      <c r="PYV617" s="294"/>
      <c r="PYW617" s="294"/>
      <c r="PYX617" s="294"/>
      <c r="PYY617" s="294"/>
      <c r="PYZ617" s="294"/>
      <c r="PZA617" s="294"/>
      <c r="PZB617" s="294"/>
      <c r="PZC617" s="294"/>
      <c r="PZD617" s="294"/>
      <c r="PZE617" s="294"/>
      <c r="PZF617" s="294"/>
      <c r="PZG617" s="294"/>
      <c r="PZH617" s="294"/>
      <c r="PZI617" s="294"/>
      <c r="PZJ617" s="294"/>
      <c r="PZK617" s="294"/>
      <c r="PZL617" s="294"/>
      <c r="PZM617" s="294"/>
      <c r="PZN617" s="294"/>
      <c r="PZO617" s="294"/>
      <c r="PZP617" s="294"/>
      <c r="PZQ617" s="294"/>
      <c r="PZR617" s="294"/>
      <c r="PZS617" s="294"/>
      <c r="PZT617" s="294"/>
      <c r="PZU617" s="294"/>
      <c r="PZV617" s="294"/>
      <c r="PZW617" s="294"/>
      <c r="PZX617" s="294"/>
      <c r="PZY617" s="294"/>
      <c r="PZZ617" s="294"/>
      <c r="QAA617" s="294"/>
      <c r="QAB617" s="294"/>
      <c r="QAC617" s="294"/>
      <c r="QAD617" s="294"/>
      <c r="QAE617" s="294"/>
      <c r="QAF617" s="294"/>
      <c r="QAG617" s="294"/>
      <c r="QAH617" s="294"/>
      <c r="QAI617" s="294"/>
      <c r="QAJ617" s="294"/>
      <c r="QAK617" s="294"/>
      <c r="QAL617" s="294"/>
      <c r="QAM617" s="294"/>
      <c r="QAN617" s="294"/>
      <c r="QAO617" s="294"/>
      <c r="QAP617" s="294"/>
      <c r="QAQ617" s="294"/>
      <c r="QAR617" s="294"/>
      <c r="QAS617" s="294"/>
      <c r="QAT617" s="294"/>
      <c r="QAU617" s="294"/>
      <c r="QAV617" s="294"/>
      <c r="QAW617" s="294"/>
      <c r="QAX617" s="294"/>
      <c r="QAY617" s="294"/>
      <c r="QAZ617" s="294"/>
      <c r="QBA617" s="294"/>
      <c r="QBB617" s="294"/>
      <c r="QBC617" s="294"/>
      <c r="QBD617" s="294"/>
      <c r="QBE617" s="294"/>
      <c r="QBF617" s="294"/>
      <c r="QBG617" s="294"/>
      <c r="QBH617" s="294"/>
      <c r="QBI617" s="294"/>
      <c r="QBJ617" s="294"/>
      <c r="QBK617" s="294"/>
      <c r="QBL617" s="294"/>
      <c r="QBM617" s="294"/>
      <c r="QBN617" s="294"/>
      <c r="QBO617" s="294"/>
      <c r="QBP617" s="294"/>
      <c r="QBQ617" s="294"/>
      <c r="QBR617" s="294"/>
      <c r="QBS617" s="294"/>
      <c r="QBT617" s="294"/>
      <c r="QBU617" s="294"/>
      <c r="QBV617" s="294"/>
      <c r="QBW617" s="294"/>
      <c r="QBX617" s="294"/>
      <c r="QBY617" s="294"/>
      <c r="QBZ617" s="294"/>
      <c r="QCA617" s="294"/>
      <c r="QCB617" s="294"/>
      <c r="QCC617" s="294"/>
      <c r="QCD617" s="294"/>
      <c r="QCE617" s="294"/>
      <c r="QCF617" s="294"/>
      <c r="QCG617" s="294"/>
      <c r="QCH617" s="294"/>
      <c r="QCI617" s="294"/>
      <c r="QCJ617" s="294"/>
      <c r="QCK617" s="294"/>
      <c r="QCL617" s="294"/>
      <c r="QCM617" s="294"/>
      <c r="QCN617" s="294"/>
      <c r="QCO617" s="294"/>
      <c r="QCP617" s="294"/>
      <c r="QCQ617" s="294"/>
      <c r="QCR617" s="294"/>
      <c r="QCS617" s="294"/>
      <c r="QCT617" s="294"/>
      <c r="QCU617" s="294"/>
      <c r="QCV617" s="294"/>
      <c r="QCW617" s="294"/>
      <c r="QCX617" s="294"/>
      <c r="QCY617" s="294"/>
      <c r="QCZ617" s="294"/>
      <c r="QDA617" s="294"/>
      <c r="QDB617" s="294"/>
      <c r="QDC617" s="294"/>
      <c r="QDD617" s="294"/>
      <c r="QDE617" s="294"/>
      <c r="QDF617" s="294"/>
      <c r="QDG617" s="294"/>
      <c r="QDH617" s="294"/>
      <c r="QDI617" s="294"/>
      <c r="QDJ617" s="294"/>
      <c r="QDK617" s="294"/>
      <c r="QDL617" s="294"/>
      <c r="QDM617" s="294"/>
      <c r="QDN617" s="294"/>
      <c r="QDO617" s="294"/>
      <c r="QDP617" s="294"/>
      <c r="QDQ617" s="294"/>
      <c r="QDR617" s="294"/>
      <c r="QDS617" s="294"/>
      <c r="QDT617" s="294"/>
      <c r="QDU617" s="294"/>
      <c r="QDV617" s="294"/>
      <c r="QDW617" s="294"/>
      <c r="QDX617" s="294"/>
      <c r="QDY617" s="294"/>
      <c r="QDZ617" s="294"/>
      <c r="QEA617" s="294"/>
      <c r="QEB617" s="294"/>
      <c r="QEC617" s="294"/>
      <c r="QED617" s="294"/>
      <c r="QEE617" s="294"/>
      <c r="QEF617" s="294"/>
      <c r="QEG617" s="294"/>
      <c r="QEH617" s="294"/>
      <c r="QEI617" s="294"/>
      <c r="QEJ617" s="294"/>
      <c r="QEK617" s="294"/>
      <c r="QEL617" s="294"/>
      <c r="QEM617" s="294"/>
      <c r="QEN617" s="294"/>
      <c r="QEO617" s="294"/>
      <c r="QEP617" s="294"/>
      <c r="QEQ617" s="294"/>
      <c r="QER617" s="294"/>
      <c r="QES617" s="294"/>
      <c r="QET617" s="294"/>
      <c r="QEU617" s="294"/>
      <c r="QEV617" s="294"/>
      <c r="QEW617" s="294"/>
      <c r="QEX617" s="294"/>
      <c r="QEY617" s="294"/>
      <c r="QEZ617" s="294"/>
      <c r="QFA617" s="294"/>
      <c r="QFB617" s="294"/>
      <c r="QFC617" s="294"/>
      <c r="QFD617" s="294"/>
      <c r="QFE617" s="294"/>
      <c r="QFF617" s="294"/>
      <c r="QFG617" s="294"/>
      <c r="QFH617" s="294"/>
      <c r="QFI617" s="294"/>
      <c r="QFJ617" s="294"/>
      <c r="QFK617" s="294"/>
      <c r="QFL617" s="294"/>
      <c r="QFM617" s="294"/>
      <c r="QFN617" s="294"/>
      <c r="QFO617" s="294"/>
      <c r="QFP617" s="294"/>
      <c r="QFQ617" s="294"/>
      <c r="QFR617" s="294"/>
      <c r="QFS617" s="294"/>
      <c r="QFT617" s="294"/>
      <c r="QFU617" s="294"/>
      <c r="QFV617" s="294"/>
      <c r="QFW617" s="294"/>
      <c r="QFX617" s="294"/>
      <c r="QFY617" s="294"/>
      <c r="QFZ617" s="294"/>
      <c r="QGA617" s="294"/>
      <c r="QGB617" s="294"/>
      <c r="QGC617" s="294"/>
      <c r="QGD617" s="294"/>
      <c r="QGE617" s="294"/>
      <c r="QGF617" s="294"/>
      <c r="QGG617" s="294"/>
      <c r="QGH617" s="294"/>
      <c r="QGI617" s="294"/>
      <c r="QGJ617" s="294"/>
      <c r="QGK617" s="294"/>
      <c r="QGL617" s="294"/>
      <c r="QGM617" s="294"/>
      <c r="QGN617" s="294"/>
      <c r="QGO617" s="294"/>
      <c r="QGP617" s="294"/>
      <c r="QGQ617" s="294"/>
      <c r="QGR617" s="294"/>
      <c r="QGS617" s="294"/>
      <c r="QGT617" s="294"/>
      <c r="QGU617" s="294"/>
      <c r="QGV617" s="294"/>
      <c r="QGW617" s="294"/>
      <c r="QGX617" s="294"/>
      <c r="QGY617" s="294"/>
      <c r="QGZ617" s="294"/>
      <c r="QHA617" s="294"/>
      <c r="QHB617" s="294"/>
      <c r="QHC617" s="294"/>
      <c r="QHD617" s="294"/>
      <c r="QHE617" s="294"/>
      <c r="QHF617" s="294"/>
      <c r="QHG617" s="294"/>
      <c r="QHH617" s="294"/>
      <c r="QHI617" s="294"/>
      <c r="QHJ617" s="294"/>
      <c r="QHK617" s="294"/>
      <c r="QHL617" s="294"/>
      <c r="QHM617" s="294"/>
      <c r="QHN617" s="294"/>
      <c r="QHO617" s="294"/>
      <c r="QHP617" s="294"/>
      <c r="QHQ617" s="294"/>
      <c r="QHR617" s="294"/>
      <c r="QHS617" s="294"/>
      <c r="QHT617" s="294"/>
      <c r="QHU617" s="294"/>
      <c r="QHV617" s="294"/>
      <c r="QHW617" s="294"/>
      <c r="QHX617" s="294"/>
      <c r="QHY617" s="294"/>
      <c r="QHZ617" s="294"/>
      <c r="QIA617" s="294"/>
      <c r="QIB617" s="294"/>
      <c r="QIC617" s="294"/>
      <c r="QID617" s="294"/>
      <c r="QIE617" s="294"/>
      <c r="QIF617" s="294"/>
      <c r="QIG617" s="294"/>
      <c r="QIH617" s="294"/>
      <c r="QII617" s="294"/>
      <c r="QIJ617" s="294"/>
      <c r="QIK617" s="294"/>
      <c r="QIL617" s="294"/>
      <c r="QIM617" s="294"/>
      <c r="QIN617" s="294"/>
      <c r="QIO617" s="294"/>
      <c r="QIP617" s="294"/>
      <c r="QIQ617" s="294"/>
      <c r="QIR617" s="294"/>
      <c r="QIS617" s="294"/>
      <c r="QIT617" s="294"/>
      <c r="QIU617" s="294"/>
      <c r="QIV617" s="294"/>
      <c r="QIW617" s="294"/>
      <c r="QIX617" s="294"/>
      <c r="QIY617" s="294"/>
      <c r="QIZ617" s="294"/>
      <c r="QJA617" s="294"/>
      <c r="QJB617" s="294"/>
      <c r="QJC617" s="294"/>
      <c r="QJD617" s="294"/>
      <c r="QJE617" s="294"/>
      <c r="QJF617" s="294"/>
      <c r="QJG617" s="294"/>
      <c r="QJH617" s="294"/>
      <c r="QJI617" s="294"/>
      <c r="QJJ617" s="294"/>
      <c r="QJK617" s="294"/>
      <c r="QJL617" s="294"/>
      <c r="QJM617" s="294"/>
      <c r="QJN617" s="294"/>
      <c r="QJO617" s="294"/>
      <c r="QJP617" s="294"/>
      <c r="QJQ617" s="294"/>
      <c r="QJR617" s="294"/>
      <c r="QJS617" s="294"/>
      <c r="QJT617" s="294"/>
      <c r="QJU617" s="294"/>
      <c r="QJV617" s="294"/>
      <c r="QJW617" s="294"/>
      <c r="QJX617" s="294"/>
      <c r="QJY617" s="294"/>
      <c r="QJZ617" s="294"/>
      <c r="QKA617" s="294"/>
      <c r="QKB617" s="294"/>
      <c r="QKC617" s="294"/>
      <c r="QKD617" s="294"/>
      <c r="QKE617" s="294"/>
      <c r="QKF617" s="294"/>
      <c r="QKG617" s="294"/>
      <c r="QKH617" s="294"/>
      <c r="QKI617" s="294"/>
      <c r="QKJ617" s="294"/>
      <c r="QKK617" s="294"/>
      <c r="QKL617" s="294"/>
      <c r="QKM617" s="294"/>
      <c r="QKN617" s="294"/>
      <c r="QKO617" s="294"/>
      <c r="QKP617" s="294"/>
      <c r="QKQ617" s="294"/>
      <c r="QKR617" s="294"/>
      <c r="QKS617" s="294"/>
      <c r="QKT617" s="294"/>
      <c r="QKU617" s="294"/>
      <c r="QKV617" s="294"/>
      <c r="QKW617" s="294"/>
      <c r="QKX617" s="294"/>
      <c r="QKY617" s="294"/>
      <c r="QKZ617" s="294"/>
      <c r="QLA617" s="294"/>
      <c r="QLB617" s="294"/>
      <c r="QLC617" s="294"/>
      <c r="QLD617" s="294"/>
      <c r="QLE617" s="294"/>
      <c r="QLF617" s="294"/>
      <c r="QLG617" s="294"/>
      <c r="QLH617" s="294"/>
      <c r="QLI617" s="294"/>
      <c r="QLJ617" s="294"/>
      <c r="QLK617" s="294"/>
      <c r="QLL617" s="294"/>
      <c r="QLM617" s="294"/>
      <c r="QLN617" s="294"/>
      <c r="QLO617" s="294"/>
      <c r="QLP617" s="294"/>
      <c r="QLQ617" s="294"/>
      <c r="QLR617" s="294"/>
      <c r="QLS617" s="294"/>
      <c r="QLT617" s="294"/>
      <c r="QLU617" s="294"/>
      <c r="QLV617" s="294"/>
      <c r="QLW617" s="294"/>
      <c r="QLX617" s="294"/>
      <c r="QLY617" s="294"/>
      <c r="QLZ617" s="294"/>
      <c r="QMA617" s="294"/>
      <c r="QMB617" s="294"/>
      <c r="QMC617" s="294"/>
      <c r="QMD617" s="294"/>
      <c r="QME617" s="294"/>
      <c r="QMF617" s="294"/>
      <c r="QMG617" s="294"/>
      <c r="QMH617" s="294"/>
      <c r="QMI617" s="294"/>
      <c r="QMJ617" s="294"/>
      <c r="QMK617" s="294"/>
      <c r="QML617" s="294"/>
      <c r="QMM617" s="294"/>
      <c r="QMN617" s="294"/>
      <c r="QMO617" s="294"/>
      <c r="QMP617" s="294"/>
      <c r="QMQ617" s="294"/>
      <c r="QMR617" s="294"/>
      <c r="QMS617" s="294"/>
      <c r="QMT617" s="294"/>
      <c r="QMU617" s="294"/>
      <c r="QMV617" s="294"/>
      <c r="QMW617" s="294"/>
      <c r="QMX617" s="294"/>
      <c r="QMY617" s="294"/>
      <c r="QMZ617" s="294"/>
      <c r="QNA617" s="294"/>
      <c r="QNB617" s="294"/>
      <c r="QNC617" s="294"/>
      <c r="QND617" s="294"/>
      <c r="QNE617" s="294"/>
      <c r="QNF617" s="294"/>
      <c r="QNG617" s="294"/>
      <c r="QNH617" s="294"/>
      <c r="QNI617" s="294"/>
      <c r="QNJ617" s="294"/>
      <c r="QNK617" s="294"/>
      <c r="QNL617" s="294"/>
      <c r="QNM617" s="294"/>
      <c r="QNN617" s="294"/>
      <c r="QNO617" s="294"/>
      <c r="QNP617" s="294"/>
      <c r="QNQ617" s="294"/>
      <c r="QNR617" s="294"/>
      <c r="QNS617" s="294"/>
      <c r="QNT617" s="294"/>
      <c r="QNU617" s="294"/>
      <c r="QNV617" s="294"/>
      <c r="QNW617" s="294"/>
      <c r="QNX617" s="294"/>
      <c r="QNY617" s="294"/>
      <c r="QNZ617" s="294"/>
      <c r="QOA617" s="294"/>
      <c r="QOB617" s="294"/>
      <c r="QOC617" s="294"/>
      <c r="QOD617" s="294"/>
      <c r="QOE617" s="294"/>
      <c r="QOF617" s="294"/>
      <c r="QOG617" s="294"/>
      <c r="QOH617" s="294"/>
      <c r="QOI617" s="294"/>
      <c r="QOJ617" s="294"/>
      <c r="QOK617" s="294"/>
      <c r="QOL617" s="294"/>
      <c r="QOM617" s="294"/>
      <c r="QON617" s="294"/>
      <c r="QOO617" s="294"/>
      <c r="QOP617" s="294"/>
      <c r="QOQ617" s="294"/>
      <c r="QOR617" s="294"/>
      <c r="QOS617" s="294"/>
      <c r="QOT617" s="294"/>
      <c r="QOU617" s="294"/>
      <c r="QOV617" s="294"/>
      <c r="QOW617" s="294"/>
      <c r="QOX617" s="294"/>
      <c r="QOY617" s="294"/>
      <c r="QOZ617" s="294"/>
      <c r="QPA617" s="294"/>
      <c r="QPB617" s="294"/>
      <c r="QPC617" s="294"/>
      <c r="QPD617" s="294"/>
      <c r="QPE617" s="294"/>
      <c r="QPF617" s="294"/>
      <c r="QPG617" s="294"/>
      <c r="QPH617" s="294"/>
      <c r="QPI617" s="294"/>
      <c r="QPJ617" s="294"/>
      <c r="QPK617" s="294"/>
      <c r="QPL617" s="294"/>
      <c r="QPM617" s="294"/>
      <c r="QPN617" s="294"/>
      <c r="QPO617" s="294"/>
      <c r="QPP617" s="294"/>
      <c r="QPQ617" s="294"/>
      <c r="QPR617" s="294"/>
      <c r="QPS617" s="294"/>
      <c r="QPT617" s="294"/>
      <c r="QPU617" s="294"/>
      <c r="QPV617" s="294"/>
      <c r="QPW617" s="294"/>
      <c r="QPX617" s="294"/>
      <c r="QPY617" s="294"/>
      <c r="QPZ617" s="294"/>
      <c r="QQA617" s="294"/>
      <c r="QQB617" s="294"/>
      <c r="QQC617" s="294"/>
      <c r="QQD617" s="294"/>
      <c r="QQE617" s="294"/>
      <c r="QQF617" s="294"/>
      <c r="QQG617" s="294"/>
      <c r="QQH617" s="294"/>
      <c r="QQI617" s="294"/>
      <c r="QQJ617" s="294"/>
      <c r="QQK617" s="294"/>
      <c r="QQL617" s="294"/>
      <c r="QQM617" s="294"/>
      <c r="QQN617" s="294"/>
      <c r="QQO617" s="294"/>
      <c r="QQP617" s="294"/>
      <c r="QQQ617" s="294"/>
      <c r="QQR617" s="294"/>
      <c r="QQS617" s="294"/>
      <c r="QQT617" s="294"/>
      <c r="QQU617" s="294"/>
      <c r="QQV617" s="294"/>
      <c r="QQW617" s="294"/>
      <c r="QQX617" s="294"/>
      <c r="QQY617" s="294"/>
      <c r="QQZ617" s="294"/>
      <c r="QRA617" s="294"/>
      <c r="QRB617" s="294"/>
      <c r="QRC617" s="294"/>
      <c r="QRD617" s="294"/>
      <c r="QRE617" s="294"/>
      <c r="QRF617" s="294"/>
      <c r="QRG617" s="294"/>
      <c r="QRH617" s="294"/>
      <c r="QRI617" s="294"/>
      <c r="QRJ617" s="294"/>
      <c r="QRK617" s="294"/>
      <c r="QRL617" s="294"/>
      <c r="QRM617" s="294"/>
      <c r="QRN617" s="294"/>
      <c r="QRO617" s="294"/>
      <c r="QRP617" s="294"/>
      <c r="QRQ617" s="294"/>
      <c r="QRR617" s="294"/>
      <c r="QRS617" s="294"/>
      <c r="QRT617" s="294"/>
      <c r="QRU617" s="294"/>
      <c r="QRV617" s="294"/>
      <c r="QRW617" s="294"/>
      <c r="QRX617" s="294"/>
      <c r="QRY617" s="294"/>
      <c r="QRZ617" s="294"/>
      <c r="QSA617" s="294"/>
      <c r="QSB617" s="294"/>
      <c r="QSC617" s="294"/>
      <c r="QSD617" s="294"/>
      <c r="QSE617" s="294"/>
      <c r="QSF617" s="294"/>
      <c r="QSG617" s="294"/>
      <c r="QSH617" s="294"/>
      <c r="QSI617" s="294"/>
      <c r="QSJ617" s="294"/>
      <c r="QSK617" s="294"/>
      <c r="QSL617" s="294"/>
      <c r="QSM617" s="294"/>
      <c r="QSN617" s="294"/>
      <c r="QSO617" s="294"/>
      <c r="QSP617" s="294"/>
      <c r="QSQ617" s="294"/>
      <c r="QSR617" s="294"/>
      <c r="QSS617" s="294"/>
      <c r="QST617" s="294"/>
      <c r="QSU617" s="294"/>
      <c r="QSV617" s="294"/>
      <c r="QSW617" s="294"/>
      <c r="QSX617" s="294"/>
      <c r="QSY617" s="294"/>
      <c r="QSZ617" s="294"/>
      <c r="QTA617" s="294"/>
      <c r="QTB617" s="294"/>
      <c r="QTC617" s="294"/>
      <c r="QTD617" s="294"/>
      <c r="QTE617" s="294"/>
      <c r="QTF617" s="294"/>
      <c r="QTG617" s="294"/>
      <c r="QTH617" s="294"/>
      <c r="QTI617" s="294"/>
      <c r="QTJ617" s="294"/>
      <c r="QTK617" s="294"/>
      <c r="QTL617" s="294"/>
      <c r="QTM617" s="294"/>
      <c r="QTN617" s="294"/>
      <c r="QTO617" s="294"/>
      <c r="QTP617" s="294"/>
      <c r="QTQ617" s="294"/>
      <c r="QTR617" s="294"/>
      <c r="QTS617" s="294"/>
      <c r="QTT617" s="294"/>
      <c r="QTU617" s="294"/>
      <c r="QTV617" s="294"/>
      <c r="QTW617" s="294"/>
      <c r="QTX617" s="294"/>
      <c r="QTY617" s="294"/>
      <c r="QTZ617" s="294"/>
      <c r="QUA617" s="294"/>
      <c r="QUB617" s="294"/>
      <c r="QUC617" s="294"/>
      <c r="QUD617" s="294"/>
      <c r="QUE617" s="294"/>
      <c r="QUF617" s="294"/>
      <c r="QUG617" s="294"/>
      <c r="QUH617" s="294"/>
      <c r="QUI617" s="294"/>
      <c r="QUJ617" s="294"/>
      <c r="QUK617" s="294"/>
      <c r="QUL617" s="294"/>
      <c r="QUM617" s="294"/>
      <c r="QUN617" s="294"/>
      <c r="QUO617" s="294"/>
      <c r="QUP617" s="294"/>
      <c r="QUQ617" s="294"/>
      <c r="QUR617" s="294"/>
      <c r="QUS617" s="294"/>
      <c r="QUT617" s="294"/>
      <c r="QUU617" s="294"/>
      <c r="QUV617" s="294"/>
      <c r="QUW617" s="294"/>
      <c r="QUX617" s="294"/>
      <c r="QUY617" s="294"/>
      <c r="QUZ617" s="294"/>
      <c r="QVA617" s="294"/>
      <c r="QVB617" s="294"/>
      <c r="QVC617" s="294"/>
      <c r="QVD617" s="294"/>
      <c r="QVE617" s="294"/>
      <c r="QVF617" s="294"/>
      <c r="QVG617" s="294"/>
      <c r="QVH617" s="294"/>
      <c r="QVI617" s="294"/>
      <c r="QVJ617" s="294"/>
      <c r="QVK617" s="294"/>
      <c r="QVL617" s="294"/>
      <c r="QVM617" s="294"/>
      <c r="QVN617" s="294"/>
      <c r="QVO617" s="294"/>
      <c r="QVP617" s="294"/>
      <c r="QVQ617" s="294"/>
      <c r="QVR617" s="294"/>
      <c r="QVS617" s="294"/>
      <c r="QVT617" s="294"/>
      <c r="QVU617" s="294"/>
      <c r="QVV617" s="294"/>
      <c r="QVW617" s="294"/>
      <c r="QVX617" s="294"/>
      <c r="QVY617" s="294"/>
      <c r="QVZ617" s="294"/>
      <c r="QWA617" s="294"/>
      <c r="QWB617" s="294"/>
      <c r="QWC617" s="294"/>
      <c r="QWD617" s="294"/>
      <c r="QWE617" s="294"/>
      <c r="QWF617" s="294"/>
      <c r="QWG617" s="294"/>
      <c r="QWH617" s="294"/>
      <c r="QWI617" s="294"/>
      <c r="QWJ617" s="294"/>
      <c r="QWK617" s="294"/>
      <c r="QWL617" s="294"/>
      <c r="QWM617" s="294"/>
      <c r="QWN617" s="294"/>
      <c r="QWO617" s="294"/>
      <c r="QWP617" s="294"/>
      <c r="QWQ617" s="294"/>
      <c r="QWR617" s="294"/>
      <c r="QWS617" s="294"/>
      <c r="QWT617" s="294"/>
      <c r="QWU617" s="294"/>
      <c r="QWV617" s="294"/>
      <c r="QWW617" s="294"/>
      <c r="QWX617" s="294"/>
      <c r="QWY617" s="294"/>
      <c r="QWZ617" s="294"/>
      <c r="QXA617" s="294"/>
      <c r="QXB617" s="294"/>
      <c r="QXC617" s="294"/>
      <c r="QXD617" s="294"/>
      <c r="QXE617" s="294"/>
      <c r="QXF617" s="294"/>
      <c r="QXG617" s="294"/>
      <c r="QXH617" s="294"/>
      <c r="QXI617" s="294"/>
      <c r="QXJ617" s="294"/>
      <c r="QXK617" s="294"/>
      <c r="QXL617" s="294"/>
      <c r="QXM617" s="294"/>
      <c r="QXN617" s="294"/>
      <c r="QXO617" s="294"/>
      <c r="QXP617" s="294"/>
      <c r="QXQ617" s="294"/>
      <c r="QXR617" s="294"/>
      <c r="QXS617" s="294"/>
      <c r="QXT617" s="294"/>
      <c r="QXU617" s="294"/>
      <c r="QXV617" s="294"/>
      <c r="QXW617" s="294"/>
      <c r="QXX617" s="294"/>
      <c r="QXY617" s="294"/>
      <c r="QXZ617" s="294"/>
      <c r="QYA617" s="294"/>
      <c r="QYB617" s="294"/>
      <c r="QYC617" s="294"/>
      <c r="QYD617" s="294"/>
      <c r="QYE617" s="294"/>
      <c r="QYF617" s="294"/>
      <c r="QYG617" s="294"/>
      <c r="QYH617" s="294"/>
      <c r="QYI617" s="294"/>
      <c r="QYJ617" s="294"/>
      <c r="QYK617" s="294"/>
      <c r="QYL617" s="294"/>
      <c r="QYM617" s="294"/>
      <c r="QYN617" s="294"/>
      <c r="QYO617" s="294"/>
      <c r="QYP617" s="294"/>
      <c r="QYQ617" s="294"/>
      <c r="QYR617" s="294"/>
      <c r="QYS617" s="294"/>
      <c r="QYT617" s="294"/>
      <c r="QYU617" s="294"/>
      <c r="QYV617" s="294"/>
      <c r="QYW617" s="294"/>
      <c r="QYX617" s="294"/>
      <c r="QYY617" s="294"/>
      <c r="QYZ617" s="294"/>
      <c r="QZA617" s="294"/>
      <c r="QZB617" s="294"/>
      <c r="QZC617" s="294"/>
      <c r="QZD617" s="294"/>
      <c r="QZE617" s="294"/>
      <c r="QZF617" s="294"/>
      <c r="QZG617" s="294"/>
      <c r="QZH617" s="294"/>
      <c r="QZI617" s="294"/>
      <c r="QZJ617" s="294"/>
      <c r="QZK617" s="294"/>
      <c r="QZL617" s="294"/>
      <c r="QZM617" s="294"/>
      <c r="QZN617" s="294"/>
      <c r="QZO617" s="294"/>
      <c r="QZP617" s="294"/>
      <c r="QZQ617" s="294"/>
      <c r="QZR617" s="294"/>
      <c r="QZS617" s="294"/>
      <c r="QZT617" s="294"/>
      <c r="QZU617" s="294"/>
      <c r="QZV617" s="294"/>
      <c r="QZW617" s="294"/>
      <c r="QZX617" s="294"/>
      <c r="QZY617" s="294"/>
      <c r="QZZ617" s="294"/>
      <c r="RAA617" s="294"/>
      <c r="RAB617" s="294"/>
      <c r="RAC617" s="294"/>
      <c r="RAD617" s="294"/>
      <c r="RAE617" s="294"/>
      <c r="RAF617" s="294"/>
      <c r="RAG617" s="294"/>
      <c r="RAH617" s="294"/>
      <c r="RAI617" s="294"/>
      <c r="RAJ617" s="294"/>
      <c r="RAK617" s="294"/>
      <c r="RAL617" s="294"/>
      <c r="RAM617" s="294"/>
      <c r="RAN617" s="294"/>
      <c r="RAO617" s="294"/>
      <c r="RAP617" s="294"/>
      <c r="RAQ617" s="294"/>
      <c r="RAR617" s="294"/>
      <c r="RAS617" s="294"/>
      <c r="RAT617" s="294"/>
      <c r="RAU617" s="294"/>
      <c r="RAV617" s="294"/>
      <c r="RAW617" s="294"/>
      <c r="RAX617" s="294"/>
      <c r="RAY617" s="294"/>
      <c r="RAZ617" s="294"/>
      <c r="RBA617" s="294"/>
      <c r="RBB617" s="294"/>
      <c r="RBC617" s="294"/>
      <c r="RBD617" s="294"/>
      <c r="RBE617" s="294"/>
      <c r="RBF617" s="294"/>
      <c r="RBG617" s="294"/>
      <c r="RBH617" s="294"/>
      <c r="RBI617" s="294"/>
      <c r="RBJ617" s="294"/>
      <c r="RBK617" s="294"/>
      <c r="RBL617" s="294"/>
      <c r="RBM617" s="294"/>
      <c r="RBN617" s="294"/>
      <c r="RBO617" s="294"/>
      <c r="RBP617" s="294"/>
      <c r="RBQ617" s="294"/>
      <c r="RBR617" s="294"/>
      <c r="RBS617" s="294"/>
      <c r="RBT617" s="294"/>
      <c r="RBU617" s="294"/>
      <c r="RBV617" s="294"/>
      <c r="RBW617" s="294"/>
      <c r="RBX617" s="294"/>
      <c r="RBY617" s="294"/>
      <c r="RBZ617" s="294"/>
      <c r="RCA617" s="294"/>
      <c r="RCB617" s="294"/>
      <c r="RCC617" s="294"/>
      <c r="RCD617" s="294"/>
      <c r="RCE617" s="294"/>
      <c r="RCF617" s="294"/>
      <c r="RCG617" s="294"/>
      <c r="RCH617" s="294"/>
      <c r="RCI617" s="294"/>
      <c r="RCJ617" s="294"/>
      <c r="RCK617" s="294"/>
      <c r="RCL617" s="294"/>
      <c r="RCM617" s="294"/>
      <c r="RCN617" s="294"/>
      <c r="RCO617" s="294"/>
      <c r="RCP617" s="294"/>
      <c r="RCQ617" s="294"/>
      <c r="RCR617" s="294"/>
      <c r="RCS617" s="294"/>
      <c r="RCT617" s="294"/>
      <c r="RCU617" s="294"/>
      <c r="RCV617" s="294"/>
      <c r="RCW617" s="294"/>
      <c r="RCX617" s="294"/>
      <c r="RCY617" s="294"/>
      <c r="RCZ617" s="294"/>
      <c r="RDA617" s="294"/>
      <c r="RDB617" s="294"/>
      <c r="RDC617" s="294"/>
      <c r="RDD617" s="294"/>
      <c r="RDE617" s="294"/>
      <c r="RDF617" s="294"/>
      <c r="RDG617" s="294"/>
      <c r="RDH617" s="294"/>
      <c r="RDI617" s="294"/>
      <c r="RDJ617" s="294"/>
      <c r="RDK617" s="294"/>
      <c r="RDL617" s="294"/>
      <c r="RDM617" s="294"/>
      <c r="RDN617" s="294"/>
      <c r="RDO617" s="294"/>
      <c r="RDP617" s="294"/>
      <c r="RDQ617" s="294"/>
      <c r="RDR617" s="294"/>
      <c r="RDS617" s="294"/>
      <c r="RDT617" s="294"/>
      <c r="RDU617" s="294"/>
      <c r="RDV617" s="294"/>
      <c r="RDW617" s="294"/>
      <c r="RDX617" s="294"/>
      <c r="RDY617" s="294"/>
      <c r="RDZ617" s="294"/>
      <c r="REA617" s="294"/>
      <c r="REB617" s="294"/>
      <c r="REC617" s="294"/>
      <c r="RED617" s="294"/>
      <c r="REE617" s="294"/>
      <c r="REF617" s="294"/>
      <c r="REG617" s="294"/>
      <c r="REH617" s="294"/>
      <c r="REI617" s="294"/>
      <c r="REJ617" s="294"/>
      <c r="REK617" s="294"/>
      <c r="REL617" s="294"/>
      <c r="REM617" s="294"/>
      <c r="REN617" s="294"/>
      <c r="REO617" s="294"/>
      <c r="REP617" s="294"/>
      <c r="REQ617" s="294"/>
      <c r="RER617" s="294"/>
      <c r="RES617" s="294"/>
      <c r="RET617" s="294"/>
      <c r="REU617" s="294"/>
      <c r="REV617" s="294"/>
      <c r="REW617" s="294"/>
      <c r="REX617" s="294"/>
      <c r="REY617" s="294"/>
      <c r="REZ617" s="294"/>
      <c r="RFA617" s="294"/>
      <c r="RFB617" s="294"/>
      <c r="RFC617" s="294"/>
      <c r="RFD617" s="294"/>
      <c r="RFE617" s="294"/>
      <c r="RFF617" s="294"/>
      <c r="RFG617" s="294"/>
      <c r="RFH617" s="294"/>
      <c r="RFI617" s="294"/>
      <c r="RFJ617" s="294"/>
      <c r="RFK617" s="294"/>
      <c r="RFL617" s="294"/>
      <c r="RFM617" s="294"/>
      <c r="RFN617" s="294"/>
      <c r="RFO617" s="294"/>
      <c r="RFP617" s="294"/>
      <c r="RFQ617" s="294"/>
      <c r="RFR617" s="294"/>
      <c r="RFS617" s="294"/>
      <c r="RFT617" s="294"/>
      <c r="RFU617" s="294"/>
      <c r="RFV617" s="294"/>
      <c r="RFW617" s="294"/>
      <c r="RFX617" s="294"/>
      <c r="RFY617" s="294"/>
      <c r="RFZ617" s="294"/>
      <c r="RGA617" s="294"/>
      <c r="RGB617" s="294"/>
      <c r="RGC617" s="294"/>
      <c r="RGD617" s="294"/>
      <c r="RGE617" s="294"/>
      <c r="RGF617" s="294"/>
      <c r="RGG617" s="294"/>
      <c r="RGH617" s="294"/>
      <c r="RGI617" s="294"/>
      <c r="RGJ617" s="294"/>
      <c r="RGK617" s="294"/>
      <c r="RGL617" s="294"/>
      <c r="RGM617" s="294"/>
      <c r="RGN617" s="294"/>
      <c r="RGO617" s="294"/>
      <c r="RGP617" s="294"/>
      <c r="RGQ617" s="294"/>
      <c r="RGR617" s="294"/>
      <c r="RGS617" s="294"/>
      <c r="RGT617" s="294"/>
      <c r="RGU617" s="294"/>
      <c r="RGV617" s="294"/>
      <c r="RGW617" s="294"/>
      <c r="RGX617" s="294"/>
      <c r="RGY617" s="294"/>
      <c r="RGZ617" s="294"/>
      <c r="RHA617" s="294"/>
      <c r="RHB617" s="294"/>
      <c r="RHC617" s="294"/>
      <c r="RHD617" s="294"/>
      <c r="RHE617" s="294"/>
      <c r="RHF617" s="294"/>
      <c r="RHG617" s="294"/>
      <c r="RHH617" s="294"/>
      <c r="RHI617" s="294"/>
      <c r="RHJ617" s="294"/>
      <c r="RHK617" s="294"/>
      <c r="RHL617" s="294"/>
      <c r="RHM617" s="294"/>
      <c r="RHN617" s="294"/>
      <c r="RHO617" s="294"/>
      <c r="RHP617" s="294"/>
      <c r="RHQ617" s="294"/>
      <c r="RHR617" s="294"/>
      <c r="RHS617" s="294"/>
      <c r="RHT617" s="294"/>
      <c r="RHU617" s="294"/>
      <c r="RHV617" s="294"/>
      <c r="RHW617" s="294"/>
      <c r="RHX617" s="294"/>
      <c r="RHY617" s="294"/>
      <c r="RHZ617" s="294"/>
      <c r="RIA617" s="294"/>
      <c r="RIB617" s="294"/>
      <c r="RIC617" s="294"/>
      <c r="RID617" s="294"/>
      <c r="RIE617" s="294"/>
      <c r="RIF617" s="294"/>
      <c r="RIG617" s="294"/>
      <c r="RIH617" s="294"/>
      <c r="RII617" s="294"/>
      <c r="RIJ617" s="294"/>
      <c r="RIK617" s="294"/>
      <c r="RIL617" s="294"/>
      <c r="RIM617" s="294"/>
      <c r="RIN617" s="294"/>
      <c r="RIO617" s="294"/>
      <c r="RIP617" s="294"/>
      <c r="RIQ617" s="294"/>
      <c r="RIR617" s="294"/>
      <c r="RIS617" s="294"/>
      <c r="RIT617" s="294"/>
      <c r="RIU617" s="294"/>
      <c r="RIV617" s="294"/>
      <c r="RIW617" s="294"/>
      <c r="RIX617" s="294"/>
      <c r="RIY617" s="294"/>
      <c r="RIZ617" s="294"/>
      <c r="RJA617" s="294"/>
      <c r="RJB617" s="294"/>
      <c r="RJC617" s="294"/>
      <c r="RJD617" s="294"/>
      <c r="RJE617" s="294"/>
      <c r="RJF617" s="294"/>
      <c r="RJG617" s="294"/>
      <c r="RJH617" s="294"/>
      <c r="RJI617" s="294"/>
      <c r="RJJ617" s="294"/>
      <c r="RJK617" s="294"/>
      <c r="RJL617" s="294"/>
      <c r="RJM617" s="294"/>
      <c r="RJN617" s="294"/>
      <c r="RJO617" s="294"/>
      <c r="RJP617" s="294"/>
      <c r="RJQ617" s="294"/>
      <c r="RJR617" s="294"/>
      <c r="RJS617" s="294"/>
      <c r="RJT617" s="294"/>
      <c r="RJU617" s="294"/>
      <c r="RJV617" s="294"/>
      <c r="RJW617" s="294"/>
      <c r="RJX617" s="294"/>
      <c r="RJY617" s="294"/>
      <c r="RJZ617" s="294"/>
      <c r="RKA617" s="294"/>
      <c r="RKB617" s="294"/>
      <c r="RKC617" s="294"/>
      <c r="RKD617" s="294"/>
      <c r="RKE617" s="294"/>
      <c r="RKF617" s="294"/>
      <c r="RKG617" s="294"/>
      <c r="RKH617" s="294"/>
      <c r="RKI617" s="294"/>
      <c r="RKJ617" s="294"/>
      <c r="RKK617" s="294"/>
      <c r="RKL617" s="294"/>
      <c r="RKM617" s="294"/>
      <c r="RKN617" s="294"/>
      <c r="RKO617" s="294"/>
      <c r="RKP617" s="294"/>
      <c r="RKQ617" s="294"/>
      <c r="RKR617" s="294"/>
      <c r="RKS617" s="294"/>
      <c r="RKT617" s="294"/>
      <c r="RKU617" s="294"/>
      <c r="RKV617" s="294"/>
      <c r="RKW617" s="294"/>
      <c r="RKX617" s="294"/>
      <c r="RKY617" s="294"/>
      <c r="RKZ617" s="294"/>
      <c r="RLA617" s="294"/>
      <c r="RLB617" s="294"/>
      <c r="RLC617" s="294"/>
      <c r="RLD617" s="294"/>
      <c r="RLE617" s="294"/>
      <c r="RLF617" s="294"/>
      <c r="RLG617" s="294"/>
      <c r="RLH617" s="294"/>
      <c r="RLI617" s="294"/>
      <c r="RLJ617" s="294"/>
      <c r="RLK617" s="294"/>
      <c r="RLL617" s="294"/>
      <c r="RLM617" s="294"/>
      <c r="RLN617" s="294"/>
      <c r="RLO617" s="294"/>
      <c r="RLP617" s="294"/>
      <c r="RLQ617" s="294"/>
      <c r="RLR617" s="294"/>
      <c r="RLS617" s="294"/>
      <c r="RLT617" s="294"/>
      <c r="RLU617" s="294"/>
      <c r="RLV617" s="294"/>
      <c r="RLW617" s="294"/>
      <c r="RLX617" s="294"/>
      <c r="RLY617" s="294"/>
      <c r="RLZ617" s="294"/>
      <c r="RMA617" s="294"/>
      <c r="RMB617" s="294"/>
      <c r="RMC617" s="294"/>
      <c r="RMD617" s="294"/>
      <c r="RME617" s="294"/>
      <c r="RMF617" s="294"/>
      <c r="RMG617" s="294"/>
      <c r="RMH617" s="294"/>
      <c r="RMI617" s="294"/>
      <c r="RMJ617" s="294"/>
      <c r="RMK617" s="294"/>
      <c r="RML617" s="294"/>
      <c r="RMM617" s="294"/>
      <c r="RMN617" s="294"/>
      <c r="RMO617" s="294"/>
      <c r="RMP617" s="294"/>
      <c r="RMQ617" s="294"/>
      <c r="RMR617" s="294"/>
      <c r="RMS617" s="294"/>
      <c r="RMT617" s="294"/>
      <c r="RMU617" s="294"/>
      <c r="RMV617" s="294"/>
      <c r="RMW617" s="294"/>
      <c r="RMX617" s="294"/>
      <c r="RMY617" s="294"/>
      <c r="RMZ617" s="294"/>
      <c r="RNA617" s="294"/>
      <c r="RNB617" s="294"/>
      <c r="RNC617" s="294"/>
      <c r="RND617" s="294"/>
      <c r="RNE617" s="294"/>
      <c r="RNF617" s="294"/>
      <c r="RNG617" s="294"/>
      <c r="RNH617" s="294"/>
      <c r="RNI617" s="294"/>
      <c r="RNJ617" s="294"/>
      <c r="RNK617" s="294"/>
      <c r="RNL617" s="294"/>
      <c r="RNM617" s="294"/>
      <c r="RNN617" s="294"/>
      <c r="RNO617" s="294"/>
      <c r="RNP617" s="294"/>
      <c r="RNQ617" s="294"/>
      <c r="RNR617" s="294"/>
      <c r="RNS617" s="294"/>
      <c r="RNT617" s="294"/>
      <c r="RNU617" s="294"/>
      <c r="RNV617" s="294"/>
      <c r="RNW617" s="294"/>
      <c r="RNX617" s="294"/>
      <c r="RNY617" s="294"/>
      <c r="RNZ617" s="294"/>
      <c r="ROA617" s="294"/>
      <c r="ROB617" s="294"/>
      <c r="ROC617" s="294"/>
      <c r="ROD617" s="294"/>
      <c r="ROE617" s="294"/>
      <c r="ROF617" s="294"/>
      <c r="ROG617" s="294"/>
      <c r="ROH617" s="294"/>
      <c r="ROI617" s="294"/>
      <c r="ROJ617" s="294"/>
      <c r="ROK617" s="294"/>
      <c r="ROL617" s="294"/>
      <c r="ROM617" s="294"/>
      <c r="RON617" s="294"/>
      <c r="ROO617" s="294"/>
      <c r="ROP617" s="294"/>
      <c r="ROQ617" s="294"/>
      <c r="ROR617" s="294"/>
      <c r="ROS617" s="294"/>
      <c r="ROT617" s="294"/>
      <c r="ROU617" s="294"/>
      <c r="ROV617" s="294"/>
      <c r="ROW617" s="294"/>
      <c r="ROX617" s="294"/>
      <c r="ROY617" s="294"/>
      <c r="ROZ617" s="294"/>
      <c r="RPA617" s="294"/>
      <c r="RPB617" s="294"/>
      <c r="RPC617" s="294"/>
      <c r="RPD617" s="294"/>
      <c r="RPE617" s="294"/>
      <c r="RPF617" s="294"/>
      <c r="RPG617" s="294"/>
      <c r="RPH617" s="294"/>
      <c r="RPI617" s="294"/>
      <c r="RPJ617" s="294"/>
      <c r="RPK617" s="294"/>
      <c r="RPL617" s="294"/>
      <c r="RPM617" s="294"/>
      <c r="RPN617" s="294"/>
      <c r="RPO617" s="294"/>
      <c r="RPP617" s="294"/>
      <c r="RPQ617" s="294"/>
      <c r="RPR617" s="294"/>
      <c r="RPS617" s="294"/>
      <c r="RPT617" s="294"/>
      <c r="RPU617" s="294"/>
      <c r="RPV617" s="294"/>
      <c r="RPW617" s="294"/>
      <c r="RPX617" s="294"/>
      <c r="RPY617" s="294"/>
      <c r="RPZ617" s="294"/>
      <c r="RQA617" s="294"/>
      <c r="RQB617" s="294"/>
      <c r="RQC617" s="294"/>
      <c r="RQD617" s="294"/>
      <c r="RQE617" s="294"/>
      <c r="RQF617" s="294"/>
      <c r="RQG617" s="294"/>
      <c r="RQH617" s="294"/>
      <c r="RQI617" s="294"/>
      <c r="RQJ617" s="294"/>
      <c r="RQK617" s="294"/>
      <c r="RQL617" s="294"/>
      <c r="RQM617" s="294"/>
      <c r="RQN617" s="294"/>
      <c r="RQO617" s="294"/>
      <c r="RQP617" s="294"/>
      <c r="RQQ617" s="294"/>
      <c r="RQR617" s="294"/>
      <c r="RQS617" s="294"/>
      <c r="RQT617" s="294"/>
      <c r="RQU617" s="294"/>
      <c r="RQV617" s="294"/>
      <c r="RQW617" s="294"/>
      <c r="RQX617" s="294"/>
      <c r="RQY617" s="294"/>
      <c r="RQZ617" s="294"/>
      <c r="RRA617" s="294"/>
      <c r="RRB617" s="294"/>
      <c r="RRC617" s="294"/>
      <c r="RRD617" s="294"/>
      <c r="RRE617" s="294"/>
      <c r="RRF617" s="294"/>
      <c r="RRG617" s="294"/>
      <c r="RRH617" s="294"/>
      <c r="RRI617" s="294"/>
      <c r="RRJ617" s="294"/>
      <c r="RRK617" s="294"/>
      <c r="RRL617" s="294"/>
      <c r="RRM617" s="294"/>
      <c r="RRN617" s="294"/>
      <c r="RRO617" s="294"/>
      <c r="RRP617" s="294"/>
      <c r="RRQ617" s="294"/>
      <c r="RRR617" s="294"/>
      <c r="RRS617" s="294"/>
      <c r="RRT617" s="294"/>
      <c r="RRU617" s="294"/>
      <c r="RRV617" s="294"/>
      <c r="RRW617" s="294"/>
      <c r="RRX617" s="294"/>
      <c r="RRY617" s="294"/>
      <c r="RRZ617" s="294"/>
      <c r="RSA617" s="294"/>
      <c r="RSB617" s="294"/>
      <c r="RSC617" s="294"/>
      <c r="RSD617" s="294"/>
      <c r="RSE617" s="294"/>
      <c r="RSF617" s="294"/>
      <c r="RSG617" s="294"/>
      <c r="RSH617" s="294"/>
      <c r="RSI617" s="294"/>
      <c r="RSJ617" s="294"/>
      <c r="RSK617" s="294"/>
      <c r="RSL617" s="294"/>
      <c r="RSM617" s="294"/>
      <c r="RSN617" s="294"/>
      <c r="RSO617" s="294"/>
      <c r="RSP617" s="294"/>
      <c r="RSQ617" s="294"/>
      <c r="RSR617" s="294"/>
      <c r="RSS617" s="294"/>
      <c r="RST617" s="294"/>
      <c r="RSU617" s="294"/>
      <c r="RSV617" s="294"/>
      <c r="RSW617" s="294"/>
      <c r="RSX617" s="294"/>
      <c r="RSY617" s="294"/>
      <c r="RSZ617" s="294"/>
      <c r="RTA617" s="294"/>
      <c r="RTB617" s="294"/>
      <c r="RTC617" s="294"/>
      <c r="RTD617" s="294"/>
      <c r="RTE617" s="294"/>
      <c r="RTF617" s="294"/>
      <c r="RTG617" s="294"/>
      <c r="RTH617" s="294"/>
      <c r="RTI617" s="294"/>
      <c r="RTJ617" s="294"/>
      <c r="RTK617" s="294"/>
      <c r="RTL617" s="294"/>
      <c r="RTM617" s="294"/>
      <c r="RTN617" s="294"/>
      <c r="RTO617" s="294"/>
      <c r="RTP617" s="294"/>
      <c r="RTQ617" s="294"/>
      <c r="RTR617" s="294"/>
      <c r="RTS617" s="294"/>
      <c r="RTT617" s="294"/>
      <c r="RTU617" s="294"/>
      <c r="RTV617" s="294"/>
      <c r="RTW617" s="294"/>
      <c r="RTX617" s="294"/>
      <c r="RTY617" s="294"/>
      <c r="RTZ617" s="294"/>
      <c r="RUA617" s="294"/>
      <c r="RUB617" s="294"/>
      <c r="RUC617" s="294"/>
      <c r="RUD617" s="294"/>
      <c r="RUE617" s="294"/>
      <c r="RUF617" s="294"/>
      <c r="RUG617" s="294"/>
      <c r="RUH617" s="294"/>
      <c r="RUI617" s="294"/>
      <c r="RUJ617" s="294"/>
      <c r="RUK617" s="294"/>
      <c r="RUL617" s="294"/>
      <c r="RUM617" s="294"/>
      <c r="RUN617" s="294"/>
      <c r="RUO617" s="294"/>
      <c r="RUP617" s="294"/>
      <c r="RUQ617" s="294"/>
      <c r="RUR617" s="294"/>
      <c r="RUS617" s="294"/>
      <c r="RUT617" s="294"/>
      <c r="RUU617" s="294"/>
      <c r="RUV617" s="294"/>
      <c r="RUW617" s="294"/>
      <c r="RUX617" s="294"/>
      <c r="RUY617" s="294"/>
      <c r="RUZ617" s="294"/>
      <c r="RVA617" s="294"/>
      <c r="RVB617" s="294"/>
      <c r="RVC617" s="294"/>
      <c r="RVD617" s="294"/>
      <c r="RVE617" s="294"/>
      <c r="RVF617" s="294"/>
      <c r="RVG617" s="294"/>
      <c r="RVH617" s="294"/>
      <c r="RVI617" s="294"/>
      <c r="RVJ617" s="294"/>
      <c r="RVK617" s="294"/>
      <c r="RVL617" s="294"/>
      <c r="RVM617" s="294"/>
      <c r="RVN617" s="294"/>
      <c r="RVO617" s="294"/>
      <c r="RVP617" s="294"/>
      <c r="RVQ617" s="294"/>
      <c r="RVR617" s="294"/>
      <c r="RVS617" s="294"/>
      <c r="RVT617" s="294"/>
      <c r="RVU617" s="294"/>
      <c r="RVV617" s="294"/>
      <c r="RVW617" s="294"/>
      <c r="RVX617" s="294"/>
      <c r="RVY617" s="294"/>
      <c r="RVZ617" s="294"/>
      <c r="RWA617" s="294"/>
      <c r="RWB617" s="294"/>
      <c r="RWC617" s="294"/>
      <c r="RWD617" s="294"/>
      <c r="RWE617" s="294"/>
      <c r="RWF617" s="294"/>
      <c r="RWG617" s="294"/>
      <c r="RWH617" s="294"/>
      <c r="RWI617" s="294"/>
      <c r="RWJ617" s="294"/>
      <c r="RWK617" s="294"/>
      <c r="RWL617" s="294"/>
      <c r="RWM617" s="294"/>
      <c r="RWN617" s="294"/>
      <c r="RWO617" s="294"/>
      <c r="RWP617" s="294"/>
      <c r="RWQ617" s="294"/>
      <c r="RWR617" s="294"/>
      <c r="RWS617" s="294"/>
      <c r="RWT617" s="294"/>
      <c r="RWU617" s="294"/>
      <c r="RWV617" s="294"/>
      <c r="RWW617" s="294"/>
      <c r="RWX617" s="294"/>
      <c r="RWY617" s="294"/>
      <c r="RWZ617" s="294"/>
      <c r="RXA617" s="294"/>
      <c r="RXB617" s="294"/>
      <c r="RXC617" s="294"/>
      <c r="RXD617" s="294"/>
      <c r="RXE617" s="294"/>
      <c r="RXF617" s="294"/>
      <c r="RXG617" s="294"/>
      <c r="RXH617" s="294"/>
      <c r="RXI617" s="294"/>
      <c r="RXJ617" s="294"/>
      <c r="RXK617" s="294"/>
      <c r="RXL617" s="294"/>
      <c r="RXM617" s="294"/>
      <c r="RXN617" s="294"/>
      <c r="RXO617" s="294"/>
      <c r="RXP617" s="294"/>
      <c r="RXQ617" s="294"/>
      <c r="RXR617" s="294"/>
      <c r="RXS617" s="294"/>
      <c r="RXT617" s="294"/>
      <c r="RXU617" s="294"/>
      <c r="RXV617" s="294"/>
      <c r="RXW617" s="294"/>
      <c r="RXX617" s="294"/>
      <c r="RXY617" s="294"/>
      <c r="RXZ617" s="294"/>
      <c r="RYA617" s="294"/>
      <c r="RYB617" s="294"/>
      <c r="RYC617" s="294"/>
      <c r="RYD617" s="294"/>
      <c r="RYE617" s="294"/>
      <c r="RYF617" s="294"/>
      <c r="RYG617" s="294"/>
      <c r="RYH617" s="294"/>
      <c r="RYI617" s="294"/>
      <c r="RYJ617" s="294"/>
      <c r="RYK617" s="294"/>
      <c r="RYL617" s="294"/>
      <c r="RYM617" s="294"/>
      <c r="RYN617" s="294"/>
      <c r="RYO617" s="294"/>
      <c r="RYP617" s="294"/>
      <c r="RYQ617" s="294"/>
      <c r="RYR617" s="294"/>
      <c r="RYS617" s="294"/>
      <c r="RYT617" s="294"/>
      <c r="RYU617" s="294"/>
      <c r="RYV617" s="294"/>
      <c r="RYW617" s="294"/>
      <c r="RYX617" s="294"/>
      <c r="RYY617" s="294"/>
      <c r="RYZ617" s="294"/>
      <c r="RZA617" s="294"/>
      <c r="RZB617" s="294"/>
      <c r="RZC617" s="294"/>
      <c r="RZD617" s="294"/>
      <c r="RZE617" s="294"/>
      <c r="RZF617" s="294"/>
      <c r="RZG617" s="294"/>
      <c r="RZH617" s="294"/>
      <c r="RZI617" s="294"/>
      <c r="RZJ617" s="294"/>
      <c r="RZK617" s="294"/>
      <c r="RZL617" s="294"/>
      <c r="RZM617" s="294"/>
      <c r="RZN617" s="294"/>
      <c r="RZO617" s="294"/>
      <c r="RZP617" s="294"/>
      <c r="RZQ617" s="294"/>
      <c r="RZR617" s="294"/>
      <c r="RZS617" s="294"/>
      <c r="RZT617" s="294"/>
      <c r="RZU617" s="294"/>
      <c r="RZV617" s="294"/>
      <c r="RZW617" s="294"/>
      <c r="RZX617" s="294"/>
      <c r="RZY617" s="294"/>
      <c r="RZZ617" s="294"/>
      <c r="SAA617" s="294"/>
      <c r="SAB617" s="294"/>
      <c r="SAC617" s="294"/>
      <c r="SAD617" s="294"/>
      <c r="SAE617" s="294"/>
      <c r="SAF617" s="294"/>
      <c r="SAG617" s="294"/>
      <c r="SAH617" s="294"/>
      <c r="SAI617" s="294"/>
      <c r="SAJ617" s="294"/>
      <c r="SAK617" s="294"/>
      <c r="SAL617" s="294"/>
      <c r="SAM617" s="294"/>
      <c r="SAN617" s="294"/>
      <c r="SAO617" s="294"/>
      <c r="SAP617" s="294"/>
      <c r="SAQ617" s="294"/>
      <c r="SAR617" s="294"/>
      <c r="SAS617" s="294"/>
      <c r="SAT617" s="294"/>
      <c r="SAU617" s="294"/>
      <c r="SAV617" s="294"/>
      <c r="SAW617" s="294"/>
      <c r="SAX617" s="294"/>
      <c r="SAY617" s="294"/>
      <c r="SAZ617" s="294"/>
      <c r="SBA617" s="294"/>
      <c r="SBB617" s="294"/>
      <c r="SBC617" s="294"/>
      <c r="SBD617" s="294"/>
      <c r="SBE617" s="294"/>
      <c r="SBF617" s="294"/>
      <c r="SBG617" s="294"/>
      <c r="SBH617" s="294"/>
      <c r="SBI617" s="294"/>
      <c r="SBJ617" s="294"/>
      <c r="SBK617" s="294"/>
      <c r="SBL617" s="294"/>
      <c r="SBM617" s="294"/>
      <c r="SBN617" s="294"/>
      <c r="SBO617" s="294"/>
      <c r="SBP617" s="294"/>
      <c r="SBQ617" s="294"/>
      <c r="SBR617" s="294"/>
      <c r="SBS617" s="294"/>
      <c r="SBT617" s="294"/>
      <c r="SBU617" s="294"/>
      <c r="SBV617" s="294"/>
      <c r="SBW617" s="294"/>
      <c r="SBX617" s="294"/>
      <c r="SBY617" s="294"/>
      <c r="SBZ617" s="294"/>
      <c r="SCA617" s="294"/>
      <c r="SCB617" s="294"/>
      <c r="SCC617" s="294"/>
      <c r="SCD617" s="294"/>
      <c r="SCE617" s="294"/>
      <c r="SCF617" s="294"/>
      <c r="SCG617" s="294"/>
      <c r="SCH617" s="294"/>
      <c r="SCI617" s="294"/>
      <c r="SCJ617" s="294"/>
      <c r="SCK617" s="294"/>
      <c r="SCL617" s="294"/>
      <c r="SCM617" s="294"/>
      <c r="SCN617" s="294"/>
      <c r="SCO617" s="294"/>
      <c r="SCP617" s="294"/>
      <c r="SCQ617" s="294"/>
      <c r="SCR617" s="294"/>
      <c r="SCS617" s="294"/>
      <c r="SCT617" s="294"/>
      <c r="SCU617" s="294"/>
      <c r="SCV617" s="294"/>
      <c r="SCW617" s="294"/>
      <c r="SCX617" s="294"/>
      <c r="SCY617" s="294"/>
      <c r="SCZ617" s="294"/>
      <c r="SDA617" s="294"/>
      <c r="SDB617" s="294"/>
      <c r="SDC617" s="294"/>
      <c r="SDD617" s="294"/>
      <c r="SDE617" s="294"/>
      <c r="SDF617" s="294"/>
      <c r="SDG617" s="294"/>
      <c r="SDH617" s="294"/>
      <c r="SDI617" s="294"/>
      <c r="SDJ617" s="294"/>
      <c r="SDK617" s="294"/>
      <c r="SDL617" s="294"/>
      <c r="SDM617" s="294"/>
      <c r="SDN617" s="294"/>
      <c r="SDO617" s="294"/>
      <c r="SDP617" s="294"/>
      <c r="SDQ617" s="294"/>
      <c r="SDR617" s="294"/>
      <c r="SDS617" s="294"/>
      <c r="SDT617" s="294"/>
      <c r="SDU617" s="294"/>
      <c r="SDV617" s="294"/>
      <c r="SDW617" s="294"/>
      <c r="SDX617" s="294"/>
      <c r="SDY617" s="294"/>
      <c r="SDZ617" s="294"/>
      <c r="SEA617" s="294"/>
      <c r="SEB617" s="294"/>
      <c r="SEC617" s="294"/>
      <c r="SED617" s="294"/>
      <c r="SEE617" s="294"/>
      <c r="SEF617" s="294"/>
      <c r="SEG617" s="294"/>
      <c r="SEH617" s="294"/>
      <c r="SEI617" s="294"/>
      <c r="SEJ617" s="294"/>
      <c r="SEK617" s="294"/>
      <c r="SEL617" s="294"/>
      <c r="SEM617" s="294"/>
      <c r="SEN617" s="294"/>
      <c r="SEO617" s="294"/>
      <c r="SEP617" s="294"/>
      <c r="SEQ617" s="294"/>
      <c r="SER617" s="294"/>
      <c r="SES617" s="294"/>
      <c r="SET617" s="294"/>
      <c r="SEU617" s="294"/>
      <c r="SEV617" s="294"/>
      <c r="SEW617" s="294"/>
      <c r="SEX617" s="294"/>
      <c r="SEY617" s="294"/>
      <c r="SEZ617" s="294"/>
      <c r="SFA617" s="294"/>
      <c r="SFB617" s="294"/>
      <c r="SFC617" s="294"/>
      <c r="SFD617" s="294"/>
      <c r="SFE617" s="294"/>
      <c r="SFF617" s="294"/>
      <c r="SFG617" s="294"/>
      <c r="SFH617" s="294"/>
      <c r="SFI617" s="294"/>
      <c r="SFJ617" s="294"/>
      <c r="SFK617" s="294"/>
      <c r="SFL617" s="294"/>
      <c r="SFM617" s="294"/>
      <c r="SFN617" s="294"/>
      <c r="SFO617" s="294"/>
      <c r="SFP617" s="294"/>
      <c r="SFQ617" s="294"/>
      <c r="SFR617" s="294"/>
      <c r="SFS617" s="294"/>
      <c r="SFT617" s="294"/>
      <c r="SFU617" s="294"/>
      <c r="SFV617" s="294"/>
      <c r="SFW617" s="294"/>
      <c r="SFX617" s="294"/>
      <c r="SFY617" s="294"/>
      <c r="SFZ617" s="294"/>
      <c r="SGA617" s="294"/>
      <c r="SGB617" s="294"/>
      <c r="SGC617" s="294"/>
      <c r="SGD617" s="294"/>
      <c r="SGE617" s="294"/>
      <c r="SGF617" s="294"/>
      <c r="SGG617" s="294"/>
      <c r="SGH617" s="294"/>
      <c r="SGI617" s="294"/>
      <c r="SGJ617" s="294"/>
      <c r="SGK617" s="294"/>
      <c r="SGL617" s="294"/>
      <c r="SGM617" s="294"/>
      <c r="SGN617" s="294"/>
      <c r="SGO617" s="294"/>
      <c r="SGP617" s="294"/>
      <c r="SGQ617" s="294"/>
      <c r="SGR617" s="294"/>
      <c r="SGS617" s="294"/>
      <c r="SGT617" s="294"/>
      <c r="SGU617" s="294"/>
      <c r="SGV617" s="294"/>
      <c r="SGW617" s="294"/>
      <c r="SGX617" s="294"/>
      <c r="SGY617" s="294"/>
      <c r="SGZ617" s="294"/>
      <c r="SHA617" s="294"/>
      <c r="SHB617" s="294"/>
      <c r="SHC617" s="294"/>
      <c r="SHD617" s="294"/>
      <c r="SHE617" s="294"/>
      <c r="SHF617" s="294"/>
      <c r="SHG617" s="294"/>
      <c r="SHH617" s="294"/>
      <c r="SHI617" s="294"/>
      <c r="SHJ617" s="294"/>
      <c r="SHK617" s="294"/>
      <c r="SHL617" s="294"/>
      <c r="SHM617" s="294"/>
      <c r="SHN617" s="294"/>
      <c r="SHO617" s="294"/>
      <c r="SHP617" s="294"/>
      <c r="SHQ617" s="294"/>
      <c r="SHR617" s="294"/>
      <c r="SHS617" s="294"/>
      <c r="SHT617" s="294"/>
      <c r="SHU617" s="294"/>
      <c r="SHV617" s="294"/>
      <c r="SHW617" s="294"/>
      <c r="SHX617" s="294"/>
      <c r="SHY617" s="294"/>
      <c r="SHZ617" s="294"/>
      <c r="SIA617" s="294"/>
      <c r="SIB617" s="294"/>
      <c r="SIC617" s="294"/>
      <c r="SID617" s="294"/>
      <c r="SIE617" s="294"/>
      <c r="SIF617" s="294"/>
      <c r="SIG617" s="294"/>
      <c r="SIH617" s="294"/>
      <c r="SII617" s="294"/>
      <c r="SIJ617" s="294"/>
      <c r="SIK617" s="294"/>
      <c r="SIL617" s="294"/>
      <c r="SIM617" s="294"/>
      <c r="SIN617" s="294"/>
      <c r="SIO617" s="294"/>
      <c r="SIP617" s="294"/>
      <c r="SIQ617" s="294"/>
      <c r="SIR617" s="294"/>
      <c r="SIS617" s="294"/>
      <c r="SIT617" s="294"/>
      <c r="SIU617" s="294"/>
      <c r="SIV617" s="294"/>
      <c r="SIW617" s="294"/>
      <c r="SIX617" s="294"/>
      <c r="SIY617" s="294"/>
      <c r="SIZ617" s="294"/>
      <c r="SJA617" s="294"/>
      <c r="SJB617" s="294"/>
      <c r="SJC617" s="294"/>
      <c r="SJD617" s="294"/>
      <c r="SJE617" s="294"/>
      <c r="SJF617" s="294"/>
      <c r="SJG617" s="294"/>
      <c r="SJH617" s="294"/>
      <c r="SJI617" s="294"/>
      <c r="SJJ617" s="294"/>
      <c r="SJK617" s="294"/>
      <c r="SJL617" s="294"/>
      <c r="SJM617" s="294"/>
      <c r="SJN617" s="294"/>
      <c r="SJO617" s="294"/>
      <c r="SJP617" s="294"/>
      <c r="SJQ617" s="294"/>
      <c r="SJR617" s="294"/>
      <c r="SJS617" s="294"/>
      <c r="SJT617" s="294"/>
      <c r="SJU617" s="294"/>
      <c r="SJV617" s="294"/>
      <c r="SJW617" s="294"/>
      <c r="SJX617" s="294"/>
      <c r="SJY617" s="294"/>
      <c r="SJZ617" s="294"/>
      <c r="SKA617" s="294"/>
      <c r="SKB617" s="294"/>
      <c r="SKC617" s="294"/>
      <c r="SKD617" s="294"/>
      <c r="SKE617" s="294"/>
      <c r="SKF617" s="294"/>
      <c r="SKG617" s="294"/>
      <c r="SKH617" s="294"/>
      <c r="SKI617" s="294"/>
      <c r="SKJ617" s="294"/>
      <c r="SKK617" s="294"/>
      <c r="SKL617" s="294"/>
      <c r="SKM617" s="294"/>
      <c r="SKN617" s="294"/>
      <c r="SKO617" s="294"/>
      <c r="SKP617" s="294"/>
      <c r="SKQ617" s="294"/>
      <c r="SKR617" s="294"/>
      <c r="SKS617" s="294"/>
      <c r="SKT617" s="294"/>
      <c r="SKU617" s="294"/>
      <c r="SKV617" s="294"/>
      <c r="SKW617" s="294"/>
      <c r="SKX617" s="294"/>
      <c r="SKY617" s="294"/>
      <c r="SKZ617" s="294"/>
      <c r="SLA617" s="294"/>
      <c r="SLB617" s="294"/>
      <c r="SLC617" s="294"/>
      <c r="SLD617" s="294"/>
      <c r="SLE617" s="294"/>
      <c r="SLF617" s="294"/>
      <c r="SLG617" s="294"/>
      <c r="SLH617" s="294"/>
      <c r="SLI617" s="294"/>
      <c r="SLJ617" s="294"/>
      <c r="SLK617" s="294"/>
      <c r="SLL617" s="294"/>
      <c r="SLM617" s="294"/>
      <c r="SLN617" s="294"/>
      <c r="SLO617" s="294"/>
      <c r="SLP617" s="294"/>
      <c r="SLQ617" s="294"/>
      <c r="SLR617" s="294"/>
      <c r="SLS617" s="294"/>
      <c r="SLT617" s="294"/>
      <c r="SLU617" s="294"/>
      <c r="SLV617" s="294"/>
      <c r="SLW617" s="294"/>
      <c r="SLX617" s="294"/>
      <c r="SLY617" s="294"/>
      <c r="SLZ617" s="294"/>
      <c r="SMA617" s="294"/>
      <c r="SMB617" s="294"/>
      <c r="SMC617" s="294"/>
      <c r="SMD617" s="294"/>
      <c r="SME617" s="294"/>
      <c r="SMF617" s="294"/>
      <c r="SMG617" s="294"/>
      <c r="SMH617" s="294"/>
      <c r="SMI617" s="294"/>
      <c r="SMJ617" s="294"/>
      <c r="SMK617" s="294"/>
      <c r="SML617" s="294"/>
      <c r="SMM617" s="294"/>
      <c r="SMN617" s="294"/>
      <c r="SMO617" s="294"/>
      <c r="SMP617" s="294"/>
      <c r="SMQ617" s="294"/>
      <c r="SMR617" s="294"/>
      <c r="SMS617" s="294"/>
      <c r="SMT617" s="294"/>
      <c r="SMU617" s="294"/>
      <c r="SMV617" s="294"/>
      <c r="SMW617" s="294"/>
      <c r="SMX617" s="294"/>
      <c r="SMY617" s="294"/>
      <c r="SMZ617" s="294"/>
      <c r="SNA617" s="294"/>
      <c r="SNB617" s="294"/>
      <c r="SNC617" s="294"/>
      <c r="SND617" s="294"/>
      <c r="SNE617" s="294"/>
      <c r="SNF617" s="294"/>
      <c r="SNG617" s="294"/>
      <c r="SNH617" s="294"/>
      <c r="SNI617" s="294"/>
      <c r="SNJ617" s="294"/>
      <c r="SNK617" s="294"/>
      <c r="SNL617" s="294"/>
      <c r="SNM617" s="294"/>
      <c r="SNN617" s="294"/>
      <c r="SNO617" s="294"/>
      <c r="SNP617" s="294"/>
      <c r="SNQ617" s="294"/>
      <c r="SNR617" s="294"/>
      <c r="SNS617" s="294"/>
      <c r="SNT617" s="294"/>
      <c r="SNU617" s="294"/>
      <c r="SNV617" s="294"/>
      <c r="SNW617" s="294"/>
      <c r="SNX617" s="294"/>
      <c r="SNY617" s="294"/>
      <c r="SNZ617" s="294"/>
      <c r="SOA617" s="294"/>
      <c r="SOB617" s="294"/>
      <c r="SOC617" s="294"/>
      <c r="SOD617" s="294"/>
      <c r="SOE617" s="294"/>
      <c r="SOF617" s="294"/>
      <c r="SOG617" s="294"/>
      <c r="SOH617" s="294"/>
      <c r="SOI617" s="294"/>
      <c r="SOJ617" s="294"/>
      <c r="SOK617" s="294"/>
      <c r="SOL617" s="294"/>
      <c r="SOM617" s="294"/>
      <c r="SON617" s="294"/>
      <c r="SOO617" s="294"/>
      <c r="SOP617" s="294"/>
      <c r="SOQ617" s="294"/>
      <c r="SOR617" s="294"/>
      <c r="SOS617" s="294"/>
      <c r="SOT617" s="294"/>
      <c r="SOU617" s="294"/>
      <c r="SOV617" s="294"/>
      <c r="SOW617" s="294"/>
      <c r="SOX617" s="294"/>
      <c r="SOY617" s="294"/>
      <c r="SOZ617" s="294"/>
      <c r="SPA617" s="294"/>
      <c r="SPB617" s="294"/>
      <c r="SPC617" s="294"/>
      <c r="SPD617" s="294"/>
      <c r="SPE617" s="294"/>
      <c r="SPF617" s="294"/>
      <c r="SPG617" s="294"/>
      <c r="SPH617" s="294"/>
      <c r="SPI617" s="294"/>
      <c r="SPJ617" s="294"/>
      <c r="SPK617" s="294"/>
      <c r="SPL617" s="294"/>
      <c r="SPM617" s="294"/>
      <c r="SPN617" s="294"/>
      <c r="SPO617" s="294"/>
      <c r="SPP617" s="294"/>
      <c r="SPQ617" s="294"/>
      <c r="SPR617" s="294"/>
      <c r="SPS617" s="294"/>
      <c r="SPT617" s="294"/>
      <c r="SPU617" s="294"/>
      <c r="SPV617" s="294"/>
      <c r="SPW617" s="294"/>
      <c r="SPX617" s="294"/>
      <c r="SPY617" s="294"/>
      <c r="SPZ617" s="294"/>
      <c r="SQA617" s="294"/>
      <c r="SQB617" s="294"/>
      <c r="SQC617" s="294"/>
      <c r="SQD617" s="294"/>
      <c r="SQE617" s="294"/>
      <c r="SQF617" s="294"/>
      <c r="SQG617" s="294"/>
      <c r="SQH617" s="294"/>
      <c r="SQI617" s="294"/>
      <c r="SQJ617" s="294"/>
      <c r="SQK617" s="294"/>
      <c r="SQL617" s="294"/>
      <c r="SQM617" s="294"/>
      <c r="SQN617" s="294"/>
      <c r="SQO617" s="294"/>
      <c r="SQP617" s="294"/>
      <c r="SQQ617" s="294"/>
      <c r="SQR617" s="294"/>
      <c r="SQS617" s="294"/>
      <c r="SQT617" s="294"/>
      <c r="SQU617" s="294"/>
      <c r="SQV617" s="294"/>
      <c r="SQW617" s="294"/>
      <c r="SQX617" s="294"/>
      <c r="SQY617" s="294"/>
      <c r="SQZ617" s="294"/>
      <c r="SRA617" s="294"/>
      <c r="SRB617" s="294"/>
      <c r="SRC617" s="294"/>
      <c r="SRD617" s="294"/>
      <c r="SRE617" s="294"/>
      <c r="SRF617" s="294"/>
      <c r="SRG617" s="294"/>
      <c r="SRH617" s="294"/>
      <c r="SRI617" s="294"/>
      <c r="SRJ617" s="294"/>
      <c r="SRK617" s="294"/>
      <c r="SRL617" s="294"/>
      <c r="SRM617" s="294"/>
      <c r="SRN617" s="294"/>
      <c r="SRO617" s="294"/>
      <c r="SRP617" s="294"/>
      <c r="SRQ617" s="294"/>
      <c r="SRR617" s="294"/>
      <c r="SRS617" s="294"/>
      <c r="SRT617" s="294"/>
      <c r="SRU617" s="294"/>
      <c r="SRV617" s="294"/>
      <c r="SRW617" s="294"/>
      <c r="SRX617" s="294"/>
      <c r="SRY617" s="294"/>
      <c r="SRZ617" s="294"/>
      <c r="SSA617" s="294"/>
      <c r="SSB617" s="294"/>
      <c r="SSC617" s="294"/>
      <c r="SSD617" s="294"/>
      <c r="SSE617" s="294"/>
      <c r="SSF617" s="294"/>
      <c r="SSG617" s="294"/>
      <c r="SSH617" s="294"/>
      <c r="SSI617" s="294"/>
      <c r="SSJ617" s="294"/>
      <c r="SSK617" s="294"/>
      <c r="SSL617" s="294"/>
      <c r="SSM617" s="294"/>
      <c r="SSN617" s="294"/>
      <c r="SSO617" s="294"/>
      <c r="SSP617" s="294"/>
      <c r="SSQ617" s="294"/>
      <c r="SSR617" s="294"/>
      <c r="SSS617" s="294"/>
      <c r="SST617" s="294"/>
      <c r="SSU617" s="294"/>
      <c r="SSV617" s="294"/>
      <c r="SSW617" s="294"/>
      <c r="SSX617" s="294"/>
      <c r="SSY617" s="294"/>
      <c r="SSZ617" s="294"/>
      <c r="STA617" s="294"/>
      <c r="STB617" s="294"/>
      <c r="STC617" s="294"/>
      <c r="STD617" s="294"/>
      <c r="STE617" s="294"/>
      <c r="STF617" s="294"/>
      <c r="STG617" s="294"/>
      <c r="STH617" s="294"/>
      <c r="STI617" s="294"/>
      <c r="STJ617" s="294"/>
      <c r="STK617" s="294"/>
      <c r="STL617" s="294"/>
      <c r="STM617" s="294"/>
      <c r="STN617" s="294"/>
      <c r="STO617" s="294"/>
      <c r="STP617" s="294"/>
      <c r="STQ617" s="294"/>
      <c r="STR617" s="294"/>
      <c r="STS617" s="294"/>
      <c r="STT617" s="294"/>
      <c r="STU617" s="294"/>
      <c r="STV617" s="294"/>
      <c r="STW617" s="294"/>
      <c r="STX617" s="294"/>
      <c r="STY617" s="294"/>
      <c r="STZ617" s="294"/>
      <c r="SUA617" s="294"/>
      <c r="SUB617" s="294"/>
      <c r="SUC617" s="294"/>
      <c r="SUD617" s="294"/>
      <c r="SUE617" s="294"/>
      <c r="SUF617" s="294"/>
      <c r="SUG617" s="294"/>
      <c r="SUH617" s="294"/>
      <c r="SUI617" s="294"/>
      <c r="SUJ617" s="294"/>
      <c r="SUK617" s="294"/>
      <c r="SUL617" s="294"/>
      <c r="SUM617" s="294"/>
      <c r="SUN617" s="294"/>
      <c r="SUO617" s="294"/>
      <c r="SUP617" s="294"/>
      <c r="SUQ617" s="294"/>
      <c r="SUR617" s="294"/>
      <c r="SUS617" s="294"/>
      <c r="SUT617" s="294"/>
      <c r="SUU617" s="294"/>
      <c r="SUV617" s="294"/>
      <c r="SUW617" s="294"/>
      <c r="SUX617" s="294"/>
      <c r="SUY617" s="294"/>
      <c r="SUZ617" s="294"/>
      <c r="SVA617" s="294"/>
      <c r="SVB617" s="294"/>
      <c r="SVC617" s="294"/>
      <c r="SVD617" s="294"/>
      <c r="SVE617" s="294"/>
      <c r="SVF617" s="294"/>
      <c r="SVG617" s="294"/>
      <c r="SVH617" s="294"/>
      <c r="SVI617" s="294"/>
      <c r="SVJ617" s="294"/>
      <c r="SVK617" s="294"/>
      <c r="SVL617" s="294"/>
      <c r="SVM617" s="294"/>
      <c r="SVN617" s="294"/>
      <c r="SVO617" s="294"/>
      <c r="SVP617" s="294"/>
      <c r="SVQ617" s="294"/>
      <c r="SVR617" s="294"/>
      <c r="SVS617" s="294"/>
      <c r="SVT617" s="294"/>
      <c r="SVU617" s="294"/>
      <c r="SVV617" s="294"/>
      <c r="SVW617" s="294"/>
      <c r="SVX617" s="294"/>
      <c r="SVY617" s="294"/>
      <c r="SVZ617" s="294"/>
      <c r="SWA617" s="294"/>
      <c r="SWB617" s="294"/>
      <c r="SWC617" s="294"/>
      <c r="SWD617" s="294"/>
      <c r="SWE617" s="294"/>
      <c r="SWF617" s="294"/>
      <c r="SWG617" s="294"/>
      <c r="SWH617" s="294"/>
      <c r="SWI617" s="294"/>
      <c r="SWJ617" s="294"/>
      <c r="SWK617" s="294"/>
      <c r="SWL617" s="294"/>
      <c r="SWM617" s="294"/>
      <c r="SWN617" s="294"/>
      <c r="SWO617" s="294"/>
      <c r="SWP617" s="294"/>
      <c r="SWQ617" s="294"/>
      <c r="SWR617" s="294"/>
      <c r="SWS617" s="294"/>
      <c r="SWT617" s="294"/>
      <c r="SWU617" s="294"/>
      <c r="SWV617" s="294"/>
      <c r="SWW617" s="294"/>
      <c r="SWX617" s="294"/>
      <c r="SWY617" s="294"/>
      <c r="SWZ617" s="294"/>
      <c r="SXA617" s="294"/>
      <c r="SXB617" s="294"/>
      <c r="SXC617" s="294"/>
      <c r="SXD617" s="294"/>
      <c r="SXE617" s="294"/>
      <c r="SXF617" s="294"/>
      <c r="SXG617" s="294"/>
      <c r="SXH617" s="294"/>
      <c r="SXI617" s="294"/>
      <c r="SXJ617" s="294"/>
      <c r="SXK617" s="294"/>
      <c r="SXL617" s="294"/>
      <c r="SXM617" s="294"/>
      <c r="SXN617" s="294"/>
      <c r="SXO617" s="294"/>
      <c r="SXP617" s="294"/>
      <c r="SXQ617" s="294"/>
      <c r="SXR617" s="294"/>
      <c r="SXS617" s="294"/>
      <c r="SXT617" s="294"/>
      <c r="SXU617" s="294"/>
      <c r="SXV617" s="294"/>
      <c r="SXW617" s="294"/>
      <c r="SXX617" s="294"/>
      <c r="SXY617" s="294"/>
      <c r="SXZ617" s="294"/>
      <c r="SYA617" s="294"/>
      <c r="SYB617" s="294"/>
      <c r="SYC617" s="294"/>
      <c r="SYD617" s="294"/>
      <c r="SYE617" s="294"/>
      <c r="SYF617" s="294"/>
      <c r="SYG617" s="294"/>
      <c r="SYH617" s="294"/>
      <c r="SYI617" s="294"/>
      <c r="SYJ617" s="294"/>
      <c r="SYK617" s="294"/>
      <c r="SYL617" s="294"/>
      <c r="SYM617" s="294"/>
      <c r="SYN617" s="294"/>
      <c r="SYO617" s="294"/>
      <c r="SYP617" s="294"/>
      <c r="SYQ617" s="294"/>
      <c r="SYR617" s="294"/>
      <c r="SYS617" s="294"/>
      <c r="SYT617" s="294"/>
      <c r="SYU617" s="294"/>
      <c r="SYV617" s="294"/>
      <c r="SYW617" s="294"/>
      <c r="SYX617" s="294"/>
      <c r="SYY617" s="294"/>
      <c r="SYZ617" s="294"/>
      <c r="SZA617" s="294"/>
      <c r="SZB617" s="294"/>
      <c r="SZC617" s="294"/>
      <c r="SZD617" s="294"/>
      <c r="SZE617" s="294"/>
      <c r="SZF617" s="294"/>
      <c r="SZG617" s="294"/>
      <c r="SZH617" s="294"/>
      <c r="SZI617" s="294"/>
      <c r="SZJ617" s="294"/>
      <c r="SZK617" s="294"/>
      <c r="SZL617" s="294"/>
      <c r="SZM617" s="294"/>
      <c r="SZN617" s="294"/>
      <c r="SZO617" s="294"/>
      <c r="SZP617" s="294"/>
      <c r="SZQ617" s="294"/>
      <c r="SZR617" s="294"/>
      <c r="SZS617" s="294"/>
      <c r="SZT617" s="294"/>
      <c r="SZU617" s="294"/>
      <c r="SZV617" s="294"/>
      <c r="SZW617" s="294"/>
      <c r="SZX617" s="294"/>
      <c r="SZY617" s="294"/>
      <c r="SZZ617" s="294"/>
      <c r="TAA617" s="294"/>
      <c r="TAB617" s="294"/>
      <c r="TAC617" s="294"/>
      <c r="TAD617" s="294"/>
      <c r="TAE617" s="294"/>
      <c r="TAF617" s="294"/>
      <c r="TAG617" s="294"/>
      <c r="TAH617" s="294"/>
      <c r="TAI617" s="294"/>
      <c r="TAJ617" s="294"/>
      <c r="TAK617" s="294"/>
      <c r="TAL617" s="294"/>
      <c r="TAM617" s="294"/>
      <c r="TAN617" s="294"/>
      <c r="TAO617" s="294"/>
      <c r="TAP617" s="294"/>
      <c r="TAQ617" s="294"/>
      <c r="TAR617" s="294"/>
      <c r="TAS617" s="294"/>
      <c r="TAT617" s="294"/>
      <c r="TAU617" s="294"/>
      <c r="TAV617" s="294"/>
      <c r="TAW617" s="294"/>
      <c r="TAX617" s="294"/>
      <c r="TAY617" s="294"/>
      <c r="TAZ617" s="294"/>
      <c r="TBA617" s="294"/>
      <c r="TBB617" s="294"/>
      <c r="TBC617" s="294"/>
      <c r="TBD617" s="294"/>
      <c r="TBE617" s="294"/>
      <c r="TBF617" s="294"/>
      <c r="TBG617" s="294"/>
      <c r="TBH617" s="294"/>
      <c r="TBI617" s="294"/>
      <c r="TBJ617" s="294"/>
      <c r="TBK617" s="294"/>
      <c r="TBL617" s="294"/>
      <c r="TBM617" s="294"/>
      <c r="TBN617" s="294"/>
      <c r="TBO617" s="294"/>
      <c r="TBP617" s="294"/>
      <c r="TBQ617" s="294"/>
      <c r="TBR617" s="294"/>
      <c r="TBS617" s="294"/>
      <c r="TBT617" s="294"/>
      <c r="TBU617" s="294"/>
      <c r="TBV617" s="294"/>
      <c r="TBW617" s="294"/>
      <c r="TBX617" s="294"/>
      <c r="TBY617" s="294"/>
      <c r="TBZ617" s="294"/>
      <c r="TCA617" s="294"/>
      <c r="TCB617" s="294"/>
      <c r="TCC617" s="294"/>
      <c r="TCD617" s="294"/>
      <c r="TCE617" s="294"/>
      <c r="TCF617" s="294"/>
      <c r="TCG617" s="294"/>
      <c r="TCH617" s="294"/>
      <c r="TCI617" s="294"/>
      <c r="TCJ617" s="294"/>
      <c r="TCK617" s="294"/>
      <c r="TCL617" s="294"/>
      <c r="TCM617" s="294"/>
      <c r="TCN617" s="294"/>
      <c r="TCO617" s="294"/>
      <c r="TCP617" s="294"/>
      <c r="TCQ617" s="294"/>
      <c r="TCR617" s="294"/>
      <c r="TCS617" s="294"/>
      <c r="TCT617" s="294"/>
      <c r="TCU617" s="294"/>
      <c r="TCV617" s="294"/>
      <c r="TCW617" s="294"/>
      <c r="TCX617" s="294"/>
      <c r="TCY617" s="294"/>
      <c r="TCZ617" s="294"/>
      <c r="TDA617" s="294"/>
      <c r="TDB617" s="294"/>
      <c r="TDC617" s="294"/>
      <c r="TDD617" s="294"/>
      <c r="TDE617" s="294"/>
      <c r="TDF617" s="294"/>
      <c r="TDG617" s="294"/>
      <c r="TDH617" s="294"/>
      <c r="TDI617" s="294"/>
      <c r="TDJ617" s="294"/>
      <c r="TDK617" s="294"/>
      <c r="TDL617" s="294"/>
      <c r="TDM617" s="294"/>
      <c r="TDN617" s="294"/>
      <c r="TDO617" s="294"/>
      <c r="TDP617" s="294"/>
      <c r="TDQ617" s="294"/>
      <c r="TDR617" s="294"/>
      <c r="TDS617" s="294"/>
      <c r="TDT617" s="294"/>
      <c r="TDU617" s="294"/>
      <c r="TDV617" s="294"/>
      <c r="TDW617" s="294"/>
      <c r="TDX617" s="294"/>
      <c r="TDY617" s="294"/>
      <c r="TDZ617" s="294"/>
      <c r="TEA617" s="294"/>
      <c r="TEB617" s="294"/>
      <c r="TEC617" s="294"/>
      <c r="TED617" s="294"/>
      <c r="TEE617" s="294"/>
      <c r="TEF617" s="294"/>
      <c r="TEG617" s="294"/>
      <c r="TEH617" s="294"/>
      <c r="TEI617" s="294"/>
      <c r="TEJ617" s="294"/>
      <c r="TEK617" s="294"/>
      <c r="TEL617" s="294"/>
      <c r="TEM617" s="294"/>
      <c r="TEN617" s="294"/>
      <c r="TEO617" s="294"/>
      <c r="TEP617" s="294"/>
      <c r="TEQ617" s="294"/>
      <c r="TER617" s="294"/>
      <c r="TES617" s="294"/>
      <c r="TET617" s="294"/>
      <c r="TEU617" s="294"/>
      <c r="TEV617" s="294"/>
      <c r="TEW617" s="294"/>
      <c r="TEX617" s="294"/>
      <c r="TEY617" s="294"/>
      <c r="TEZ617" s="294"/>
      <c r="TFA617" s="294"/>
      <c r="TFB617" s="294"/>
      <c r="TFC617" s="294"/>
      <c r="TFD617" s="294"/>
      <c r="TFE617" s="294"/>
      <c r="TFF617" s="294"/>
      <c r="TFG617" s="294"/>
      <c r="TFH617" s="294"/>
      <c r="TFI617" s="294"/>
      <c r="TFJ617" s="294"/>
      <c r="TFK617" s="294"/>
      <c r="TFL617" s="294"/>
      <c r="TFM617" s="294"/>
      <c r="TFN617" s="294"/>
      <c r="TFO617" s="294"/>
      <c r="TFP617" s="294"/>
      <c r="TFQ617" s="294"/>
      <c r="TFR617" s="294"/>
      <c r="TFS617" s="294"/>
      <c r="TFT617" s="294"/>
      <c r="TFU617" s="294"/>
      <c r="TFV617" s="294"/>
      <c r="TFW617" s="294"/>
      <c r="TFX617" s="294"/>
      <c r="TFY617" s="294"/>
      <c r="TFZ617" s="294"/>
      <c r="TGA617" s="294"/>
      <c r="TGB617" s="294"/>
      <c r="TGC617" s="294"/>
      <c r="TGD617" s="294"/>
      <c r="TGE617" s="294"/>
      <c r="TGF617" s="294"/>
      <c r="TGG617" s="294"/>
      <c r="TGH617" s="294"/>
      <c r="TGI617" s="294"/>
      <c r="TGJ617" s="294"/>
      <c r="TGK617" s="294"/>
      <c r="TGL617" s="294"/>
      <c r="TGM617" s="294"/>
      <c r="TGN617" s="294"/>
      <c r="TGO617" s="294"/>
      <c r="TGP617" s="294"/>
      <c r="TGQ617" s="294"/>
      <c r="TGR617" s="294"/>
      <c r="TGS617" s="294"/>
      <c r="TGT617" s="294"/>
      <c r="TGU617" s="294"/>
      <c r="TGV617" s="294"/>
      <c r="TGW617" s="294"/>
      <c r="TGX617" s="294"/>
      <c r="TGY617" s="294"/>
      <c r="TGZ617" s="294"/>
      <c r="THA617" s="294"/>
      <c r="THB617" s="294"/>
      <c r="THC617" s="294"/>
      <c r="THD617" s="294"/>
      <c r="THE617" s="294"/>
      <c r="THF617" s="294"/>
      <c r="THG617" s="294"/>
      <c r="THH617" s="294"/>
      <c r="THI617" s="294"/>
      <c r="THJ617" s="294"/>
      <c r="THK617" s="294"/>
      <c r="THL617" s="294"/>
      <c r="THM617" s="294"/>
      <c r="THN617" s="294"/>
      <c r="THO617" s="294"/>
      <c r="THP617" s="294"/>
      <c r="THQ617" s="294"/>
      <c r="THR617" s="294"/>
      <c r="THS617" s="294"/>
      <c r="THT617" s="294"/>
      <c r="THU617" s="294"/>
      <c r="THV617" s="294"/>
      <c r="THW617" s="294"/>
      <c r="THX617" s="294"/>
      <c r="THY617" s="294"/>
      <c r="THZ617" s="294"/>
      <c r="TIA617" s="294"/>
      <c r="TIB617" s="294"/>
      <c r="TIC617" s="294"/>
      <c r="TID617" s="294"/>
      <c r="TIE617" s="294"/>
      <c r="TIF617" s="294"/>
      <c r="TIG617" s="294"/>
      <c r="TIH617" s="294"/>
      <c r="TII617" s="294"/>
      <c r="TIJ617" s="294"/>
      <c r="TIK617" s="294"/>
      <c r="TIL617" s="294"/>
      <c r="TIM617" s="294"/>
      <c r="TIN617" s="294"/>
      <c r="TIO617" s="294"/>
      <c r="TIP617" s="294"/>
      <c r="TIQ617" s="294"/>
      <c r="TIR617" s="294"/>
      <c r="TIS617" s="294"/>
      <c r="TIT617" s="294"/>
      <c r="TIU617" s="294"/>
      <c r="TIV617" s="294"/>
      <c r="TIW617" s="294"/>
      <c r="TIX617" s="294"/>
      <c r="TIY617" s="294"/>
      <c r="TIZ617" s="294"/>
      <c r="TJA617" s="294"/>
      <c r="TJB617" s="294"/>
      <c r="TJC617" s="294"/>
      <c r="TJD617" s="294"/>
      <c r="TJE617" s="294"/>
      <c r="TJF617" s="294"/>
      <c r="TJG617" s="294"/>
      <c r="TJH617" s="294"/>
      <c r="TJI617" s="294"/>
      <c r="TJJ617" s="294"/>
      <c r="TJK617" s="294"/>
      <c r="TJL617" s="294"/>
      <c r="TJM617" s="294"/>
      <c r="TJN617" s="294"/>
      <c r="TJO617" s="294"/>
      <c r="TJP617" s="294"/>
      <c r="TJQ617" s="294"/>
      <c r="TJR617" s="294"/>
      <c r="TJS617" s="294"/>
      <c r="TJT617" s="294"/>
      <c r="TJU617" s="294"/>
      <c r="TJV617" s="294"/>
      <c r="TJW617" s="294"/>
      <c r="TJX617" s="294"/>
      <c r="TJY617" s="294"/>
      <c r="TJZ617" s="294"/>
      <c r="TKA617" s="294"/>
      <c r="TKB617" s="294"/>
      <c r="TKC617" s="294"/>
      <c r="TKD617" s="294"/>
      <c r="TKE617" s="294"/>
      <c r="TKF617" s="294"/>
      <c r="TKG617" s="294"/>
      <c r="TKH617" s="294"/>
      <c r="TKI617" s="294"/>
      <c r="TKJ617" s="294"/>
      <c r="TKK617" s="294"/>
      <c r="TKL617" s="294"/>
      <c r="TKM617" s="294"/>
      <c r="TKN617" s="294"/>
      <c r="TKO617" s="294"/>
      <c r="TKP617" s="294"/>
      <c r="TKQ617" s="294"/>
      <c r="TKR617" s="294"/>
      <c r="TKS617" s="294"/>
      <c r="TKT617" s="294"/>
      <c r="TKU617" s="294"/>
      <c r="TKV617" s="294"/>
      <c r="TKW617" s="294"/>
      <c r="TKX617" s="294"/>
      <c r="TKY617" s="294"/>
      <c r="TKZ617" s="294"/>
      <c r="TLA617" s="294"/>
      <c r="TLB617" s="294"/>
      <c r="TLC617" s="294"/>
      <c r="TLD617" s="294"/>
      <c r="TLE617" s="294"/>
      <c r="TLF617" s="294"/>
      <c r="TLG617" s="294"/>
      <c r="TLH617" s="294"/>
      <c r="TLI617" s="294"/>
      <c r="TLJ617" s="294"/>
      <c r="TLK617" s="294"/>
      <c r="TLL617" s="294"/>
      <c r="TLM617" s="294"/>
      <c r="TLN617" s="294"/>
      <c r="TLO617" s="294"/>
      <c r="TLP617" s="294"/>
      <c r="TLQ617" s="294"/>
      <c r="TLR617" s="294"/>
      <c r="TLS617" s="294"/>
      <c r="TLT617" s="294"/>
      <c r="TLU617" s="294"/>
      <c r="TLV617" s="294"/>
      <c r="TLW617" s="294"/>
      <c r="TLX617" s="294"/>
      <c r="TLY617" s="294"/>
      <c r="TLZ617" s="294"/>
      <c r="TMA617" s="294"/>
      <c r="TMB617" s="294"/>
      <c r="TMC617" s="294"/>
      <c r="TMD617" s="294"/>
      <c r="TME617" s="294"/>
      <c r="TMF617" s="294"/>
      <c r="TMG617" s="294"/>
      <c r="TMH617" s="294"/>
      <c r="TMI617" s="294"/>
      <c r="TMJ617" s="294"/>
      <c r="TMK617" s="294"/>
      <c r="TML617" s="294"/>
      <c r="TMM617" s="294"/>
      <c r="TMN617" s="294"/>
      <c r="TMO617" s="294"/>
      <c r="TMP617" s="294"/>
      <c r="TMQ617" s="294"/>
      <c r="TMR617" s="294"/>
      <c r="TMS617" s="294"/>
      <c r="TMT617" s="294"/>
      <c r="TMU617" s="294"/>
      <c r="TMV617" s="294"/>
      <c r="TMW617" s="294"/>
      <c r="TMX617" s="294"/>
      <c r="TMY617" s="294"/>
      <c r="TMZ617" s="294"/>
      <c r="TNA617" s="294"/>
      <c r="TNB617" s="294"/>
      <c r="TNC617" s="294"/>
      <c r="TND617" s="294"/>
      <c r="TNE617" s="294"/>
      <c r="TNF617" s="294"/>
      <c r="TNG617" s="294"/>
      <c r="TNH617" s="294"/>
      <c r="TNI617" s="294"/>
      <c r="TNJ617" s="294"/>
      <c r="TNK617" s="294"/>
      <c r="TNL617" s="294"/>
      <c r="TNM617" s="294"/>
      <c r="TNN617" s="294"/>
      <c r="TNO617" s="294"/>
      <c r="TNP617" s="294"/>
      <c r="TNQ617" s="294"/>
      <c r="TNR617" s="294"/>
      <c r="TNS617" s="294"/>
      <c r="TNT617" s="294"/>
      <c r="TNU617" s="294"/>
      <c r="TNV617" s="294"/>
      <c r="TNW617" s="294"/>
      <c r="TNX617" s="294"/>
      <c r="TNY617" s="294"/>
      <c r="TNZ617" s="294"/>
      <c r="TOA617" s="294"/>
      <c r="TOB617" s="294"/>
      <c r="TOC617" s="294"/>
      <c r="TOD617" s="294"/>
      <c r="TOE617" s="294"/>
      <c r="TOF617" s="294"/>
      <c r="TOG617" s="294"/>
      <c r="TOH617" s="294"/>
      <c r="TOI617" s="294"/>
      <c r="TOJ617" s="294"/>
      <c r="TOK617" s="294"/>
      <c r="TOL617" s="294"/>
      <c r="TOM617" s="294"/>
      <c r="TON617" s="294"/>
      <c r="TOO617" s="294"/>
      <c r="TOP617" s="294"/>
      <c r="TOQ617" s="294"/>
      <c r="TOR617" s="294"/>
      <c r="TOS617" s="294"/>
      <c r="TOT617" s="294"/>
      <c r="TOU617" s="294"/>
      <c r="TOV617" s="294"/>
      <c r="TOW617" s="294"/>
      <c r="TOX617" s="294"/>
      <c r="TOY617" s="294"/>
      <c r="TOZ617" s="294"/>
      <c r="TPA617" s="294"/>
      <c r="TPB617" s="294"/>
      <c r="TPC617" s="294"/>
      <c r="TPD617" s="294"/>
      <c r="TPE617" s="294"/>
      <c r="TPF617" s="294"/>
      <c r="TPG617" s="294"/>
      <c r="TPH617" s="294"/>
      <c r="TPI617" s="294"/>
      <c r="TPJ617" s="294"/>
      <c r="TPK617" s="294"/>
      <c r="TPL617" s="294"/>
      <c r="TPM617" s="294"/>
      <c r="TPN617" s="294"/>
      <c r="TPO617" s="294"/>
      <c r="TPP617" s="294"/>
      <c r="TPQ617" s="294"/>
      <c r="TPR617" s="294"/>
      <c r="TPS617" s="294"/>
      <c r="TPT617" s="294"/>
      <c r="TPU617" s="294"/>
      <c r="TPV617" s="294"/>
      <c r="TPW617" s="294"/>
      <c r="TPX617" s="294"/>
      <c r="TPY617" s="294"/>
      <c r="TPZ617" s="294"/>
      <c r="TQA617" s="294"/>
      <c r="TQB617" s="294"/>
      <c r="TQC617" s="294"/>
      <c r="TQD617" s="294"/>
      <c r="TQE617" s="294"/>
      <c r="TQF617" s="294"/>
      <c r="TQG617" s="294"/>
      <c r="TQH617" s="294"/>
      <c r="TQI617" s="294"/>
      <c r="TQJ617" s="294"/>
      <c r="TQK617" s="294"/>
      <c r="TQL617" s="294"/>
      <c r="TQM617" s="294"/>
      <c r="TQN617" s="294"/>
      <c r="TQO617" s="294"/>
      <c r="TQP617" s="294"/>
      <c r="TQQ617" s="294"/>
      <c r="TQR617" s="294"/>
      <c r="TQS617" s="294"/>
      <c r="TQT617" s="294"/>
      <c r="TQU617" s="294"/>
      <c r="TQV617" s="294"/>
      <c r="TQW617" s="294"/>
      <c r="TQX617" s="294"/>
      <c r="TQY617" s="294"/>
      <c r="TQZ617" s="294"/>
      <c r="TRA617" s="294"/>
      <c r="TRB617" s="294"/>
      <c r="TRC617" s="294"/>
      <c r="TRD617" s="294"/>
      <c r="TRE617" s="294"/>
      <c r="TRF617" s="294"/>
      <c r="TRG617" s="294"/>
      <c r="TRH617" s="294"/>
      <c r="TRI617" s="294"/>
      <c r="TRJ617" s="294"/>
      <c r="TRK617" s="294"/>
      <c r="TRL617" s="294"/>
      <c r="TRM617" s="294"/>
      <c r="TRN617" s="294"/>
      <c r="TRO617" s="294"/>
      <c r="TRP617" s="294"/>
      <c r="TRQ617" s="294"/>
      <c r="TRR617" s="294"/>
      <c r="TRS617" s="294"/>
      <c r="TRT617" s="294"/>
      <c r="TRU617" s="294"/>
      <c r="TRV617" s="294"/>
      <c r="TRW617" s="294"/>
      <c r="TRX617" s="294"/>
      <c r="TRY617" s="294"/>
      <c r="TRZ617" s="294"/>
      <c r="TSA617" s="294"/>
      <c r="TSB617" s="294"/>
      <c r="TSC617" s="294"/>
      <c r="TSD617" s="294"/>
      <c r="TSE617" s="294"/>
      <c r="TSF617" s="294"/>
      <c r="TSG617" s="294"/>
      <c r="TSH617" s="294"/>
      <c r="TSI617" s="294"/>
      <c r="TSJ617" s="294"/>
      <c r="TSK617" s="294"/>
      <c r="TSL617" s="294"/>
      <c r="TSM617" s="294"/>
      <c r="TSN617" s="294"/>
      <c r="TSO617" s="294"/>
      <c r="TSP617" s="294"/>
      <c r="TSQ617" s="294"/>
      <c r="TSR617" s="294"/>
      <c r="TSS617" s="294"/>
      <c r="TST617" s="294"/>
      <c r="TSU617" s="294"/>
      <c r="TSV617" s="294"/>
      <c r="TSW617" s="294"/>
      <c r="TSX617" s="294"/>
      <c r="TSY617" s="294"/>
      <c r="TSZ617" s="294"/>
      <c r="TTA617" s="294"/>
      <c r="TTB617" s="294"/>
      <c r="TTC617" s="294"/>
      <c r="TTD617" s="294"/>
      <c r="TTE617" s="294"/>
      <c r="TTF617" s="294"/>
      <c r="TTG617" s="294"/>
      <c r="TTH617" s="294"/>
      <c r="TTI617" s="294"/>
      <c r="TTJ617" s="294"/>
      <c r="TTK617" s="294"/>
      <c r="TTL617" s="294"/>
      <c r="TTM617" s="294"/>
      <c r="TTN617" s="294"/>
      <c r="TTO617" s="294"/>
      <c r="TTP617" s="294"/>
      <c r="TTQ617" s="294"/>
      <c r="TTR617" s="294"/>
      <c r="TTS617" s="294"/>
      <c r="TTT617" s="294"/>
      <c r="TTU617" s="294"/>
      <c r="TTV617" s="294"/>
      <c r="TTW617" s="294"/>
      <c r="TTX617" s="294"/>
      <c r="TTY617" s="294"/>
      <c r="TTZ617" s="294"/>
      <c r="TUA617" s="294"/>
      <c r="TUB617" s="294"/>
      <c r="TUC617" s="294"/>
      <c r="TUD617" s="294"/>
      <c r="TUE617" s="294"/>
      <c r="TUF617" s="294"/>
      <c r="TUG617" s="294"/>
      <c r="TUH617" s="294"/>
      <c r="TUI617" s="294"/>
      <c r="TUJ617" s="294"/>
      <c r="TUK617" s="294"/>
      <c r="TUL617" s="294"/>
      <c r="TUM617" s="294"/>
      <c r="TUN617" s="294"/>
      <c r="TUO617" s="294"/>
      <c r="TUP617" s="294"/>
      <c r="TUQ617" s="294"/>
      <c r="TUR617" s="294"/>
      <c r="TUS617" s="294"/>
      <c r="TUT617" s="294"/>
      <c r="TUU617" s="294"/>
      <c r="TUV617" s="294"/>
      <c r="TUW617" s="294"/>
      <c r="TUX617" s="294"/>
      <c r="TUY617" s="294"/>
      <c r="TUZ617" s="294"/>
      <c r="TVA617" s="294"/>
      <c r="TVB617" s="294"/>
      <c r="TVC617" s="294"/>
      <c r="TVD617" s="294"/>
      <c r="TVE617" s="294"/>
      <c r="TVF617" s="294"/>
      <c r="TVG617" s="294"/>
      <c r="TVH617" s="294"/>
      <c r="TVI617" s="294"/>
      <c r="TVJ617" s="294"/>
      <c r="TVK617" s="294"/>
      <c r="TVL617" s="294"/>
      <c r="TVM617" s="294"/>
      <c r="TVN617" s="294"/>
      <c r="TVO617" s="294"/>
      <c r="TVP617" s="294"/>
      <c r="TVQ617" s="294"/>
      <c r="TVR617" s="294"/>
      <c r="TVS617" s="294"/>
      <c r="TVT617" s="294"/>
      <c r="TVU617" s="294"/>
      <c r="TVV617" s="294"/>
      <c r="TVW617" s="294"/>
      <c r="TVX617" s="294"/>
      <c r="TVY617" s="294"/>
      <c r="TVZ617" s="294"/>
      <c r="TWA617" s="294"/>
      <c r="TWB617" s="294"/>
      <c r="TWC617" s="294"/>
      <c r="TWD617" s="294"/>
      <c r="TWE617" s="294"/>
      <c r="TWF617" s="294"/>
      <c r="TWG617" s="294"/>
      <c r="TWH617" s="294"/>
      <c r="TWI617" s="294"/>
      <c r="TWJ617" s="294"/>
      <c r="TWK617" s="294"/>
      <c r="TWL617" s="294"/>
      <c r="TWM617" s="294"/>
      <c r="TWN617" s="294"/>
      <c r="TWO617" s="294"/>
      <c r="TWP617" s="294"/>
      <c r="TWQ617" s="294"/>
      <c r="TWR617" s="294"/>
      <c r="TWS617" s="294"/>
      <c r="TWT617" s="294"/>
      <c r="TWU617" s="294"/>
      <c r="TWV617" s="294"/>
      <c r="TWW617" s="294"/>
      <c r="TWX617" s="294"/>
      <c r="TWY617" s="294"/>
      <c r="TWZ617" s="294"/>
      <c r="TXA617" s="294"/>
      <c r="TXB617" s="294"/>
      <c r="TXC617" s="294"/>
      <c r="TXD617" s="294"/>
      <c r="TXE617" s="294"/>
      <c r="TXF617" s="294"/>
      <c r="TXG617" s="294"/>
      <c r="TXH617" s="294"/>
      <c r="TXI617" s="294"/>
      <c r="TXJ617" s="294"/>
      <c r="TXK617" s="294"/>
      <c r="TXL617" s="294"/>
      <c r="TXM617" s="294"/>
      <c r="TXN617" s="294"/>
      <c r="TXO617" s="294"/>
      <c r="TXP617" s="294"/>
      <c r="TXQ617" s="294"/>
      <c r="TXR617" s="294"/>
      <c r="TXS617" s="294"/>
      <c r="TXT617" s="294"/>
      <c r="TXU617" s="294"/>
      <c r="TXV617" s="294"/>
      <c r="TXW617" s="294"/>
      <c r="TXX617" s="294"/>
      <c r="TXY617" s="294"/>
      <c r="TXZ617" s="294"/>
      <c r="TYA617" s="294"/>
      <c r="TYB617" s="294"/>
      <c r="TYC617" s="294"/>
      <c r="TYD617" s="294"/>
      <c r="TYE617" s="294"/>
      <c r="TYF617" s="294"/>
      <c r="TYG617" s="294"/>
      <c r="TYH617" s="294"/>
      <c r="TYI617" s="294"/>
      <c r="TYJ617" s="294"/>
      <c r="TYK617" s="294"/>
      <c r="TYL617" s="294"/>
      <c r="TYM617" s="294"/>
      <c r="TYN617" s="294"/>
      <c r="TYO617" s="294"/>
      <c r="TYP617" s="294"/>
      <c r="TYQ617" s="294"/>
      <c r="TYR617" s="294"/>
      <c r="TYS617" s="294"/>
      <c r="TYT617" s="294"/>
      <c r="TYU617" s="294"/>
      <c r="TYV617" s="294"/>
      <c r="TYW617" s="294"/>
      <c r="TYX617" s="294"/>
      <c r="TYY617" s="294"/>
      <c r="TYZ617" s="294"/>
      <c r="TZA617" s="294"/>
      <c r="TZB617" s="294"/>
      <c r="TZC617" s="294"/>
      <c r="TZD617" s="294"/>
      <c r="TZE617" s="294"/>
      <c r="TZF617" s="294"/>
      <c r="TZG617" s="294"/>
      <c r="TZH617" s="294"/>
      <c r="TZI617" s="294"/>
      <c r="TZJ617" s="294"/>
      <c r="TZK617" s="294"/>
      <c r="TZL617" s="294"/>
      <c r="TZM617" s="294"/>
      <c r="TZN617" s="294"/>
      <c r="TZO617" s="294"/>
      <c r="TZP617" s="294"/>
      <c r="TZQ617" s="294"/>
      <c r="TZR617" s="294"/>
      <c r="TZS617" s="294"/>
      <c r="TZT617" s="294"/>
      <c r="TZU617" s="294"/>
      <c r="TZV617" s="294"/>
      <c r="TZW617" s="294"/>
      <c r="TZX617" s="294"/>
      <c r="TZY617" s="294"/>
      <c r="TZZ617" s="294"/>
      <c r="UAA617" s="294"/>
      <c r="UAB617" s="294"/>
      <c r="UAC617" s="294"/>
      <c r="UAD617" s="294"/>
      <c r="UAE617" s="294"/>
      <c r="UAF617" s="294"/>
      <c r="UAG617" s="294"/>
      <c r="UAH617" s="294"/>
      <c r="UAI617" s="294"/>
      <c r="UAJ617" s="294"/>
      <c r="UAK617" s="294"/>
      <c r="UAL617" s="294"/>
      <c r="UAM617" s="294"/>
      <c r="UAN617" s="294"/>
      <c r="UAO617" s="294"/>
      <c r="UAP617" s="294"/>
      <c r="UAQ617" s="294"/>
      <c r="UAR617" s="294"/>
      <c r="UAS617" s="294"/>
      <c r="UAT617" s="294"/>
      <c r="UAU617" s="294"/>
      <c r="UAV617" s="294"/>
      <c r="UAW617" s="294"/>
      <c r="UAX617" s="294"/>
      <c r="UAY617" s="294"/>
      <c r="UAZ617" s="294"/>
      <c r="UBA617" s="294"/>
      <c r="UBB617" s="294"/>
      <c r="UBC617" s="294"/>
      <c r="UBD617" s="294"/>
      <c r="UBE617" s="294"/>
      <c r="UBF617" s="294"/>
      <c r="UBG617" s="294"/>
      <c r="UBH617" s="294"/>
      <c r="UBI617" s="294"/>
      <c r="UBJ617" s="294"/>
      <c r="UBK617" s="294"/>
      <c r="UBL617" s="294"/>
      <c r="UBM617" s="294"/>
      <c r="UBN617" s="294"/>
      <c r="UBO617" s="294"/>
      <c r="UBP617" s="294"/>
      <c r="UBQ617" s="294"/>
      <c r="UBR617" s="294"/>
      <c r="UBS617" s="294"/>
      <c r="UBT617" s="294"/>
      <c r="UBU617" s="294"/>
      <c r="UBV617" s="294"/>
      <c r="UBW617" s="294"/>
      <c r="UBX617" s="294"/>
      <c r="UBY617" s="294"/>
      <c r="UBZ617" s="294"/>
      <c r="UCA617" s="294"/>
      <c r="UCB617" s="294"/>
      <c r="UCC617" s="294"/>
      <c r="UCD617" s="294"/>
      <c r="UCE617" s="294"/>
      <c r="UCF617" s="294"/>
      <c r="UCG617" s="294"/>
      <c r="UCH617" s="294"/>
      <c r="UCI617" s="294"/>
      <c r="UCJ617" s="294"/>
      <c r="UCK617" s="294"/>
      <c r="UCL617" s="294"/>
      <c r="UCM617" s="294"/>
      <c r="UCN617" s="294"/>
      <c r="UCO617" s="294"/>
      <c r="UCP617" s="294"/>
      <c r="UCQ617" s="294"/>
      <c r="UCR617" s="294"/>
      <c r="UCS617" s="294"/>
      <c r="UCT617" s="294"/>
      <c r="UCU617" s="294"/>
      <c r="UCV617" s="294"/>
      <c r="UCW617" s="294"/>
      <c r="UCX617" s="294"/>
      <c r="UCY617" s="294"/>
      <c r="UCZ617" s="294"/>
      <c r="UDA617" s="294"/>
      <c r="UDB617" s="294"/>
      <c r="UDC617" s="294"/>
      <c r="UDD617" s="294"/>
      <c r="UDE617" s="294"/>
      <c r="UDF617" s="294"/>
      <c r="UDG617" s="294"/>
      <c r="UDH617" s="294"/>
      <c r="UDI617" s="294"/>
      <c r="UDJ617" s="294"/>
      <c r="UDK617" s="294"/>
      <c r="UDL617" s="294"/>
      <c r="UDM617" s="294"/>
      <c r="UDN617" s="294"/>
      <c r="UDO617" s="294"/>
      <c r="UDP617" s="294"/>
      <c r="UDQ617" s="294"/>
      <c r="UDR617" s="294"/>
      <c r="UDS617" s="294"/>
      <c r="UDT617" s="294"/>
      <c r="UDU617" s="294"/>
      <c r="UDV617" s="294"/>
      <c r="UDW617" s="294"/>
      <c r="UDX617" s="294"/>
      <c r="UDY617" s="294"/>
      <c r="UDZ617" s="294"/>
      <c r="UEA617" s="294"/>
      <c r="UEB617" s="294"/>
      <c r="UEC617" s="294"/>
      <c r="UED617" s="294"/>
      <c r="UEE617" s="294"/>
      <c r="UEF617" s="294"/>
      <c r="UEG617" s="294"/>
      <c r="UEH617" s="294"/>
      <c r="UEI617" s="294"/>
      <c r="UEJ617" s="294"/>
      <c r="UEK617" s="294"/>
      <c r="UEL617" s="294"/>
      <c r="UEM617" s="294"/>
      <c r="UEN617" s="294"/>
      <c r="UEO617" s="294"/>
      <c r="UEP617" s="294"/>
      <c r="UEQ617" s="294"/>
      <c r="UER617" s="294"/>
      <c r="UES617" s="294"/>
      <c r="UET617" s="294"/>
      <c r="UEU617" s="294"/>
      <c r="UEV617" s="294"/>
      <c r="UEW617" s="294"/>
      <c r="UEX617" s="294"/>
      <c r="UEY617" s="294"/>
      <c r="UEZ617" s="294"/>
      <c r="UFA617" s="294"/>
      <c r="UFB617" s="294"/>
      <c r="UFC617" s="294"/>
      <c r="UFD617" s="294"/>
      <c r="UFE617" s="294"/>
      <c r="UFF617" s="294"/>
      <c r="UFG617" s="294"/>
      <c r="UFH617" s="294"/>
      <c r="UFI617" s="294"/>
      <c r="UFJ617" s="294"/>
      <c r="UFK617" s="294"/>
      <c r="UFL617" s="294"/>
      <c r="UFM617" s="294"/>
      <c r="UFN617" s="294"/>
      <c r="UFO617" s="294"/>
      <c r="UFP617" s="294"/>
      <c r="UFQ617" s="294"/>
      <c r="UFR617" s="294"/>
      <c r="UFS617" s="294"/>
      <c r="UFT617" s="294"/>
      <c r="UFU617" s="294"/>
      <c r="UFV617" s="294"/>
      <c r="UFW617" s="294"/>
      <c r="UFX617" s="294"/>
      <c r="UFY617" s="294"/>
      <c r="UFZ617" s="294"/>
      <c r="UGA617" s="294"/>
      <c r="UGB617" s="294"/>
      <c r="UGC617" s="294"/>
      <c r="UGD617" s="294"/>
      <c r="UGE617" s="294"/>
      <c r="UGF617" s="294"/>
      <c r="UGG617" s="294"/>
      <c r="UGH617" s="294"/>
      <c r="UGI617" s="294"/>
      <c r="UGJ617" s="294"/>
      <c r="UGK617" s="294"/>
      <c r="UGL617" s="294"/>
      <c r="UGM617" s="294"/>
      <c r="UGN617" s="294"/>
      <c r="UGO617" s="294"/>
      <c r="UGP617" s="294"/>
      <c r="UGQ617" s="294"/>
      <c r="UGR617" s="294"/>
      <c r="UGS617" s="294"/>
      <c r="UGT617" s="294"/>
      <c r="UGU617" s="294"/>
      <c r="UGV617" s="294"/>
      <c r="UGW617" s="294"/>
      <c r="UGX617" s="294"/>
      <c r="UGY617" s="294"/>
      <c r="UGZ617" s="294"/>
      <c r="UHA617" s="294"/>
      <c r="UHB617" s="294"/>
      <c r="UHC617" s="294"/>
      <c r="UHD617" s="294"/>
      <c r="UHE617" s="294"/>
      <c r="UHF617" s="294"/>
      <c r="UHG617" s="294"/>
      <c r="UHH617" s="294"/>
      <c r="UHI617" s="294"/>
      <c r="UHJ617" s="294"/>
      <c r="UHK617" s="294"/>
      <c r="UHL617" s="294"/>
      <c r="UHM617" s="294"/>
      <c r="UHN617" s="294"/>
      <c r="UHO617" s="294"/>
      <c r="UHP617" s="294"/>
      <c r="UHQ617" s="294"/>
      <c r="UHR617" s="294"/>
      <c r="UHS617" s="294"/>
      <c r="UHT617" s="294"/>
      <c r="UHU617" s="294"/>
      <c r="UHV617" s="294"/>
      <c r="UHW617" s="294"/>
      <c r="UHX617" s="294"/>
      <c r="UHY617" s="294"/>
      <c r="UHZ617" s="294"/>
      <c r="UIA617" s="294"/>
      <c r="UIB617" s="294"/>
      <c r="UIC617" s="294"/>
      <c r="UID617" s="294"/>
      <c r="UIE617" s="294"/>
      <c r="UIF617" s="294"/>
      <c r="UIG617" s="294"/>
      <c r="UIH617" s="294"/>
      <c r="UII617" s="294"/>
      <c r="UIJ617" s="294"/>
      <c r="UIK617" s="294"/>
      <c r="UIL617" s="294"/>
      <c r="UIM617" s="294"/>
      <c r="UIN617" s="294"/>
      <c r="UIO617" s="294"/>
      <c r="UIP617" s="294"/>
      <c r="UIQ617" s="294"/>
      <c r="UIR617" s="294"/>
      <c r="UIS617" s="294"/>
      <c r="UIT617" s="294"/>
      <c r="UIU617" s="294"/>
      <c r="UIV617" s="294"/>
      <c r="UIW617" s="294"/>
      <c r="UIX617" s="294"/>
      <c r="UIY617" s="294"/>
      <c r="UIZ617" s="294"/>
      <c r="UJA617" s="294"/>
      <c r="UJB617" s="294"/>
      <c r="UJC617" s="294"/>
      <c r="UJD617" s="294"/>
      <c r="UJE617" s="294"/>
      <c r="UJF617" s="294"/>
      <c r="UJG617" s="294"/>
      <c r="UJH617" s="294"/>
      <c r="UJI617" s="294"/>
      <c r="UJJ617" s="294"/>
      <c r="UJK617" s="294"/>
      <c r="UJL617" s="294"/>
      <c r="UJM617" s="294"/>
      <c r="UJN617" s="294"/>
      <c r="UJO617" s="294"/>
      <c r="UJP617" s="294"/>
      <c r="UJQ617" s="294"/>
      <c r="UJR617" s="294"/>
      <c r="UJS617" s="294"/>
      <c r="UJT617" s="294"/>
      <c r="UJU617" s="294"/>
      <c r="UJV617" s="294"/>
      <c r="UJW617" s="294"/>
      <c r="UJX617" s="294"/>
      <c r="UJY617" s="294"/>
      <c r="UJZ617" s="294"/>
      <c r="UKA617" s="294"/>
      <c r="UKB617" s="294"/>
      <c r="UKC617" s="294"/>
      <c r="UKD617" s="294"/>
      <c r="UKE617" s="294"/>
      <c r="UKF617" s="294"/>
      <c r="UKG617" s="294"/>
      <c r="UKH617" s="294"/>
      <c r="UKI617" s="294"/>
      <c r="UKJ617" s="294"/>
      <c r="UKK617" s="294"/>
      <c r="UKL617" s="294"/>
      <c r="UKM617" s="294"/>
      <c r="UKN617" s="294"/>
      <c r="UKO617" s="294"/>
      <c r="UKP617" s="294"/>
      <c r="UKQ617" s="294"/>
      <c r="UKR617" s="294"/>
      <c r="UKS617" s="294"/>
      <c r="UKT617" s="294"/>
      <c r="UKU617" s="294"/>
      <c r="UKV617" s="294"/>
      <c r="UKW617" s="294"/>
      <c r="UKX617" s="294"/>
      <c r="UKY617" s="294"/>
      <c r="UKZ617" s="294"/>
      <c r="ULA617" s="294"/>
      <c r="ULB617" s="294"/>
      <c r="ULC617" s="294"/>
      <c r="ULD617" s="294"/>
      <c r="ULE617" s="294"/>
      <c r="ULF617" s="294"/>
      <c r="ULG617" s="294"/>
      <c r="ULH617" s="294"/>
      <c r="ULI617" s="294"/>
      <c r="ULJ617" s="294"/>
      <c r="ULK617" s="294"/>
      <c r="ULL617" s="294"/>
      <c r="ULM617" s="294"/>
      <c r="ULN617" s="294"/>
      <c r="ULO617" s="294"/>
      <c r="ULP617" s="294"/>
      <c r="ULQ617" s="294"/>
      <c r="ULR617" s="294"/>
      <c r="ULS617" s="294"/>
      <c r="ULT617" s="294"/>
      <c r="ULU617" s="294"/>
      <c r="ULV617" s="294"/>
      <c r="ULW617" s="294"/>
      <c r="ULX617" s="294"/>
      <c r="ULY617" s="294"/>
      <c r="ULZ617" s="294"/>
      <c r="UMA617" s="294"/>
      <c r="UMB617" s="294"/>
      <c r="UMC617" s="294"/>
      <c r="UMD617" s="294"/>
      <c r="UME617" s="294"/>
      <c r="UMF617" s="294"/>
      <c r="UMG617" s="294"/>
      <c r="UMH617" s="294"/>
      <c r="UMI617" s="294"/>
      <c r="UMJ617" s="294"/>
      <c r="UMK617" s="294"/>
      <c r="UML617" s="294"/>
      <c r="UMM617" s="294"/>
      <c r="UMN617" s="294"/>
      <c r="UMO617" s="294"/>
      <c r="UMP617" s="294"/>
      <c r="UMQ617" s="294"/>
      <c r="UMR617" s="294"/>
      <c r="UMS617" s="294"/>
      <c r="UMT617" s="294"/>
      <c r="UMU617" s="294"/>
      <c r="UMV617" s="294"/>
      <c r="UMW617" s="294"/>
      <c r="UMX617" s="294"/>
      <c r="UMY617" s="294"/>
      <c r="UMZ617" s="294"/>
      <c r="UNA617" s="294"/>
      <c r="UNB617" s="294"/>
      <c r="UNC617" s="294"/>
      <c r="UND617" s="294"/>
      <c r="UNE617" s="294"/>
      <c r="UNF617" s="294"/>
      <c r="UNG617" s="294"/>
      <c r="UNH617" s="294"/>
      <c r="UNI617" s="294"/>
      <c r="UNJ617" s="294"/>
      <c r="UNK617" s="294"/>
      <c r="UNL617" s="294"/>
      <c r="UNM617" s="294"/>
      <c r="UNN617" s="294"/>
      <c r="UNO617" s="294"/>
      <c r="UNP617" s="294"/>
      <c r="UNQ617" s="294"/>
      <c r="UNR617" s="294"/>
      <c r="UNS617" s="294"/>
      <c r="UNT617" s="294"/>
      <c r="UNU617" s="294"/>
      <c r="UNV617" s="294"/>
      <c r="UNW617" s="294"/>
      <c r="UNX617" s="294"/>
      <c r="UNY617" s="294"/>
      <c r="UNZ617" s="294"/>
      <c r="UOA617" s="294"/>
      <c r="UOB617" s="294"/>
      <c r="UOC617" s="294"/>
      <c r="UOD617" s="294"/>
      <c r="UOE617" s="294"/>
      <c r="UOF617" s="294"/>
      <c r="UOG617" s="294"/>
      <c r="UOH617" s="294"/>
      <c r="UOI617" s="294"/>
      <c r="UOJ617" s="294"/>
      <c r="UOK617" s="294"/>
      <c r="UOL617" s="294"/>
      <c r="UOM617" s="294"/>
      <c r="UON617" s="294"/>
      <c r="UOO617" s="294"/>
      <c r="UOP617" s="294"/>
      <c r="UOQ617" s="294"/>
      <c r="UOR617" s="294"/>
      <c r="UOS617" s="294"/>
      <c r="UOT617" s="294"/>
      <c r="UOU617" s="294"/>
      <c r="UOV617" s="294"/>
      <c r="UOW617" s="294"/>
      <c r="UOX617" s="294"/>
      <c r="UOY617" s="294"/>
      <c r="UOZ617" s="294"/>
      <c r="UPA617" s="294"/>
      <c r="UPB617" s="294"/>
      <c r="UPC617" s="294"/>
      <c r="UPD617" s="294"/>
      <c r="UPE617" s="294"/>
      <c r="UPF617" s="294"/>
      <c r="UPG617" s="294"/>
      <c r="UPH617" s="294"/>
      <c r="UPI617" s="294"/>
      <c r="UPJ617" s="294"/>
      <c r="UPK617" s="294"/>
      <c r="UPL617" s="294"/>
      <c r="UPM617" s="294"/>
      <c r="UPN617" s="294"/>
      <c r="UPO617" s="294"/>
      <c r="UPP617" s="294"/>
      <c r="UPQ617" s="294"/>
      <c r="UPR617" s="294"/>
      <c r="UPS617" s="294"/>
      <c r="UPT617" s="294"/>
      <c r="UPU617" s="294"/>
      <c r="UPV617" s="294"/>
      <c r="UPW617" s="294"/>
      <c r="UPX617" s="294"/>
      <c r="UPY617" s="294"/>
      <c r="UPZ617" s="294"/>
      <c r="UQA617" s="294"/>
      <c r="UQB617" s="294"/>
      <c r="UQC617" s="294"/>
      <c r="UQD617" s="294"/>
      <c r="UQE617" s="294"/>
      <c r="UQF617" s="294"/>
      <c r="UQG617" s="294"/>
      <c r="UQH617" s="294"/>
      <c r="UQI617" s="294"/>
      <c r="UQJ617" s="294"/>
      <c r="UQK617" s="294"/>
      <c r="UQL617" s="294"/>
      <c r="UQM617" s="294"/>
      <c r="UQN617" s="294"/>
      <c r="UQO617" s="294"/>
      <c r="UQP617" s="294"/>
      <c r="UQQ617" s="294"/>
      <c r="UQR617" s="294"/>
      <c r="UQS617" s="294"/>
      <c r="UQT617" s="294"/>
      <c r="UQU617" s="294"/>
      <c r="UQV617" s="294"/>
      <c r="UQW617" s="294"/>
      <c r="UQX617" s="294"/>
      <c r="UQY617" s="294"/>
      <c r="UQZ617" s="294"/>
      <c r="URA617" s="294"/>
      <c r="URB617" s="294"/>
      <c r="URC617" s="294"/>
      <c r="URD617" s="294"/>
      <c r="URE617" s="294"/>
      <c r="URF617" s="294"/>
      <c r="URG617" s="294"/>
      <c r="URH617" s="294"/>
      <c r="URI617" s="294"/>
      <c r="URJ617" s="294"/>
      <c r="URK617" s="294"/>
      <c r="URL617" s="294"/>
      <c r="URM617" s="294"/>
      <c r="URN617" s="294"/>
      <c r="URO617" s="294"/>
      <c r="URP617" s="294"/>
      <c r="URQ617" s="294"/>
      <c r="URR617" s="294"/>
      <c r="URS617" s="294"/>
      <c r="URT617" s="294"/>
      <c r="URU617" s="294"/>
      <c r="URV617" s="294"/>
      <c r="URW617" s="294"/>
      <c r="URX617" s="294"/>
      <c r="URY617" s="294"/>
      <c r="URZ617" s="294"/>
      <c r="USA617" s="294"/>
      <c r="USB617" s="294"/>
      <c r="USC617" s="294"/>
      <c r="USD617" s="294"/>
      <c r="USE617" s="294"/>
      <c r="USF617" s="294"/>
      <c r="USG617" s="294"/>
      <c r="USH617" s="294"/>
      <c r="USI617" s="294"/>
      <c r="USJ617" s="294"/>
      <c r="USK617" s="294"/>
      <c r="USL617" s="294"/>
      <c r="USM617" s="294"/>
      <c r="USN617" s="294"/>
      <c r="USO617" s="294"/>
      <c r="USP617" s="294"/>
      <c r="USQ617" s="294"/>
      <c r="USR617" s="294"/>
      <c r="USS617" s="294"/>
      <c r="UST617" s="294"/>
      <c r="USU617" s="294"/>
      <c r="USV617" s="294"/>
      <c r="USW617" s="294"/>
      <c r="USX617" s="294"/>
      <c r="USY617" s="294"/>
      <c r="USZ617" s="294"/>
      <c r="UTA617" s="294"/>
      <c r="UTB617" s="294"/>
      <c r="UTC617" s="294"/>
      <c r="UTD617" s="294"/>
      <c r="UTE617" s="294"/>
      <c r="UTF617" s="294"/>
      <c r="UTG617" s="294"/>
      <c r="UTH617" s="294"/>
      <c r="UTI617" s="294"/>
      <c r="UTJ617" s="294"/>
      <c r="UTK617" s="294"/>
      <c r="UTL617" s="294"/>
      <c r="UTM617" s="294"/>
      <c r="UTN617" s="294"/>
      <c r="UTO617" s="294"/>
      <c r="UTP617" s="294"/>
      <c r="UTQ617" s="294"/>
      <c r="UTR617" s="294"/>
      <c r="UTS617" s="294"/>
      <c r="UTT617" s="294"/>
      <c r="UTU617" s="294"/>
      <c r="UTV617" s="294"/>
      <c r="UTW617" s="294"/>
      <c r="UTX617" s="294"/>
      <c r="UTY617" s="294"/>
      <c r="UTZ617" s="294"/>
      <c r="UUA617" s="294"/>
      <c r="UUB617" s="294"/>
      <c r="UUC617" s="294"/>
      <c r="UUD617" s="294"/>
      <c r="UUE617" s="294"/>
      <c r="UUF617" s="294"/>
      <c r="UUG617" s="294"/>
      <c r="UUH617" s="294"/>
      <c r="UUI617" s="294"/>
      <c r="UUJ617" s="294"/>
      <c r="UUK617" s="294"/>
      <c r="UUL617" s="294"/>
      <c r="UUM617" s="294"/>
      <c r="UUN617" s="294"/>
      <c r="UUO617" s="294"/>
      <c r="UUP617" s="294"/>
      <c r="UUQ617" s="294"/>
      <c r="UUR617" s="294"/>
      <c r="UUS617" s="294"/>
      <c r="UUT617" s="294"/>
      <c r="UUU617" s="294"/>
      <c r="UUV617" s="294"/>
      <c r="UUW617" s="294"/>
      <c r="UUX617" s="294"/>
      <c r="UUY617" s="294"/>
      <c r="UUZ617" s="294"/>
      <c r="UVA617" s="294"/>
      <c r="UVB617" s="294"/>
      <c r="UVC617" s="294"/>
      <c r="UVD617" s="294"/>
      <c r="UVE617" s="294"/>
      <c r="UVF617" s="294"/>
      <c r="UVG617" s="294"/>
      <c r="UVH617" s="294"/>
      <c r="UVI617" s="294"/>
      <c r="UVJ617" s="294"/>
      <c r="UVK617" s="294"/>
      <c r="UVL617" s="294"/>
      <c r="UVM617" s="294"/>
      <c r="UVN617" s="294"/>
      <c r="UVO617" s="294"/>
      <c r="UVP617" s="294"/>
      <c r="UVQ617" s="294"/>
      <c r="UVR617" s="294"/>
      <c r="UVS617" s="294"/>
      <c r="UVT617" s="294"/>
      <c r="UVU617" s="294"/>
      <c r="UVV617" s="294"/>
      <c r="UVW617" s="294"/>
      <c r="UVX617" s="294"/>
      <c r="UVY617" s="294"/>
      <c r="UVZ617" s="294"/>
      <c r="UWA617" s="294"/>
      <c r="UWB617" s="294"/>
      <c r="UWC617" s="294"/>
      <c r="UWD617" s="294"/>
      <c r="UWE617" s="294"/>
      <c r="UWF617" s="294"/>
      <c r="UWG617" s="294"/>
      <c r="UWH617" s="294"/>
      <c r="UWI617" s="294"/>
      <c r="UWJ617" s="294"/>
      <c r="UWK617" s="294"/>
      <c r="UWL617" s="294"/>
      <c r="UWM617" s="294"/>
      <c r="UWN617" s="294"/>
      <c r="UWO617" s="294"/>
      <c r="UWP617" s="294"/>
      <c r="UWQ617" s="294"/>
      <c r="UWR617" s="294"/>
      <c r="UWS617" s="294"/>
      <c r="UWT617" s="294"/>
      <c r="UWU617" s="294"/>
      <c r="UWV617" s="294"/>
      <c r="UWW617" s="294"/>
      <c r="UWX617" s="294"/>
      <c r="UWY617" s="294"/>
      <c r="UWZ617" s="294"/>
      <c r="UXA617" s="294"/>
      <c r="UXB617" s="294"/>
      <c r="UXC617" s="294"/>
      <c r="UXD617" s="294"/>
      <c r="UXE617" s="294"/>
      <c r="UXF617" s="294"/>
      <c r="UXG617" s="294"/>
      <c r="UXH617" s="294"/>
      <c r="UXI617" s="294"/>
      <c r="UXJ617" s="294"/>
      <c r="UXK617" s="294"/>
      <c r="UXL617" s="294"/>
      <c r="UXM617" s="294"/>
      <c r="UXN617" s="294"/>
      <c r="UXO617" s="294"/>
      <c r="UXP617" s="294"/>
      <c r="UXQ617" s="294"/>
      <c r="UXR617" s="294"/>
      <c r="UXS617" s="294"/>
      <c r="UXT617" s="294"/>
      <c r="UXU617" s="294"/>
      <c r="UXV617" s="294"/>
      <c r="UXW617" s="294"/>
      <c r="UXX617" s="294"/>
      <c r="UXY617" s="294"/>
      <c r="UXZ617" s="294"/>
      <c r="UYA617" s="294"/>
      <c r="UYB617" s="294"/>
      <c r="UYC617" s="294"/>
      <c r="UYD617" s="294"/>
      <c r="UYE617" s="294"/>
      <c r="UYF617" s="294"/>
      <c r="UYG617" s="294"/>
      <c r="UYH617" s="294"/>
      <c r="UYI617" s="294"/>
      <c r="UYJ617" s="294"/>
      <c r="UYK617" s="294"/>
      <c r="UYL617" s="294"/>
      <c r="UYM617" s="294"/>
      <c r="UYN617" s="294"/>
      <c r="UYO617" s="294"/>
      <c r="UYP617" s="294"/>
      <c r="UYQ617" s="294"/>
      <c r="UYR617" s="294"/>
      <c r="UYS617" s="294"/>
      <c r="UYT617" s="294"/>
      <c r="UYU617" s="294"/>
      <c r="UYV617" s="294"/>
      <c r="UYW617" s="294"/>
      <c r="UYX617" s="294"/>
      <c r="UYY617" s="294"/>
      <c r="UYZ617" s="294"/>
      <c r="UZA617" s="294"/>
      <c r="UZB617" s="294"/>
      <c r="UZC617" s="294"/>
      <c r="UZD617" s="294"/>
      <c r="UZE617" s="294"/>
      <c r="UZF617" s="294"/>
      <c r="UZG617" s="294"/>
      <c r="UZH617" s="294"/>
      <c r="UZI617" s="294"/>
      <c r="UZJ617" s="294"/>
      <c r="UZK617" s="294"/>
      <c r="UZL617" s="294"/>
      <c r="UZM617" s="294"/>
      <c r="UZN617" s="294"/>
      <c r="UZO617" s="294"/>
      <c r="UZP617" s="294"/>
      <c r="UZQ617" s="294"/>
      <c r="UZR617" s="294"/>
      <c r="UZS617" s="294"/>
      <c r="UZT617" s="294"/>
      <c r="UZU617" s="294"/>
      <c r="UZV617" s="294"/>
      <c r="UZW617" s="294"/>
      <c r="UZX617" s="294"/>
      <c r="UZY617" s="294"/>
      <c r="UZZ617" s="294"/>
      <c r="VAA617" s="294"/>
      <c r="VAB617" s="294"/>
      <c r="VAC617" s="294"/>
      <c r="VAD617" s="294"/>
      <c r="VAE617" s="294"/>
      <c r="VAF617" s="294"/>
      <c r="VAG617" s="294"/>
      <c r="VAH617" s="294"/>
      <c r="VAI617" s="294"/>
      <c r="VAJ617" s="294"/>
      <c r="VAK617" s="294"/>
      <c r="VAL617" s="294"/>
      <c r="VAM617" s="294"/>
      <c r="VAN617" s="294"/>
      <c r="VAO617" s="294"/>
      <c r="VAP617" s="294"/>
      <c r="VAQ617" s="294"/>
      <c r="VAR617" s="294"/>
      <c r="VAS617" s="294"/>
      <c r="VAT617" s="294"/>
      <c r="VAU617" s="294"/>
      <c r="VAV617" s="294"/>
      <c r="VAW617" s="294"/>
      <c r="VAX617" s="294"/>
      <c r="VAY617" s="294"/>
      <c r="VAZ617" s="294"/>
      <c r="VBA617" s="294"/>
      <c r="VBB617" s="294"/>
      <c r="VBC617" s="294"/>
      <c r="VBD617" s="294"/>
      <c r="VBE617" s="294"/>
      <c r="VBF617" s="294"/>
      <c r="VBG617" s="294"/>
      <c r="VBH617" s="294"/>
      <c r="VBI617" s="294"/>
      <c r="VBJ617" s="294"/>
      <c r="VBK617" s="294"/>
      <c r="VBL617" s="294"/>
      <c r="VBM617" s="294"/>
      <c r="VBN617" s="294"/>
      <c r="VBO617" s="294"/>
      <c r="VBP617" s="294"/>
      <c r="VBQ617" s="294"/>
      <c r="VBR617" s="294"/>
      <c r="VBS617" s="294"/>
      <c r="VBT617" s="294"/>
      <c r="VBU617" s="294"/>
      <c r="VBV617" s="294"/>
      <c r="VBW617" s="294"/>
      <c r="VBX617" s="294"/>
      <c r="VBY617" s="294"/>
      <c r="VBZ617" s="294"/>
      <c r="VCA617" s="294"/>
      <c r="VCB617" s="294"/>
      <c r="VCC617" s="294"/>
      <c r="VCD617" s="294"/>
      <c r="VCE617" s="294"/>
      <c r="VCF617" s="294"/>
      <c r="VCG617" s="294"/>
      <c r="VCH617" s="294"/>
      <c r="VCI617" s="294"/>
      <c r="VCJ617" s="294"/>
      <c r="VCK617" s="294"/>
      <c r="VCL617" s="294"/>
      <c r="VCM617" s="294"/>
      <c r="VCN617" s="294"/>
      <c r="VCO617" s="294"/>
      <c r="VCP617" s="294"/>
      <c r="VCQ617" s="294"/>
      <c r="VCR617" s="294"/>
      <c r="VCS617" s="294"/>
      <c r="VCT617" s="294"/>
      <c r="VCU617" s="294"/>
      <c r="VCV617" s="294"/>
      <c r="VCW617" s="294"/>
      <c r="VCX617" s="294"/>
      <c r="VCY617" s="294"/>
      <c r="VCZ617" s="294"/>
      <c r="VDA617" s="294"/>
      <c r="VDB617" s="294"/>
      <c r="VDC617" s="294"/>
      <c r="VDD617" s="294"/>
      <c r="VDE617" s="294"/>
      <c r="VDF617" s="294"/>
      <c r="VDG617" s="294"/>
      <c r="VDH617" s="294"/>
      <c r="VDI617" s="294"/>
      <c r="VDJ617" s="294"/>
      <c r="VDK617" s="294"/>
      <c r="VDL617" s="294"/>
      <c r="VDM617" s="294"/>
      <c r="VDN617" s="294"/>
      <c r="VDO617" s="294"/>
      <c r="VDP617" s="294"/>
      <c r="VDQ617" s="294"/>
      <c r="VDR617" s="294"/>
      <c r="VDS617" s="294"/>
      <c r="VDT617" s="294"/>
      <c r="VDU617" s="294"/>
      <c r="VDV617" s="294"/>
      <c r="VDW617" s="294"/>
      <c r="VDX617" s="294"/>
      <c r="VDY617" s="294"/>
      <c r="VDZ617" s="294"/>
      <c r="VEA617" s="294"/>
      <c r="VEB617" s="294"/>
      <c r="VEC617" s="294"/>
      <c r="VED617" s="294"/>
      <c r="VEE617" s="294"/>
      <c r="VEF617" s="294"/>
      <c r="VEG617" s="294"/>
      <c r="VEH617" s="294"/>
      <c r="VEI617" s="294"/>
      <c r="VEJ617" s="294"/>
      <c r="VEK617" s="294"/>
      <c r="VEL617" s="294"/>
      <c r="VEM617" s="294"/>
      <c r="VEN617" s="294"/>
      <c r="VEO617" s="294"/>
      <c r="VEP617" s="294"/>
      <c r="VEQ617" s="294"/>
      <c r="VER617" s="294"/>
      <c r="VES617" s="294"/>
      <c r="VET617" s="294"/>
      <c r="VEU617" s="294"/>
      <c r="VEV617" s="294"/>
      <c r="VEW617" s="294"/>
      <c r="VEX617" s="294"/>
      <c r="VEY617" s="294"/>
      <c r="VEZ617" s="294"/>
      <c r="VFA617" s="294"/>
      <c r="VFB617" s="294"/>
      <c r="VFC617" s="294"/>
      <c r="VFD617" s="294"/>
      <c r="VFE617" s="294"/>
      <c r="VFF617" s="294"/>
      <c r="VFG617" s="294"/>
      <c r="VFH617" s="294"/>
      <c r="VFI617" s="294"/>
      <c r="VFJ617" s="294"/>
      <c r="VFK617" s="294"/>
      <c r="VFL617" s="294"/>
      <c r="VFM617" s="294"/>
      <c r="VFN617" s="294"/>
      <c r="VFO617" s="294"/>
      <c r="VFP617" s="294"/>
      <c r="VFQ617" s="294"/>
      <c r="VFR617" s="294"/>
      <c r="VFS617" s="294"/>
      <c r="VFT617" s="294"/>
      <c r="VFU617" s="294"/>
      <c r="VFV617" s="294"/>
      <c r="VFW617" s="294"/>
      <c r="VFX617" s="294"/>
      <c r="VFY617" s="294"/>
      <c r="VFZ617" s="294"/>
      <c r="VGA617" s="294"/>
      <c r="VGB617" s="294"/>
      <c r="VGC617" s="294"/>
      <c r="VGD617" s="294"/>
      <c r="VGE617" s="294"/>
      <c r="VGF617" s="294"/>
      <c r="VGG617" s="294"/>
      <c r="VGH617" s="294"/>
      <c r="VGI617" s="294"/>
      <c r="VGJ617" s="294"/>
      <c r="VGK617" s="294"/>
      <c r="VGL617" s="294"/>
      <c r="VGM617" s="294"/>
      <c r="VGN617" s="294"/>
      <c r="VGO617" s="294"/>
      <c r="VGP617" s="294"/>
      <c r="VGQ617" s="294"/>
      <c r="VGR617" s="294"/>
      <c r="VGS617" s="294"/>
      <c r="VGT617" s="294"/>
      <c r="VGU617" s="294"/>
      <c r="VGV617" s="294"/>
      <c r="VGW617" s="294"/>
      <c r="VGX617" s="294"/>
      <c r="VGY617" s="294"/>
      <c r="VGZ617" s="294"/>
      <c r="VHA617" s="294"/>
      <c r="VHB617" s="294"/>
      <c r="VHC617" s="294"/>
      <c r="VHD617" s="294"/>
      <c r="VHE617" s="294"/>
      <c r="VHF617" s="294"/>
      <c r="VHG617" s="294"/>
      <c r="VHH617" s="294"/>
      <c r="VHI617" s="294"/>
      <c r="VHJ617" s="294"/>
      <c r="VHK617" s="294"/>
      <c r="VHL617" s="294"/>
      <c r="VHM617" s="294"/>
      <c r="VHN617" s="294"/>
      <c r="VHO617" s="294"/>
      <c r="VHP617" s="294"/>
      <c r="VHQ617" s="294"/>
      <c r="VHR617" s="294"/>
      <c r="VHS617" s="294"/>
      <c r="VHT617" s="294"/>
      <c r="VHU617" s="294"/>
      <c r="VHV617" s="294"/>
      <c r="VHW617" s="294"/>
      <c r="VHX617" s="294"/>
      <c r="VHY617" s="294"/>
      <c r="VHZ617" s="294"/>
      <c r="VIA617" s="294"/>
      <c r="VIB617" s="294"/>
      <c r="VIC617" s="294"/>
      <c r="VID617" s="294"/>
      <c r="VIE617" s="294"/>
      <c r="VIF617" s="294"/>
      <c r="VIG617" s="294"/>
      <c r="VIH617" s="294"/>
      <c r="VII617" s="294"/>
      <c r="VIJ617" s="294"/>
      <c r="VIK617" s="294"/>
      <c r="VIL617" s="294"/>
      <c r="VIM617" s="294"/>
      <c r="VIN617" s="294"/>
      <c r="VIO617" s="294"/>
      <c r="VIP617" s="294"/>
      <c r="VIQ617" s="294"/>
      <c r="VIR617" s="294"/>
      <c r="VIS617" s="294"/>
      <c r="VIT617" s="294"/>
      <c r="VIU617" s="294"/>
      <c r="VIV617" s="294"/>
      <c r="VIW617" s="294"/>
      <c r="VIX617" s="294"/>
      <c r="VIY617" s="294"/>
      <c r="VIZ617" s="294"/>
      <c r="VJA617" s="294"/>
      <c r="VJB617" s="294"/>
      <c r="VJC617" s="294"/>
      <c r="VJD617" s="294"/>
      <c r="VJE617" s="294"/>
      <c r="VJF617" s="294"/>
      <c r="VJG617" s="294"/>
      <c r="VJH617" s="294"/>
      <c r="VJI617" s="294"/>
      <c r="VJJ617" s="294"/>
      <c r="VJK617" s="294"/>
      <c r="VJL617" s="294"/>
      <c r="VJM617" s="294"/>
      <c r="VJN617" s="294"/>
      <c r="VJO617" s="294"/>
      <c r="VJP617" s="294"/>
      <c r="VJQ617" s="294"/>
      <c r="VJR617" s="294"/>
      <c r="VJS617" s="294"/>
      <c r="VJT617" s="294"/>
      <c r="VJU617" s="294"/>
      <c r="VJV617" s="294"/>
      <c r="VJW617" s="294"/>
      <c r="VJX617" s="294"/>
      <c r="VJY617" s="294"/>
      <c r="VJZ617" s="294"/>
      <c r="VKA617" s="294"/>
      <c r="VKB617" s="294"/>
      <c r="VKC617" s="294"/>
      <c r="VKD617" s="294"/>
      <c r="VKE617" s="294"/>
      <c r="VKF617" s="294"/>
      <c r="VKG617" s="294"/>
      <c r="VKH617" s="294"/>
      <c r="VKI617" s="294"/>
      <c r="VKJ617" s="294"/>
      <c r="VKK617" s="294"/>
      <c r="VKL617" s="294"/>
      <c r="VKM617" s="294"/>
      <c r="VKN617" s="294"/>
      <c r="VKO617" s="294"/>
      <c r="VKP617" s="294"/>
      <c r="VKQ617" s="294"/>
      <c r="VKR617" s="294"/>
      <c r="VKS617" s="294"/>
      <c r="VKT617" s="294"/>
      <c r="VKU617" s="294"/>
      <c r="VKV617" s="294"/>
      <c r="VKW617" s="294"/>
      <c r="VKX617" s="294"/>
      <c r="VKY617" s="294"/>
      <c r="VKZ617" s="294"/>
      <c r="VLA617" s="294"/>
      <c r="VLB617" s="294"/>
      <c r="VLC617" s="294"/>
      <c r="VLD617" s="294"/>
      <c r="VLE617" s="294"/>
      <c r="VLF617" s="294"/>
      <c r="VLG617" s="294"/>
      <c r="VLH617" s="294"/>
      <c r="VLI617" s="294"/>
      <c r="VLJ617" s="294"/>
      <c r="VLK617" s="294"/>
      <c r="VLL617" s="294"/>
      <c r="VLM617" s="294"/>
      <c r="VLN617" s="294"/>
      <c r="VLO617" s="294"/>
      <c r="VLP617" s="294"/>
      <c r="VLQ617" s="294"/>
      <c r="VLR617" s="294"/>
      <c r="VLS617" s="294"/>
      <c r="VLT617" s="294"/>
      <c r="VLU617" s="294"/>
      <c r="VLV617" s="294"/>
      <c r="VLW617" s="294"/>
      <c r="VLX617" s="294"/>
      <c r="VLY617" s="294"/>
      <c r="VLZ617" s="294"/>
      <c r="VMA617" s="294"/>
      <c r="VMB617" s="294"/>
      <c r="VMC617" s="294"/>
      <c r="VMD617" s="294"/>
      <c r="VME617" s="294"/>
      <c r="VMF617" s="294"/>
      <c r="VMG617" s="294"/>
      <c r="VMH617" s="294"/>
      <c r="VMI617" s="294"/>
      <c r="VMJ617" s="294"/>
      <c r="VMK617" s="294"/>
      <c r="VML617" s="294"/>
      <c r="VMM617" s="294"/>
      <c r="VMN617" s="294"/>
      <c r="VMO617" s="294"/>
      <c r="VMP617" s="294"/>
      <c r="VMQ617" s="294"/>
      <c r="VMR617" s="294"/>
      <c r="VMS617" s="294"/>
      <c r="VMT617" s="294"/>
      <c r="VMU617" s="294"/>
      <c r="VMV617" s="294"/>
      <c r="VMW617" s="294"/>
      <c r="VMX617" s="294"/>
      <c r="VMY617" s="294"/>
      <c r="VMZ617" s="294"/>
      <c r="VNA617" s="294"/>
      <c r="VNB617" s="294"/>
      <c r="VNC617" s="294"/>
      <c r="VND617" s="294"/>
      <c r="VNE617" s="294"/>
      <c r="VNF617" s="294"/>
      <c r="VNG617" s="294"/>
      <c r="VNH617" s="294"/>
      <c r="VNI617" s="294"/>
      <c r="VNJ617" s="294"/>
      <c r="VNK617" s="294"/>
      <c r="VNL617" s="294"/>
      <c r="VNM617" s="294"/>
      <c r="VNN617" s="294"/>
      <c r="VNO617" s="294"/>
      <c r="VNP617" s="294"/>
      <c r="VNQ617" s="294"/>
      <c r="VNR617" s="294"/>
      <c r="VNS617" s="294"/>
      <c r="VNT617" s="294"/>
      <c r="VNU617" s="294"/>
      <c r="VNV617" s="294"/>
      <c r="VNW617" s="294"/>
      <c r="VNX617" s="294"/>
      <c r="VNY617" s="294"/>
      <c r="VNZ617" s="294"/>
      <c r="VOA617" s="294"/>
      <c r="VOB617" s="294"/>
      <c r="VOC617" s="294"/>
      <c r="VOD617" s="294"/>
      <c r="VOE617" s="294"/>
      <c r="VOF617" s="294"/>
      <c r="VOG617" s="294"/>
      <c r="VOH617" s="294"/>
      <c r="VOI617" s="294"/>
      <c r="VOJ617" s="294"/>
      <c r="VOK617" s="294"/>
      <c r="VOL617" s="294"/>
      <c r="VOM617" s="294"/>
      <c r="VON617" s="294"/>
      <c r="VOO617" s="294"/>
      <c r="VOP617" s="294"/>
      <c r="VOQ617" s="294"/>
      <c r="VOR617" s="294"/>
      <c r="VOS617" s="294"/>
      <c r="VOT617" s="294"/>
      <c r="VOU617" s="294"/>
      <c r="VOV617" s="294"/>
      <c r="VOW617" s="294"/>
      <c r="VOX617" s="294"/>
      <c r="VOY617" s="294"/>
      <c r="VOZ617" s="294"/>
      <c r="VPA617" s="294"/>
      <c r="VPB617" s="294"/>
      <c r="VPC617" s="294"/>
      <c r="VPD617" s="294"/>
      <c r="VPE617" s="294"/>
      <c r="VPF617" s="294"/>
      <c r="VPG617" s="294"/>
      <c r="VPH617" s="294"/>
      <c r="VPI617" s="294"/>
      <c r="VPJ617" s="294"/>
      <c r="VPK617" s="294"/>
      <c r="VPL617" s="294"/>
      <c r="VPM617" s="294"/>
      <c r="VPN617" s="294"/>
      <c r="VPO617" s="294"/>
      <c r="VPP617" s="294"/>
      <c r="VPQ617" s="294"/>
      <c r="VPR617" s="294"/>
      <c r="VPS617" s="294"/>
      <c r="VPT617" s="294"/>
      <c r="VPU617" s="294"/>
      <c r="VPV617" s="294"/>
      <c r="VPW617" s="294"/>
      <c r="VPX617" s="294"/>
      <c r="VPY617" s="294"/>
      <c r="VPZ617" s="294"/>
      <c r="VQA617" s="294"/>
      <c r="VQB617" s="294"/>
      <c r="VQC617" s="294"/>
      <c r="VQD617" s="294"/>
      <c r="VQE617" s="294"/>
      <c r="VQF617" s="294"/>
      <c r="VQG617" s="294"/>
      <c r="VQH617" s="294"/>
      <c r="VQI617" s="294"/>
      <c r="VQJ617" s="294"/>
      <c r="VQK617" s="294"/>
      <c r="VQL617" s="294"/>
      <c r="VQM617" s="294"/>
      <c r="VQN617" s="294"/>
      <c r="VQO617" s="294"/>
      <c r="VQP617" s="294"/>
      <c r="VQQ617" s="294"/>
      <c r="VQR617" s="294"/>
      <c r="VQS617" s="294"/>
      <c r="VQT617" s="294"/>
      <c r="VQU617" s="294"/>
      <c r="VQV617" s="294"/>
      <c r="VQW617" s="294"/>
      <c r="VQX617" s="294"/>
      <c r="VQY617" s="294"/>
      <c r="VQZ617" s="294"/>
      <c r="VRA617" s="294"/>
      <c r="VRB617" s="294"/>
      <c r="VRC617" s="294"/>
      <c r="VRD617" s="294"/>
      <c r="VRE617" s="294"/>
      <c r="VRF617" s="294"/>
      <c r="VRG617" s="294"/>
      <c r="VRH617" s="294"/>
      <c r="VRI617" s="294"/>
      <c r="VRJ617" s="294"/>
      <c r="VRK617" s="294"/>
      <c r="VRL617" s="294"/>
      <c r="VRM617" s="294"/>
      <c r="VRN617" s="294"/>
      <c r="VRO617" s="294"/>
      <c r="VRP617" s="294"/>
      <c r="VRQ617" s="294"/>
      <c r="VRR617" s="294"/>
      <c r="VRS617" s="294"/>
      <c r="VRT617" s="294"/>
      <c r="VRU617" s="294"/>
      <c r="VRV617" s="294"/>
      <c r="VRW617" s="294"/>
      <c r="VRX617" s="294"/>
      <c r="VRY617" s="294"/>
      <c r="VRZ617" s="294"/>
      <c r="VSA617" s="294"/>
      <c r="VSB617" s="294"/>
      <c r="VSC617" s="294"/>
      <c r="VSD617" s="294"/>
      <c r="VSE617" s="294"/>
      <c r="VSF617" s="294"/>
      <c r="VSG617" s="294"/>
      <c r="VSH617" s="294"/>
      <c r="VSI617" s="294"/>
      <c r="VSJ617" s="294"/>
      <c r="VSK617" s="294"/>
      <c r="VSL617" s="294"/>
      <c r="VSM617" s="294"/>
      <c r="VSN617" s="294"/>
      <c r="VSO617" s="294"/>
      <c r="VSP617" s="294"/>
      <c r="VSQ617" s="294"/>
      <c r="VSR617" s="294"/>
      <c r="VSS617" s="294"/>
      <c r="VST617" s="294"/>
      <c r="VSU617" s="294"/>
      <c r="VSV617" s="294"/>
      <c r="VSW617" s="294"/>
      <c r="VSX617" s="294"/>
      <c r="VSY617" s="294"/>
      <c r="VSZ617" s="294"/>
      <c r="VTA617" s="294"/>
      <c r="VTB617" s="294"/>
      <c r="VTC617" s="294"/>
      <c r="VTD617" s="294"/>
      <c r="VTE617" s="294"/>
      <c r="VTF617" s="294"/>
      <c r="VTG617" s="294"/>
      <c r="VTH617" s="294"/>
      <c r="VTI617" s="294"/>
      <c r="VTJ617" s="294"/>
      <c r="VTK617" s="294"/>
      <c r="VTL617" s="294"/>
      <c r="VTM617" s="294"/>
      <c r="VTN617" s="294"/>
      <c r="VTO617" s="294"/>
      <c r="VTP617" s="294"/>
      <c r="VTQ617" s="294"/>
      <c r="VTR617" s="294"/>
      <c r="VTS617" s="294"/>
      <c r="VTT617" s="294"/>
      <c r="VTU617" s="294"/>
      <c r="VTV617" s="294"/>
      <c r="VTW617" s="294"/>
      <c r="VTX617" s="294"/>
      <c r="VTY617" s="294"/>
      <c r="VTZ617" s="294"/>
      <c r="VUA617" s="294"/>
      <c r="VUB617" s="294"/>
      <c r="VUC617" s="294"/>
      <c r="VUD617" s="294"/>
      <c r="VUE617" s="294"/>
      <c r="VUF617" s="294"/>
      <c r="VUG617" s="294"/>
      <c r="VUH617" s="294"/>
      <c r="VUI617" s="294"/>
      <c r="VUJ617" s="294"/>
      <c r="VUK617" s="294"/>
      <c r="VUL617" s="294"/>
      <c r="VUM617" s="294"/>
      <c r="VUN617" s="294"/>
      <c r="VUO617" s="294"/>
      <c r="VUP617" s="294"/>
      <c r="VUQ617" s="294"/>
      <c r="VUR617" s="294"/>
      <c r="VUS617" s="294"/>
      <c r="VUT617" s="294"/>
      <c r="VUU617" s="294"/>
      <c r="VUV617" s="294"/>
      <c r="VUW617" s="294"/>
      <c r="VUX617" s="294"/>
      <c r="VUY617" s="294"/>
      <c r="VUZ617" s="294"/>
      <c r="VVA617" s="294"/>
      <c r="VVB617" s="294"/>
      <c r="VVC617" s="294"/>
      <c r="VVD617" s="294"/>
      <c r="VVE617" s="294"/>
      <c r="VVF617" s="294"/>
      <c r="VVG617" s="294"/>
      <c r="VVH617" s="294"/>
      <c r="VVI617" s="294"/>
      <c r="VVJ617" s="294"/>
      <c r="VVK617" s="294"/>
      <c r="VVL617" s="294"/>
      <c r="VVM617" s="294"/>
      <c r="VVN617" s="294"/>
      <c r="VVO617" s="294"/>
      <c r="VVP617" s="294"/>
      <c r="VVQ617" s="294"/>
      <c r="VVR617" s="294"/>
      <c r="VVS617" s="294"/>
      <c r="VVT617" s="294"/>
      <c r="VVU617" s="294"/>
      <c r="VVV617" s="294"/>
      <c r="VVW617" s="294"/>
      <c r="VVX617" s="294"/>
      <c r="VVY617" s="294"/>
      <c r="VVZ617" s="294"/>
      <c r="VWA617" s="294"/>
      <c r="VWB617" s="294"/>
      <c r="VWC617" s="294"/>
      <c r="VWD617" s="294"/>
      <c r="VWE617" s="294"/>
      <c r="VWF617" s="294"/>
      <c r="VWG617" s="294"/>
      <c r="VWH617" s="294"/>
      <c r="VWI617" s="294"/>
      <c r="VWJ617" s="294"/>
      <c r="VWK617" s="294"/>
      <c r="VWL617" s="294"/>
      <c r="VWM617" s="294"/>
      <c r="VWN617" s="294"/>
      <c r="VWO617" s="294"/>
      <c r="VWP617" s="294"/>
      <c r="VWQ617" s="294"/>
      <c r="VWR617" s="294"/>
      <c r="VWS617" s="294"/>
      <c r="VWT617" s="294"/>
      <c r="VWU617" s="294"/>
      <c r="VWV617" s="294"/>
      <c r="VWW617" s="294"/>
      <c r="VWX617" s="294"/>
      <c r="VWY617" s="294"/>
      <c r="VWZ617" s="294"/>
      <c r="VXA617" s="294"/>
      <c r="VXB617" s="294"/>
      <c r="VXC617" s="294"/>
      <c r="VXD617" s="294"/>
      <c r="VXE617" s="294"/>
      <c r="VXF617" s="294"/>
      <c r="VXG617" s="294"/>
      <c r="VXH617" s="294"/>
      <c r="VXI617" s="294"/>
      <c r="VXJ617" s="294"/>
      <c r="VXK617" s="294"/>
      <c r="VXL617" s="294"/>
      <c r="VXM617" s="294"/>
      <c r="VXN617" s="294"/>
      <c r="VXO617" s="294"/>
      <c r="VXP617" s="294"/>
      <c r="VXQ617" s="294"/>
      <c r="VXR617" s="294"/>
      <c r="VXS617" s="294"/>
      <c r="VXT617" s="294"/>
      <c r="VXU617" s="294"/>
      <c r="VXV617" s="294"/>
      <c r="VXW617" s="294"/>
      <c r="VXX617" s="294"/>
      <c r="VXY617" s="294"/>
      <c r="VXZ617" s="294"/>
      <c r="VYA617" s="294"/>
      <c r="VYB617" s="294"/>
      <c r="VYC617" s="294"/>
      <c r="VYD617" s="294"/>
      <c r="VYE617" s="294"/>
      <c r="VYF617" s="294"/>
      <c r="VYG617" s="294"/>
      <c r="VYH617" s="294"/>
      <c r="VYI617" s="294"/>
      <c r="VYJ617" s="294"/>
      <c r="VYK617" s="294"/>
      <c r="VYL617" s="294"/>
      <c r="VYM617" s="294"/>
      <c r="VYN617" s="294"/>
      <c r="VYO617" s="294"/>
      <c r="VYP617" s="294"/>
      <c r="VYQ617" s="294"/>
      <c r="VYR617" s="294"/>
      <c r="VYS617" s="294"/>
      <c r="VYT617" s="294"/>
      <c r="VYU617" s="294"/>
      <c r="VYV617" s="294"/>
      <c r="VYW617" s="294"/>
      <c r="VYX617" s="294"/>
      <c r="VYY617" s="294"/>
      <c r="VYZ617" s="294"/>
      <c r="VZA617" s="294"/>
      <c r="VZB617" s="294"/>
      <c r="VZC617" s="294"/>
      <c r="VZD617" s="294"/>
      <c r="VZE617" s="294"/>
      <c r="VZF617" s="294"/>
      <c r="VZG617" s="294"/>
      <c r="VZH617" s="294"/>
      <c r="VZI617" s="294"/>
      <c r="VZJ617" s="294"/>
      <c r="VZK617" s="294"/>
      <c r="VZL617" s="294"/>
      <c r="VZM617" s="294"/>
      <c r="VZN617" s="294"/>
      <c r="VZO617" s="294"/>
      <c r="VZP617" s="294"/>
      <c r="VZQ617" s="294"/>
      <c r="VZR617" s="294"/>
      <c r="VZS617" s="294"/>
      <c r="VZT617" s="294"/>
      <c r="VZU617" s="294"/>
      <c r="VZV617" s="294"/>
      <c r="VZW617" s="294"/>
      <c r="VZX617" s="294"/>
      <c r="VZY617" s="294"/>
      <c r="VZZ617" s="294"/>
      <c r="WAA617" s="294"/>
      <c r="WAB617" s="294"/>
      <c r="WAC617" s="294"/>
      <c r="WAD617" s="294"/>
      <c r="WAE617" s="294"/>
      <c r="WAF617" s="294"/>
      <c r="WAG617" s="294"/>
      <c r="WAH617" s="294"/>
      <c r="WAI617" s="294"/>
      <c r="WAJ617" s="294"/>
      <c r="WAK617" s="294"/>
      <c r="WAL617" s="294"/>
      <c r="WAM617" s="294"/>
      <c r="WAN617" s="294"/>
      <c r="WAO617" s="294"/>
      <c r="WAP617" s="294"/>
      <c r="WAQ617" s="294"/>
      <c r="WAR617" s="294"/>
      <c r="WAS617" s="294"/>
      <c r="WAT617" s="294"/>
      <c r="WAU617" s="294"/>
      <c r="WAV617" s="294"/>
      <c r="WAW617" s="294"/>
      <c r="WAX617" s="294"/>
      <c r="WAY617" s="294"/>
      <c r="WAZ617" s="294"/>
      <c r="WBA617" s="294"/>
      <c r="WBB617" s="294"/>
      <c r="WBC617" s="294"/>
      <c r="WBD617" s="294"/>
      <c r="WBE617" s="294"/>
      <c r="WBF617" s="294"/>
      <c r="WBG617" s="294"/>
      <c r="WBH617" s="294"/>
      <c r="WBI617" s="294"/>
      <c r="WBJ617" s="294"/>
      <c r="WBK617" s="294"/>
      <c r="WBL617" s="294"/>
      <c r="WBM617" s="294"/>
      <c r="WBN617" s="294"/>
      <c r="WBO617" s="294"/>
      <c r="WBP617" s="294"/>
      <c r="WBQ617" s="294"/>
      <c r="WBR617" s="294"/>
      <c r="WBS617" s="294"/>
      <c r="WBT617" s="294"/>
      <c r="WBU617" s="294"/>
      <c r="WBV617" s="294"/>
      <c r="WBW617" s="294"/>
      <c r="WBX617" s="294"/>
      <c r="WBY617" s="294"/>
      <c r="WBZ617" s="294"/>
      <c r="WCA617" s="294"/>
      <c r="WCB617" s="294"/>
      <c r="WCC617" s="294"/>
      <c r="WCD617" s="294"/>
      <c r="WCE617" s="294"/>
      <c r="WCF617" s="294"/>
      <c r="WCG617" s="294"/>
      <c r="WCH617" s="294"/>
      <c r="WCI617" s="294"/>
      <c r="WCJ617" s="294"/>
      <c r="WCK617" s="294"/>
      <c r="WCL617" s="294"/>
      <c r="WCM617" s="294"/>
      <c r="WCN617" s="294"/>
      <c r="WCO617" s="294"/>
      <c r="WCP617" s="294"/>
      <c r="WCQ617" s="294"/>
      <c r="WCR617" s="294"/>
      <c r="WCS617" s="294"/>
      <c r="WCT617" s="294"/>
      <c r="WCU617" s="294"/>
      <c r="WCV617" s="294"/>
      <c r="WCW617" s="294"/>
      <c r="WCX617" s="294"/>
      <c r="WCY617" s="294"/>
      <c r="WCZ617" s="294"/>
      <c r="WDA617" s="294"/>
      <c r="WDB617" s="294"/>
      <c r="WDC617" s="294"/>
      <c r="WDD617" s="294"/>
      <c r="WDE617" s="294"/>
      <c r="WDF617" s="294"/>
      <c r="WDG617" s="294"/>
      <c r="WDH617" s="294"/>
      <c r="WDI617" s="294"/>
      <c r="WDJ617" s="294"/>
      <c r="WDK617" s="294"/>
      <c r="WDL617" s="294"/>
      <c r="WDM617" s="294"/>
      <c r="WDN617" s="294"/>
      <c r="WDO617" s="294"/>
      <c r="WDP617" s="294"/>
      <c r="WDQ617" s="294"/>
      <c r="WDR617" s="294"/>
      <c r="WDS617" s="294"/>
      <c r="WDT617" s="294"/>
      <c r="WDU617" s="294"/>
      <c r="WDV617" s="294"/>
      <c r="WDW617" s="294"/>
      <c r="WDX617" s="294"/>
      <c r="WDY617" s="294"/>
      <c r="WDZ617" s="294"/>
      <c r="WEA617" s="294"/>
      <c r="WEB617" s="294"/>
      <c r="WEC617" s="294"/>
      <c r="WED617" s="294"/>
      <c r="WEE617" s="294"/>
      <c r="WEF617" s="294"/>
      <c r="WEG617" s="294"/>
      <c r="WEH617" s="294"/>
      <c r="WEI617" s="294"/>
      <c r="WEJ617" s="294"/>
      <c r="WEK617" s="294"/>
      <c r="WEL617" s="294"/>
      <c r="WEM617" s="294"/>
      <c r="WEN617" s="294"/>
      <c r="WEO617" s="294"/>
      <c r="WEP617" s="294"/>
      <c r="WEQ617" s="294"/>
      <c r="WER617" s="294"/>
      <c r="WES617" s="294"/>
      <c r="WET617" s="294"/>
      <c r="WEU617" s="294"/>
      <c r="WEV617" s="294"/>
      <c r="WEW617" s="294"/>
      <c r="WEX617" s="294"/>
      <c r="WEY617" s="294"/>
      <c r="WEZ617" s="294"/>
      <c r="WFA617" s="294"/>
      <c r="WFB617" s="294"/>
      <c r="WFC617" s="294"/>
      <c r="WFD617" s="294"/>
      <c r="WFE617" s="294"/>
      <c r="WFF617" s="294"/>
      <c r="WFG617" s="294"/>
      <c r="WFH617" s="294"/>
      <c r="WFI617" s="294"/>
      <c r="WFJ617" s="294"/>
      <c r="WFK617" s="294"/>
      <c r="WFL617" s="294"/>
      <c r="WFM617" s="294"/>
      <c r="WFN617" s="294"/>
      <c r="WFO617" s="294"/>
      <c r="WFP617" s="294"/>
      <c r="WFQ617" s="294"/>
      <c r="WFR617" s="294"/>
      <c r="WFS617" s="294"/>
      <c r="WFT617" s="294"/>
      <c r="WFU617" s="294"/>
      <c r="WFV617" s="294"/>
      <c r="WFW617" s="294"/>
      <c r="WFX617" s="294"/>
      <c r="WFY617" s="294"/>
      <c r="WFZ617" s="294"/>
      <c r="WGA617" s="294"/>
      <c r="WGB617" s="294"/>
      <c r="WGC617" s="294"/>
      <c r="WGD617" s="294"/>
      <c r="WGE617" s="294"/>
      <c r="WGF617" s="294"/>
      <c r="WGG617" s="294"/>
      <c r="WGH617" s="294"/>
      <c r="WGI617" s="294"/>
      <c r="WGJ617" s="294"/>
      <c r="WGK617" s="294"/>
      <c r="WGL617" s="294"/>
      <c r="WGM617" s="294"/>
      <c r="WGN617" s="294"/>
      <c r="WGO617" s="294"/>
      <c r="WGP617" s="294"/>
      <c r="WGQ617" s="294"/>
      <c r="WGR617" s="294"/>
      <c r="WGS617" s="294"/>
      <c r="WGT617" s="294"/>
      <c r="WGU617" s="294"/>
      <c r="WGV617" s="294"/>
      <c r="WGW617" s="294"/>
      <c r="WGX617" s="294"/>
      <c r="WGY617" s="294"/>
      <c r="WGZ617" s="294"/>
      <c r="WHA617" s="294"/>
      <c r="WHB617" s="294"/>
      <c r="WHC617" s="294"/>
      <c r="WHD617" s="294"/>
      <c r="WHE617" s="294"/>
      <c r="WHF617" s="294"/>
      <c r="WHG617" s="294"/>
      <c r="WHH617" s="294"/>
      <c r="WHI617" s="294"/>
      <c r="WHJ617" s="294"/>
      <c r="WHK617" s="294"/>
      <c r="WHL617" s="294"/>
      <c r="WHM617" s="294"/>
      <c r="WHN617" s="294"/>
      <c r="WHO617" s="294"/>
      <c r="WHP617" s="294"/>
      <c r="WHQ617" s="294"/>
      <c r="WHR617" s="294"/>
      <c r="WHS617" s="294"/>
      <c r="WHT617" s="294"/>
      <c r="WHU617" s="294"/>
      <c r="WHV617" s="294"/>
      <c r="WHW617" s="294"/>
      <c r="WHX617" s="294"/>
      <c r="WHY617" s="294"/>
      <c r="WHZ617" s="294"/>
      <c r="WIA617" s="294"/>
      <c r="WIB617" s="294"/>
      <c r="WIC617" s="294"/>
      <c r="WID617" s="294"/>
      <c r="WIE617" s="294"/>
      <c r="WIF617" s="294"/>
      <c r="WIG617" s="294"/>
      <c r="WIH617" s="294"/>
      <c r="WII617" s="294"/>
      <c r="WIJ617" s="294"/>
      <c r="WIK617" s="294"/>
      <c r="WIL617" s="294"/>
      <c r="WIM617" s="294"/>
      <c r="WIN617" s="294"/>
      <c r="WIO617" s="294"/>
      <c r="WIP617" s="294"/>
      <c r="WIQ617" s="294"/>
      <c r="WIR617" s="294"/>
      <c r="WIS617" s="294"/>
      <c r="WIT617" s="294"/>
      <c r="WIU617" s="294"/>
      <c r="WIV617" s="294"/>
      <c r="WIW617" s="294"/>
      <c r="WIX617" s="294"/>
      <c r="WIY617" s="294"/>
      <c r="WIZ617" s="294"/>
      <c r="WJA617" s="294"/>
      <c r="WJB617" s="294"/>
      <c r="WJC617" s="294"/>
      <c r="WJD617" s="294"/>
      <c r="WJE617" s="294"/>
      <c r="WJF617" s="294"/>
      <c r="WJG617" s="294"/>
      <c r="WJH617" s="294"/>
      <c r="WJI617" s="294"/>
      <c r="WJJ617" s="294"/>
      <c r="WJK617" s="294"/>
      <c r="WJL617" s="294"/>
      <c r="WJM617" s="294"/>
      <c r="WJN617" s="294"/>
      <c r="WJO617" s="294"/>
      <c r="WJP617" s="294"/>
      <c r="WJQ617" s="294"/>
      <c r="WJR617" s="294"/>
      <c r="WJS617" s="294"/>
      <c r="WJT617" s="294"/>
      <c r="WJU617" s="294"/>
      <c r="WJV617" s="294"/>
      <c r="WJW617" s="294"/>
      <c r="WJX617" s="294"/>
      <c r="WJY617" s="294"/>
      <c r="WJZ617" s="294"/>
      <c r="WKA617" s="294"/>
      <c r="WKB617" s="294"/>
      <c r="WKC617" s="294"/>
      <c r="WKD617" s="294"/>
      <c r="WKE617" s="294"/>
      <c r="WKF617" s="294"/>
      <c r="WKG617" s="294"/>
      <c r="WKH617" s="294"/>
      <c r="WKI617" s="294"/>
      <c r="WKJ617" s="294"/>
      <c r="WKK617" s="294"/>
      <c r="WKL617" s="294"/>
      <c r="WKM617" s="294"/>
      <c r="WKN617" s="294"/>
      <c r="WKO617" s="294"/>
      <c r="WKP617" s="294"/>
      <c r="WKQ617" s="294"/>
      <c r="WKR617" s="294"/>
      <c r="WKS617" s="294"/>
      <c r="WKT617" s="294"/>
      <c r="WKU617" s="294"/>
      <c r="WKV617" s="294"/>
      <c r="WKW617" s="294"/>
      <c r="WKX617" s="294"/>
      <c r="WKY617" s="294"/>
      <c r="WKZ617" s="294"/>
      <c r="WLA617" s="294"/>
      <c r="WLB617" s="294"/>
      <c r="WLC617" s="294"/>
      <c r="WLD617" s="294"/>
      <c r="WLE617" s="294"/>
      <c r="WLF617" s="294"/>
      <c r="WLG617" s="294"/>
      <c r="WLH617" s="294"/>
      <c r="WLI617" s="294"/>
      <c r="WLJ617" s="294"/>
      <c r="WLK617" s="294"/>
      <c r="WLL617" s="294"/>
      <c r="WLM617" s="294"/>
      <c r="WLN617" s="294"/>
      <c r="WLO617" s="294"/>
      <c r="WLP617" s="294"/>
      <c r="WLQ617" s="294"/>
      <c r="WLR617" s="294"/>
      <c r="WLS617" s="294"/>
      <c r="WLT617" s="294"/>
      <c r="WLU617" s="294"/>
      <c r="WLV617" s="294"/>
      <c r="WLW617" s="294"/>
      <c r="WLX617" s="294"/>
      <c r="WLY617" s="294"/>
      <c r="WLZ617" s="294"/>
      <c r="WMA617" s="294"/>
      <c r="WMB617" s="294"/>
      <c r="WMC617" s="294"/>
      <c r="WMD617" s="294"/>
      <c r="WME617" s="294"/>
      <c r="WMF617" s="294"/>
      <c r="WMG617" s="294"/>
      <c r="WMH617" s="294"/>
      <c r="WMI617" s="294"/>
      <c r="WMJ617" s="294"/>
      <c r="WMK617" s="294"/>
      <c r="WML617" s="294"/>
      <c r="WMM617" s="294"/>
      <c r="WMN617" s="294"/>
      <c r="WMO617" s="294"/>
      <c r="WMP617" s="294"/>
      <c r="WMQ617" s="294"/>
      <c r="WMR617" s="294"/>
      <c r="WMS617" s="294"/>
      <c r="WMT617" s="294"/>
      <c r="WMU617" s="294"/>
      <c r="WMV617" s="294"/>
      <c r="WMW617" s="294"/>
      <c r="WMX617" s="294"/>
      <c r="WMY617" s="294"/>
      <c r="WMZ617" s="294"/>
      <c r="WNA617" s="294"/>
      <c r="WNB617" s="294"/>
      <c r="WNC617" s="294"/>
      <c r="WND617" s="294"/>
      <c r="WNE617" s="294"/>
      <c r="WNF617" s="294"/>
      <c r="WNG617" s="294"/>
      <c r="WNH617" s="294"/>
      <c r="WNI617" s="294"/>
      <c r="WNJ617" s="294"/>
      <c r="WNK617" s="294"/>
      <c r="WNL617" s="294"/>
      <c r="WNM617" s="294"/>
      <c r="WNN617" s="294"/>
      <c r="WNO617" s="294"/>
      <c r="WNP617" s="294"/>
      <c r="WNQ617" s="294"/>
      <c r="WNR617" s="294"/>
      <c r="WNS617" s="294"/>
      <c r="WNT617" s="294"/>
      <c r="WNU617" s="294"/>
      <c r="WNV617" s="294"/>
      <c r="WNW617" s="294"/>
      <c r="WNX617" s="294"/>
      <c r="WNY617" s="294"/>
      <c r="WNZ617" s="294"/>
      <c r="WOA617" s="294"/>
      <c r="WOB617" s="294"/>
      <c r="WOC617" s="294"/>
      <c r="WOD617" s="294"/>
      <c r="WOE617" s="294"/>
      <c r="WOF617" s="294"/>
      <c r="WOG617" s="294"/>
      <c r="WOH617" s="294"/>
      <c r="WOI617" s="294"/>
      <c r="WOJ617" s="294"/>
      <c r="WOK617" s="294"/>
      <c r="WOL617" s="294"/>
      <c r="WOM617" s="294"/>
      <c r="WON617" s="294"/>
      <c r="WOO617" s="294"/>
      <c r="WOP617" s="294"/>
      <c r="WOQ617" s="294"/>
      <c r="WOR617" s="294"/>
      <c r="WOS617" s="294"/>
      <c r="WOT617" s="294"/>
      <c r="WOU617" s="294"/>
      <c r="WOV617" s="294"/>
      <c r="WOW617" s="294"/>
      <c r="WOX617" s="294"/>
      <c r="WOY617" s="294"/>
      <c r="WOZ617" s="294"/>
      <c r="WPA617" s="294"/>
      <c r="WPB617" s="294"/>
      <c r="WPC617" s="294"/>
      <c r="WPD617" s="294"/>
      <c r="WPE617" s="294"/>
      <c r="WPF617" s="294"/>
      <c r="WPG617" s="294"/>
      <c r="WPH617" s="294"/>
      <c r="WPI617" s="294"/>
      <c r="WPJ617" s="294"/>
      <c r="WPK617" s="294"/>
      <c r="WPL617" s="294"/>
      <c r="WPM617" s="294"/>
      <c r="WPN617" s="294"/>
      <c r="WPO617" s="294"/>
      <c r="WPP617" s="294"/>
      <c r="WPQ617" s="294"/>
      <c r="WPR617" s="294"/>
      <c r="WPS617" s="294"/>
      <c r="WPT617" s="294"/>
      <c r="WPU617" s="294"/>
      <c r="WPV617" s="294"/>
      <c r="WPW617" s="294"/>
      <c r="WPX617" s="294"/>
      <c r="WPY617" s="294"/>
      <c r="WPZ617" s="294"/>
      <c r="WQA617" s="294"/>
      <c r="WQB617" s="294"/>
      <c r="WQC617" s="294"/>
      <c r="WQD617" s="294"/>
      <c r="WQE617" s="294"/>
      <c r="WQF617" s="294"/>
      <c r="WQG617" s="294"/>
      <c r="WQH617" s="294"/>
      <c r="WQI617" s="294"/>
      <c r="WQJ617" s="294"/>
      <c r="WQK617" s="294"/>
      <c r="WQL617" s="294"/>
      <c r="WQM617" s="294"/>
      <c r="WQN617" s="294"/>
      <c r="WQO617" s="294"/>
      <c r="WQP617" s="294"/>
      <c r="WQQ617" s="294"/>
      <c r="WQR617" s="294"/>
      <c r="WQS617" s="294"/>
      <c r="WQT617" s="294"/>
      <c r="WQU617" s="294"/>
      <c r="WQV617" s="294"/>
      <c r="WQW617" s="294"/>
      <c r="WQX617" s="294"/>
      <c r="WQY617" s="294"/>
      <c r="WQZ617" s="294"/>
      <c r="WRA617" s="294"/>
      <c r="WRB617" s="294"/>
      <c r="WRC617" s="294"/>
      <c r="WRD617" s="294"/>
      <c r="WRE617" s="294"/>
      <c r="WRF617" s="294"/>
      <c r="WRG617" s="294"/>
      <c r="WRH617" s="294"/>
      <c r="WRI617" s="294"/>
      <c r="WRJ617" s="294"/>
      <c r="WRK617" s="294"/>
      <c r="WRL617" s="294"/>
      <c r="WRM617" s="294"/>
      <c r="WRN617" s="294"/>
      <c r="WRO617" s="294"/>
      <c r="WRP617" s="294"/>
      <c r="WRQ617" s="294"/>
      <c r="WRR617" s="294"/>
      <c r="WRS617" s="294"/>
      <c r="WRT617" s="294"/>
      <c r="WRU617" s="294"/>
      <c r="WRV617" s="294"/>
      <c r="WRW617" s="294"/>
      <c r="WRX617" s="294"/>
      <c r="WRY617" s="294"/>
      <c r="WRZ617" s="294"/>
      <c r="WSA617" s="294"/>
      <c r="WSB617" s="294"/>
      <c r="WSC617" s="294"/>
      <c r="WSD617" s="294"/>
      <c r="WSE617" s="294"/>
      <c r="WSF617" s="294"/>
      <c r="WSG617" s="294"/>
      <c r="WSH617" s="294"/>
      <c r="WSI617" s="294"/>
      <c r="WSJ617" s="294"/>
      <c r="WSK617" s="294"/>
      <c r="WSL617" s="294"/>
      <c r="WSM617" s="294"/>
      <c r="WSN617" s="294"/>
      <c r="WSO617" s="294"/>
      <c r="WSP617" s="294"/>
      <c r="WSQ617" s="294"/>
      <c r="WSR617" s="294"/>
      <c r="WSS617" s="294"/>
      <c r="WST617" s="294"/>
      <c r="WSU617" s="294"/>
      <c r="WSV617" s="294"/>
      <c r="WSW617" s="294"/>
      <c r="WSX617" s="294"/>
      <c r="WSY617" s="294"/>
      <c r="WSZ617" s="294"/>
      <c r="WTA617" s="294"/>
      <c r="WTB617" s="294"/>
      <c r="WTC617" s="294"/>
      <c r="WTD617" s="294"/>
      <c r="WTE617" s="294"/>
      <c r="WTF617" s="294"/>
      <c r="WTG617" s="294"/>
      <c r="WTH617" s="294"/>
      <c r="WTI617" s="294"/>
      <c r="WTJ617" s="294"/>
      <c r="WTK617" s="294"/>
      <c r="WTL617" s="294"/>
      <c r="WTM617" s="294"/>
      <c r="WTN617" s="294"/>
      <c r="WTO617" s="294"/>
      <c r="WTP617" s="294"/>
      <c r="WTQ617" s="294"/>
      <c r="WTR617" s="294"/>
      <c r="WTS617" s="294"/>
      <c r="WTT617" s="294"/>
      <c r="WTU617" s="294"/>
      <c r="WTV617" s="294"/>
      <c r="WTW617" s="294"/>
      <c r="WTX617" s="294"/>
      <c r="WTY617" s="294"/>
      <c r="WTZ617" s="294"/>
      <c r="WUA617" s="294"/>
      <c r="WUB617" s="294"/>
      <c r="WUC617" s="294"/>
      <c r="WUD617" s="294"/>
      <c r="WUE617" s="294"/>
      <c r="WUF617" s="294"/>
      <c r="WUG617" s="294"/>
      <c r="WUH617" s="294"/>
      <c r="WUI617" s="294"/>
      <c r="WUJ617" s="294"/>
      <c r="WUK617" s="294"/>
      <c r="WUL617" s="294"/>
      <c r="WUM617" s="294"/>
      <c r="WUN617" s="294"/>
      <c r="WUO617" s="294"/>
      <c r="WUP617" s="294"/>
      <c r="WUQ617" s="294"/>
      <c r="WUR617" s="294"/>
      <c r="WUS617" s="294"/>
      <c r="WUT617" s="294"/>
      <c r="WUU617" s="294"/>
      <c r="WUV617" s="294"/>
      <c r="WUW617" s="294"/>
      <c r="WUX617" s="294"/>
      <c r="WUY617" s="294"/>
      <c r="WUZ617" s="294"/>
      <c r="WVA617" s="294"/>
      <c r="WVB617" s="294"/>
      <c r="WVC617" s="294"/>
      <c r="WVD617" s="294"/>
      <c r="WVE617" s="294"/>
      <c r="WVF617" s="294"/>
      <c r="WVG617" s="294"/>
      <c r="WVH617" s="294"/>
      <c r="WVI617" s="294"/>
      <c r="WVJ617" s="294"/>
      <c r="WVK617" s="294"/>
      <c r="WVL617" s="294"/>
      <c r="WVM617" s="294"/>
      <c r="WVN617" s="294"/>
      <c r="WVO617" s="294"/>
      <c r="WVP617" s="294"/>
      <c r="WVQ617" s="294"/>
      <c r="WVR617" s="294"/>
      <c r="WVS617" s="294"/>
      <c r="WVT617" s="294"/>
      <c r="WVU617" s="294"/>
      <c r="WVV617" s="294"/>
      <c r="WVW617" s="294"/>
      <c r="WVX617" s="294"/>
      <c r="WVY617" s="294"/>
      <c r="WVZ617" s="294"/>
      <c r="WWA617" s="294"/>
      <c r="WWB617" s="294"/>
      <c r="WWC617" s="294"/>
      <c r="WWD617" s="294"/>
      <c r="WWE617" s="294"/>
      <c r="WWF617" s="294"/>
      <c r="WWG617" s="294"/>
      <c r="WWH617" s="294"/>
      <c r="WWI617" s="294"/>
      <c r="WWJ617" s="294"/>
      <c r="WWK617" s="294"/>
      <c r="WWL617" s="294"/>
      <c r="WWM617" s="294"/>
      <c r="WWN617" s="294"/>
      <c r="WWO617" s="294"/>
      <c r="WWP617" s="294"/>
      <c r="WWQ617" s="294"/>
      <c r="WWR617" s="294"/>
      <c r="WWS617" s="294"/>
      <c r="WWT617" s="294"/>
      <c r="WWU617" s="294"/>
      <c r="WWV617" s="294"/>
      <c r="WWW617" s="294"/>
      <c r="WWX617" s="294"/>
      <c r="WWY617" s="294"/>
      <c r="WWZ617" s="294"/>
      <c r="WXA617" s="294"/>
      <c r="WXB617" s="294"/>
      <c r="WXC617" s="294"/>
      <c r="WXD617" s="294"/>
      <c r="WXE617" s="294"/>
      <c r="WXF617" s="294"/>
      <c r="WXG617" s="294"/>
      <c r="WXH617" s="294"/>
      <c r="WXI617" s="294"/>
      <c r="WXJ617" s="294"/>
      <c r="WXK617" s="294"/>
      <c r="WXL617" s="294"/>
      <c r="WXM617" s="294"/>
      <c r="WXN617" s="294"/>
      <c r="WXO617" s="294"/>
      <c r="WXP617" s="294"/>
      <c r="WXQ617" s="294"/>
      <c r="WXR617" s="294"/>
      <c r="WXS617" s="294"/>
      <c r="WXT617" s="294"/>
      <c r="WXU617" s="294"/>
      <c r="WXV617" s="294"/>
      <c r="WXW617" s="294"/>
      <c r="WXX617" s="294"/>
      <c r="WXY617" s="294"/>
      <c r="WXZ617" s="294"/>
      <c r="WYA617" s="294"/>
      <c r="WYB617" s="294"/>
      <c r="WYC617" s="294"/>
      <c r="WYD617" s="294"/>
      <c r="WYE617" s="294"/>
      <c r="WYF617" s="294"/>
      <c r="WYG617" s="294"/>
      <c r="WYH617" s="294"/>
      <c r="WYI617" s="294"/>
      <c r="WYJ617" s="294"/>
      <c r="WYK617" s="294"/>
      <c r="WYL617" s="294"/>
      <c r="WYM617" s="294"/>
      <c r="WYN617" s="294"/>
      <c r="WYO617" s="294"/>
      <c r="WYP617" s="294"/>
      <c r="WYQ617" s="294"/>
      <c r="WYR617" s="294"/>
      <c r="WYS617" s="294"/>
      <c r="WYT617" s="294"/>
      <c r="WYU617" s="294"/>
      <c r="WYV617" s="294"/>
      <c r="WYW617" s="294"/>
      <c r="WYX617" s="294"/>
      <c r="WYY617" s="294"/>
      <c r="WYZ617" s="294"/>
      <c r="WZA617" s="294"/>
      <c r="WZB617" s="294"/>
      <c r="WZC617" s="294"/>
      <c r="WZD617" s="294"/>
      <c r="WZE617" s="294"/>
      <c r="WZF617" s="294"/>
      <c r="WZG617" s="294"/>
      <c r="WZH617" s="294"/>
      <c r="WZI617" s="294"/>
      <c r="WZJ617" s="294"/>
      <c r="WZK617" s="294"/>
      <c r="WZL617" s="294"/>
      <c r="WZM617" s="294"/>
      <c r="WZN617" s="294"/>
      <c r="WZO617" s="294"/>
      <c r="WZP617" s="294"/>
      <c r="WZQ617" s="294"/>
      <c r="WZR617" s="294"/>
      <c r="WZS617" s="294"/>
      <c r="WZT617" s="294"/>
      <c r="WZU617" s="294"/>
      <c r="WZV617" s="294"/>
      <c r="WZW617" s="294"/>
      <c r="WZX617" s="294"/>
      <c r="WZY617" s="294"/>
      <c r="WZZ617" s="294"/>
      <c r="XAA617" s="294"/>
      <c r="XAB617" s="294"/>
      <c r="XAC617" s="294"/>
      <c r="XAD617" s="294"/>
      <c r="XAE617" s="294"/>
      <c r="XAF617" s="294"/>
      <c r="XAG617" s="294"/>
      <c r="XAH617" s="294"/>
      <c r="XAI617" s="294"/>
      <c r="XAJ617" s="294"/>
      <c r="XAK617" s="294"/>
      <c r="XAL617" s="294"/>
      <c r="XAM617" s="294"/>
      <c r="XAN617" s="294"/>
      <c r="XAO617" s="294"/>
      <c r="XAP617" s="294"/>
      <c r="XAQ617" s="294"/>
      <c r="XAR617" s="294"/>
      <c r="XAS617" s="294"/>
      <c r="XAT617" s="294"/>
      <c r="XAU617" s="294"/>
      <c r="XAV617" s="294"/>
      <c r="XAW617" s="294"/>
      <c r="XAX617" s="294"/>
      <c r="XAY617" s="294"/>
      <c r="XAZ617" s="294"/>
      <c r="XBA617" s="294"/>
      <c r="XBB617" s="294"/>
      <c r="XBC617" s="294"/>
      <c r="XBD617" s="294"/>
      <c r="XBE617" s="294"/>
      <c r="XBF617" s="294"/>
      <c r="XBG617" s="294"/>
      <c r="XBH617" s="294"/>
      <c r="XBI617" s="294"/>
      <c r="XBJ617" s="294"/>
      <c r="XBK617" s="294"/>
      <c r="XBL617" s="294"/>
      <c r="XBM617" s="294"/>
      <c r="XBN617" s="294"/>
      <c r="XBO617" s="294"/>
      <c r="XBP617" s="294"/>
      <c r="XBQ617" s="294"/>
      <c r="XBR617" s="294"/>
      <c r="XBS617" s="294"/>
      <c r="XBT617" s="294"/>
      <c r="XBU617" s="294"/>
      <c r="XBV617" s="294"/>
      <c r="XBW617" s="294"/>
      <c r="XBX617" s="294"/>
      <c r="XBY617" s="294"/>
      <c r="XBZ617" s="294"/>
      <c r="XCA617" s="294"/>
      <c r="XCB617" s="294"/>
      <c r="XCC617" s="294"/>
      <c r="XCD617" s="294"/>
      <c r="XCE617" s="294"/>
      <c r="XCF617" s="294"/>
      <c r="XCG617" s="294"/>
      <c r="XCH617" s="294"/>
      <c r="XCI617" s="294"/>
      <c r="XCJ617" s="294"/>
      <c r="XCK617" s="294"/>
      <c r="XCL617" s="294"/>
      <c r="XCM617" s="294"/>
      <c r="XCN617" s="294"/>
      <c r="XCO617" s="294"/>
      <c r="XCP617" s="294"/>
      <c r="XCQ617" s="294"/>
      <c r="XCR617" s="294"/>
      <c r="XCS617" s="294"/>
      <c r="XCT617" s="294"/>
      <c r="XCU617" s="294"/>
      <c r="XCV617" s="294"/>
      <c r="XCW617" s="294"/>
      <c r="XCX617" s="294"/>
      <c r="XCY617" s="294"/>
      <c r="XCZ617" s="294"/>
      <c r="XDA617" s="294"/>
      <c r="XDB617" s="294"/>
      <c r="XDC617" s="294"/>
      <c r="XDD617" s="294"/>
      <c r="XDE617" s="294"/>
      <c r="XDF617" s="294"/>
      <c r="XDG617" s="294"/>
      <c r="XDH617" s="294"/>
      <c r="XDI617" s="294"/>
      <c r="XDJ617" s="294"/>
      <c r="XDK617" s="294"/>
      <c r="XDL617" s="294"/>
      <c r="XDM617" s="294"/>
      <c r="XDN617" s="294"/>
      <c r="XDO617" s="294"/>
      <c r="XDP617" s="294"/>
      <c r="XDQ617" s="294"/>
      <c r="XDR617" s="294"/>
      <c r="XDS617" s="294"/>
      <c r="XDT617" s="294"/>
      <c r="XDU617" s="294"/>
      <c r="XDV617" s="294"/>
      <c r="XDW617" s="294"/>
      <c r="XDX617" s="294"/>
      <c r="XDY617" s="294"/>
      <c r="XDZ617" s="294"/>
      <c r="XEA617" s="294"/>
      <c r="XEB617" s="294"/>
      <c r="XEC617" s="294"/>
      <c r="XED617" s="294"/>
      <c r="XEE617" s="294"/>
      <c r="XEF617" s="294"/>
      <c r="XEG617" s="294"/>
      <c r="XEH617" s="294"/>
      <c r="XEI617" s="294"/>
      <c r="XEJ617" s="294"/>
      <c r="XEK617" s="294"/>
      <c r="XEL617" s="294"/>
      <c r="XEM617" s="294"/>
      <c r="XEN617" s="294"/>
      <c r="XEO617" s="294"/>
      <c r="XEP617" s="294"/>
      <c r="XEQ617" s="294"/>
      <c r="XER617" s="294"/>
      <c r="XES617" s="294"/>
      <c r="XET617" s="294"/>
      <c r="XEU617" s="294"/>
      <c r="XEV617" s="294"/>
      <c r="XEW617" s="294"/>
      <c r="XEX617" s="294"/>
      <c r="XEY617" s="294"/>
      <c r="XEZ617" s="294"/>
      <c r="XFA617" s="294"/>
      <c r="XFB617" s="294"/>
      <c r="XFC617" s="294"/>
      <c r="XFD617" s="294"/>
    </row>
    <row r="618" spans="1:16384" s="303" customFormat="1" ht="58">
      <c r="A618" s="140" t="s">
        <v>6</v>
      </c>
      <c r="B618" s="129">
        <v>616</v>
      </c>
      <c r="C618" s="297" t="s">
        <v>529</v>
      </c>
      <c r="D618" s="297" t="s">
        <v>3149</v>
      </c>
      <c r="E618" s="212" t="s">
        <v>1953</v>
      </c>
      <c r="F618" s="164" t="s">
        <v>1954</v>
      </c>
      <c r="G618" s="169" t="s">
        <v>665</v>
      </c>
      <c r="H618" s="297" t="s">
        <v>1778</v>
      </c>
      <c r="I618" s="242" t="s">
        <v>575</v>
      </c>
      <c r="J618" s="297" t="s">
        <v>815</v>
      </c>
      <c r="K618" s="297" t="s">
        <v>192</v>
      </c>
      <c r="L618" s="169" t="s">
        <v>665</v>
      </c>
      <c r="M618" s="169" t="s">
        <v>665</v>
      </c>
      <c r="N618" s="297">
        <v>50</v>
      </c>
      <c r="O618" s="141" t="s">
        <v>1779</v>
      </c>
      <c r="P618" s="172" t="s">
        <v>665</v>
      </c>
      <c r="Q618" s="173">
        <v>8</v>
      </c>
      <c r="R618" s="141">
        <v>15</v>
      </c>
      <c r="S618" s="141">
        <v>14</v>
      </c>
      <c r="T618" s="141">
        <v>2</v>
      </c>
      <c r="U618" s="141" t="s">
        <v>240</v>
      </c>
      <c r="V618" s="141" t="s">
        <v>671</v>
      </c>
      <c r="W618" s="141">
        <v>1100</v>
      </c>
      <c r="X618" s="169" t="s">
        <v>665</v>
      </c>
      <c r="Y618" s="141" t="s">
        <v>339</v>
      </c>
      <c r="Z618" s="169" t="s">
        <v>665</v>
      </c>
      <c r="AA618" s="297">
        <v>1</v>
      </c>
      <c r="AB618" s="169" t="s">
        <v>665</v>
      </c>
      <c r="AC618" s="169" t="s">
        <v>665</v>
      </c>
      <c r="AD618" s="169" t="s">
        <v>665</v>
      </c>
      <c r="AE618" s="169" t="s">
        <v>665</v>
      </c>
      <c r="AF618" s="297">
        <v>0</v>
      </c>
      <c r="AG618" s="297">
        <v>0</v>
      </c>
      <c r="AH618" s="141">
        <v>3</v>
      </c>
      <c r="AI618" s="297" t="s">
        <v>665</v>
      </c>
      <c r="AJ618" s="212" t="s">
        <v>1825</v>
      </c>
      <c r="AK618" s="160" t="s">
        <v>665</v>
      </c>
      <c r="AL618" s="212" t="s">
        <v>1955</v>
      </c>
      <c r="AM618" s="298"/>
      <c r="AN618" s="299"/>
      <c r="AO618" s="299"/>
      <c r="AP618" s="299"/>
      <c r="AQ618" s="299"/>
      <c r="AR618" s="299"/>
      <c r="AS618" s="299"/>
      <c r="AT618" s="299"/>
      <c r="AU618" s="299"/>
      <c r="AV618" s="299" t="s">
        <v>1956</v>
      </c>
      <c r="AW618" s="300"/>
      <c r="AX618" s="301"/>
      <c r="AY618" s="302"/>
      <c r="AZ618" s="302"/>
      <c r="BA618" s="302"/>
      <c r="BB618" s="302"/>
      <c r="BC618" s="302"/>
      <c r="BD618" s="302"/>
      <c r="BE618" s="302"/>
      <c r="BF618" s="302"/>
      <c r="BG618" s="302"/>
      <c r="BH618" s="302"/>
      <c r="BI618" s="302"/>
    </row>
    <row r="619" spans="1:16384" s="507" customFormat="1" ht="30">
      <c r="A619" s="451" t="s">
        <v>6</v>
      </c>
      <c r="B619" s="452">
        <v>617</v>
      </c>
      <c r="C619" s="500" t="s">
        <v>529</v>
      </c>
      <c r="D619" s="500" t="s">
        <v>3148</v>
      </c>
      <c r="E619" s="453" t="s">
        <v>1776</v>
      </c>
      <c r="F619" s="450" t="s">
        <v>1777</v>
      </c>
      <c r="G619" s="453" t="s">
        <v>665</v>
      </c>
      <c r="H619" s="500" t="s">
        <v>1778</v>
      </c>
      <c r="I619" s="476" t="s">
        <v>575</v>
      </c>
      <c r="J619" s="500" t="s">
        <v>815</v>
      </c>
      <c r="K619" s="500" t="s">
        <v>192</v>
      </c>
      <c r="L619" s="453" t="s">
        <v>665</v>
      </c>
      <c r="M619" s="453" t="s">
        <v>665</v>
      </c>
      <c r="N619" s="500">
        <v>50</v>
      </c>
      <c r="O619" s="450" t="s">
        <v>1779</v>
      </c>
      <c r="P619" s="454" t="s">
        <v>665</v>
      </c>
      <c r="Q619" s="501">
        <v>8</v>
      </c>
      <c r="R619" s="450">
        <v>23</v>
      </c>
      <c r="S619" s="450">
        <v>32</v>
      </c>
      <c r="T619" s="450">
        <v>24</v>
      </c>
      <c r="U619" s="450" t="s">
        <v>240</v>
      </c>
      <c r="V619" s="450" t="s">
        <v>671</v>
      </c>
      <c r="W619" s="450">
        <v>1100</v>
      </c>
      <c r="X619" s="453" t="s">
        <v>665</v>
      </c>
      <c r="Y619" s="450" t="s">
        <v>339</v>
      </c>
      <c r="Z619" s="453" t="s">
        <v>2709</v>
      </c>
      <c r="AA619" s="500">
        <v>0.1</v>
      </c>
      <c r="AB619" s="453" t="s">
        <v>665</v>
      </c>
      <c r="AC619" s="453" t="s">
        <v>665</v>
      </c>
      <c r="AD619" s="453" t="s">
        <v>665</v>
      </c>
      <c r="AE619" s="453" t="s">
        <v>665</v>
      </c>
      <c r="AF619" s="500">
        <v>0</v>
      </c>
      <c r="AG619" s="500">
        <v>0</v>
      </c>
      <c r="AH619" s="450">
        <v>999999.9</v>
      </c>
      <c r="AI619" s="500" t="s">
        <v>1780</v>
      </c>
      <c r="AJ619" s="317" t="s">
        <v>2710</v>
      </c>
      <c r="AK619" s="467" t="s">
        <v>665</v>
      </c>
      <c r="AL619" s="317" t="s">
        <v>1957</v>
      </c>
      <c r="AM619" s="502"/>
      <c r="AN619" s="503" t="s">
        <v>2391</v>
      </c>
      <c r="AO619" s="503"/>
      <c r="AP619" s="503"/>
      <c r="AQ619" s="503"/>
      <c r="AR619" s="503"/>
      <c r="AS619" s="503"/>
      <c r="AT619" s="503"/>
      <c r="AU619" s="503"/>
      <c r="AV619" s="503" t="s">
        <v>1956</v>
      </c>
      <c r="AW619" s="504"/>
      <c r="AX619" s="505"/>
      <c r="AY619" s="506"/>
      <c r="AZ619" s="506"/>
      <c r="BA619" s="506"/>
      <c r="BB619" s="506"/>
      <c r="BC619" s="506"/>
      <c r="BD619" s="506"/>
      <c r="BE619" s="506"/>
      <c r="BF619" s="506"/>
      <c r="BG619" s="506"/>
      <c r="BH619" s="506"/>
      <c r="BI619" s="506"/>
    </row>
    <row r="620" spans="1:16384" s="139" customFormat="1" ht="58">
      <c r="A620" s="140" t="s">
        <v>6</v>
      </c>
      <c r="B620" s="129">
        <v>618</v>
      </c>
      <c r="C620" s="141" t="s">
        <v>1121</v>
      </c>
      <c r="D620" s="141" t="s">
        <v>3149</v>
      </c>
      <c r="E620" s="212" t="s">
        <v>1958</v>
      </c>
      <c r="F620" s="141" t="s">
        <v>1783</v>
      </c>
      <c r="G620" s="141" t="s">
        <v>804</v>
      </c>
      <c r="H620" s="141" t="s">
        <v>1781</v>
      </c>
      <c r="I620" s="141" t="s">
        <v>575</v>
      </c>
      <c r="J620" s="141" t="s">
        <v>843</v>
      </c>
      <c r="K620" s="141" t="s">
        <v>192</v>
      </c>
      <c r="L620" s="141" t="s">
        <v>804</v>
      </c>
      <c r="M620" s="141" t="s">
        <v>804</v>
      </c>
      <c r="N620" s="141">
        <v>50</v>
      </c>
      <c r="O620" s="141" t="s">
        <v>1782</v>
      </c>
      <c r="P620" s="129" t="s">
        <v>804</v>
      </c>
      <c r="Q620" s="173">
        <v>8</v>
      </c>
      <c r="R620" s="141">
        <v>55</v>
      </c>
      <c r="S620" s="141">
        <v>54</v>
      </c>
      <c r="T620" s="141">
        <v>2</v>
      </c>
      <c r="U620" s="141" t="s">
        <v>240</v>
      </c>
      <c r="V620" s="141" t="s">
        <v>803</v>
      </c>
      <c r="W620" s="141">
        <v>1100</v>
      </c>
      <c r="X620" s="141" t="s">
        <v>804</v>
      </c>
      <c r="Y620" s="141" t="s">
        <v>339</v>
      </c>
      <c r="Z620" s="141" t="s">
        <v>804</v>
      </c>
      <c r="AA620" s="141">
        <v>1</v>
      </c>
      <c r="AB620" s="141" t="s">
        <v>804</v>
      </c>
      <c r="AC620" s="141" t="s">
        <v>804</v>
      </c>
      <c r="AD620" s="141" t="s">
        <v>804</v>
      </c>
      <c r="AE620" s="141" t="s">
        <v>804</v>
      </c>
      <c r="AF620" s="141">
        <v>0</v>
      </c>
      <c r="AG620" s="141">
        <v>0</v>
      </c>
      <c r="AH620" s="141">
        <v>3</v>
      </c>
      <c r="AI620" s="141" t="s">
        <v>804</v>
      </c>
      <c r="AJ620" s="212" t="s">
        <v>1825</v>
      </c>
      <c r="AK620" s="143" t="s">
        <v>804</v>
      </c>
      <c r="AL620" s="141" t="s">
        <v>804</v>
      </c>
      <c r="AM620" s="304"/>
      <c r="AN620" s="143"/>
      <c r="AO620" s="143"/>
      <c r="AP620" s="143"/>
      <c r="AQ620" s="143"/>
      <c r="AR620" s="143"/>
      <c r="AS620" s="143"/>
      <c r="AT620" s="143"/>
      <c r="AU620" s="143"/>
      <c r="AV620" s="143" t="s">
        <v>807</v>
      </c>
      <c r="AW620" s="144"/>
      <c r="AX620" s="145"/>
      <c r="AY620" s="138"/>
      <c r="AZ620" s="138"/>
      <c r="BA620" s="138"/>
      <c r="BB620" s="138"/>
      <c r="BC620" s="138"/>
      <c r="BD620" s="138"/>
      <c r="BE620" s="138"/>
      <c r="BF620" s="138"/>
      <c r="BG620" s="138"/>
      <c r="BH620" s="138"/>
    </row>
    <row r="621" spans="1:16384" s="138" customFormat="1" ht="58">
      <c r="A621" s="140" t="s">
        <v>6</v>
      </c>
      <c r="B621" s="129">
        <v>619</v>
      </c>
      <c r="C621" s="143" t="s">
        <v>656</v>
      </c>
      <c r="D621" s="143" t="s">
        <v>3141</v>
      </c>
      <c r="E621" s="141" t="s">
        <v>657</v>
      </c>
      <c r="F621" s="141" t="s">
        <v>658</v>
      </c>
      <c r="G621" s="141" t="s">
        <v>804</v>
      </c>
      <c r="H621" s="143" t="s">
        <v>1784</v>
      </c>
      <c r="I621" s="143" t="s">
        <v>1785</v>
      </c>
      <c r="J621" s="305" t="s">
        <v>825</v>
      </c>
      <c r="K621" s="305" t="s">
        <v>829</v>
      </c>
      <c r="L621" s="141" t="s">
        <v>804</v>
      </c>
      <c r="M621" s="141" t="s">
        <v>804</v>
      </c>
      <c r="N621" s="143">
        <v>100</v>
      </c>
      <c r="O621" s="141" t="s">
        <v>804</v>
      </c>
      <c r="P621" s="141" t="s">
        <v>804</v>
      </c>
      <c r="Q621" s="143">
        <v>8</v>
      </c>
      <c r="R621" s="143">
        <v>13</v>
      </c>
      <c r="S621" s="143">
        <v>12</v>
      </c>
      <c r="T621" s="141">
        <v>2</v>
      </c>
      <c r="U621" s="141" t="s">
        <v>816</v>
      </c>
      <c r="V621" s="141" t="s">
        <v>803</v>
      </c>
      <c r="W621" s="141" t="s">
        <v>804</v>
      </c>
      <c r="X621" s="141" t="s">
        <v>804</v>
      </c>
      <c r="Y621" s="141" t="s">
        <v>1786</v>
      </c>
      <c r="Z621" s="141" t="s">
        <v>1787</v>
      </c>
      <c r="AA621" s="141">
        <v>1</v>
      </c>
      <c r="AB621" s="141" t="s">
        <v>804</v>
      </c>
      <c r="AC621" s="141" t="s">
        <v>804</v>
      </c>
      <c r="AD621" s="141" t="s">
        <v>804</v>
      </c>
      <c r="AE621" s="141" t="s">
        <v>804</v>
      </c>
      <c r="AF621" s="141">
        <v>0</v>
      </c>
      <c r="AG621" s="141">
        <v>0</v>
      </c>
      <c r="AH621" s="141">
        <v>3</v>
      </c>
      <c r="AI621" s="141" t="s">
        <v>801</v>
      </c>
      <c r="AJ621" s="164" t="s">
        <v>1788</v>
      </c>
      <c r="AK621" s="141" t="s">
        <v>804</v>
      </c>
      <c r="AL621" s="143" t="s">
        <v>804</v>
      </c>
      <c r="AM621" s="143"/>
      <c r="AN621" s="143" t="s">
        <v>807</v>
      </c>
      <c r="AO621" s="143"/>
      <c r="AP621" s="143"/>
      <c r="AQ621" s="143"/>
      <c r="AR621" s="143" t="s">
        <v>807</v>
      </c>
      <c r="AS621" s="143"/>
      <c r="AT621" s="143"/>
      <c r="AU621" s="143"/>
      <c r="AV621" s="143"/>
      <c r="AW621" s="144"/>
      <c r="AX621" s="145"/>
    </row>
    <row r="622" spans="1:16384" s="459" customFormat="1" ht="72">
      <c r="A622" s="451" t="s">
        <v>6</v>
      </c>
      <c r="B622" s="452">
        <v>620</v>
      </c>
      <c r="C622" s="450" t="s">
        <v>1121</v>
      </c>
      <c r="D622" s="450" t="s">
        <v>3153</v>
      </c>
      <c r="E622" s="450" t="s">
        <v>557</v>
      </c>
      <c r="F622" s="450" t="s">
        <v>242</v>
      </c>
      <c r="G622" s="450" t="s">
        <v>804</v>
      </c>
      <c r="H622" s="450" t="s">
        <v>1789</v>
      </c>
      <c r="I622" s="450" t="s">
        <v>1790</v>
      </c>
      <c r="J622" s="450" t="s">
        <v>843</v>
      </c>
      <c r="K622" s="450" t="s">
        <v>843</v>
      </c>
      <c r="L622" s="450" t="s">
        <v>804</v>
      </c>
      <c r="M622" s="450" t="s">
        <v>804</v>
      </c>
      <c r="N622" s="450">
        <v>100</v>
      </c>
      <c r="O622" s="450" t="s">
        <v>804</v>
      </c>
      <c r="P622" s="452" t="s">
        <v>804</v>
      </c>
      <c r="Q622" s="450">
        <v>8</v>
      </c>
      <c r="R622" s="450">
        <v>7</v>
      </c>
      <c r="S622" s="450">
        <v>4</v>
      </c>
      <c r="T622" s="450">
        <v>4</v>
      </c>
      <c r="U622" s="450" t="s">
        <v>816</v>
      </c>
      <c r="V622" s="450" t="s">
        <v>803</v>
      </c>
      <c r="W622" s="452" t="s">
        <v>804</v>
      </c>
      <c r="X622" s="450" t="s">
        <v>804</v>
      </c>
      <c r="Y622" s="450" t="s">
        <v>2350</v>
      </c>
      <c r="Z622" s="450" t="s">
        <v>804</v>
      </c>
      <c r="AA622" s="452">
        <v>1</v>
      </c>
      <c r="AB622" s="450" t="s">
        <v>804</v>
      </c>
      <c r="AC622" s="450" t="s">
        <v>804</v>
      </c>
      <c r="AD622" s="450" t="s">
        <v>804</v>
      </c>
      <c r="AE622" s="450" t="s">
        <v>804</v>
      </c>
      <c r="AF622" s="450">
        <v>0</v>
      </c>
      <c r="AG622" s="450">
        <v>0</v>
      </c>
      <c r="AH622" s="450">
        <v>8</v>
      </c>
      <c r="AI622" s="450" t="s">
        <v>804</v>
      </c>
      <c r="AJ622" s="499" t="s">
        <v>2620</v>
      </c>
      <c r="AK622" s="285" t="s">
        <v>804</v>
      </c>
      <c r="AL622" s="285" t="s">
        <v>804</v>
      </c>
      <c r="AM622" s="285"/>
      <c r="AN622" s="285" t="s">
        <v>807</v>
      </c>
      <c r="AO622" s="285" t="s">
        <v>807</v>
      </c>
      <c r="AP622" s="285" t="s">
        <v>807</v>
      </c>
      <c r="AQ622" s="285"/>
      <c r="AR622" s="285"/>
      <c r="AS622" s="285" t="s">
        <v>807</v>
      </c>
      <c r="AT622" s="285"/>
      <c r="AU622" s="285"/>
      <c r="AV622" s="285"/>
      <c r="AW622" s="456"/>
      <c r="AX622" s="457"/>
      <c r="AY622" s="458"/>
      <c r="AZ622" s="458"/>
      <c r="BA622" s="458"/>
      <c r="BB622" s="458"/>
      <c r="BC622" s="458"/>
      <c r="BD622" s="458"/>
      <c r="BE622" s="458"/>
    </row>
    <row r="623" spans="1:16384" s="139" customFormat="1" ht="30">
      <c r="A623" s="140" t="s">
        <v>6</v>
      </c>
      <c r="B623" s="129">
        <v>621</v>
      </c>
      <c r="C623" s="141" t="s">
        <v>1121</v>
      </c>
      <c r="D623" s="141" t="s">
        <v>3109</v>
      </c>
      <c r="E623" s="141" t="s">
        <v>1791</v>
      </c>
      <c r="F623" s="141" t="s">
        <v>1792</v>
      </c>
      <c r="G623" s="141" t="s">
        <v>804</v>
      </c>
      <c r="H623" s="141" t="s">
        <v>659</v>
      </c>
      <c r="I623" s="141" t="s">
        <v>1793</v>
      </c>
      <c r="J623" s="141" t="s">
        <v>843</v>
      </c>
      <c r="K623" s="141" t="s">
        <v>843</v>
      </c>
      <c r="L623" s="141" t="s">
        <v>804</v>
      </c>
      <c r="M623" s="141" t="s">
        <v>804</v>
      </c>
      <c r="N623" s="141">
        <v>50</v>
      </c>
      <c r="O623" s="141" t="s">
        <v>804</v>
      </c>
      <c r="P623" s="129" t="s">
        <v>804</v>
      </c>
      <c r="Q623" s="141">
        <v>8</v>
      </c>
      <c r="R623" s="141">
        <v>22</v>
      </c>
      <c r="S623" s="141">
        <v>22</v>
      </c>
      <c r="T623" s="141">
        <v>1</v>
      </c>
      <c r="U623" s="141" t="s">
        <v>816</v>
      </c>
      <c r="V623" s="141" t="s">
        <v>803</v>
      </c>
      <c r="W623" s="129" t="s">
        <v>804</v>
      </c>
      <c r="X623" s="141" t="s">
        <v>804</v>
      </c>
      <c r="Y623" s="141" t="s">
        <v>1123</v>
      </c>
      <c r="Z623" s="141" t="s">
        <v>1123</v>
      </c>
      <c r="AA623" s="129">
        <v>1</v>
      </c>
      <c r="AB623" s="141" t="s">
        <v>804</v>
      </c>
      <c r="AC623" s="141" t="s">
        <v>804</v>
      </c>
      <c r="AD623" s="141" t="s">
        <v>804</v>
      </c>
      <c r="AE623" s="141" t="s">
        <v>804</v>
      </c>
      <c r="AF623" s="141">
        <v>0</v>
      </c>
      <c r="AG623" s="141">
        <v>0</v>
      </c>
      <c r="AH623" s="141">
        <v>1</v>
      </c>
      <c r="AI623" s="141" t="s">
        <v>804</v>
      </c>
      <c r="AJ623" s="164" t="s">
        <v>660</v>
      </c>
      <c r="AK623" s="143" t="s">
        <v>804</v>
      </c>
      <c r="AL623" s="141" t="s">
        <v>804</v>
      </c>
      <c r="AM623" s="143"/>
      <c r="AN623" s="143"/>
      <c r="AO623" s="143"/>
      <c r="AP623" s="143"/>
      <c r="AQ623" s="143"/>
      <c r="AR623" s="141" t="s">
        <v>807</v>
      </c>
      <c r="AS623" s="143"/>
      <c r="AT623" s="143"/>
      <c r="AU623" s="143"/>
      <c r="AV623" s="143"/>
      <c r="AW623" s="144"/>
      <c r="AX623" s="145"/>
      <c r="AY623" s="138"/>
      <c r="AZ623" s="138"/>
      <c r="BA623" s="138"/>
      <c r="BB623" s="138"/>
      <c r="BC623" s="138"/>
      <c r="BD623" s="138"/>
      <c r="BE623" s="138"/>
      <c r="BF623" s="138"/>
      <c r="BG623" s="138"/>
      <c r="BH623" s="138"/>
    </row>
    <row r="624" spans="1:16384" s="139" customFormat="1" ht="30">
      <c r="A624" s="140" t="s">
        <v>6</v>
      </c>
      <c r="B624" s="129">
        <v>622</v>
      </c>
      <c r="C624" s="141" t="s">
        <v>1121</v>
      </c>
      <c r="D624" s="141" t="s">
        <v>3109</v>
      </c>
      <c r="E624" s="141" t="s">
        <v>1794</v>
      </c>
      <c r="F624" s="141" t="s">
        <v>1795</v>
      </c>
      <c r="G624" s="141" t="s">
        <v>804</v>
      </c>
      <c r="H624" s="141" t="s">
        <v>246</v>
      </c>
      <c r="I624" s="141" t="s">
        <v>1796</v>
      </c>
      <c r="J624" s="141" t="s">
        <v>843</v>
      </c>
      <c r="K624" s="141" t="s">
        <v>843</v>
      </c>
      <c r="L624" s="141" t="s">
        <v>804</v>
      </c>
      <c r="M624" s="141" t="s">
        <v>804</v>
      </c>
      <c r="N624" s="141">
        <v>50</v>
      </c>
      <c r="O624" s="141" t="s">
        <v>804</v>
      </c>
      <c r="P624" s="129" t="s">
        <v>804</v>
      </c>
      <c r="Q624" s="141">
        <v>8</v>
      </c>
      <c r="R624" s="141">
        <v>31</v>
      </c>
      <c r="S624" s="141">
        <v>24</v>
      </c>
      <c r="T624" s="141">
        <v>8</v>
      </c>
      <c r="U624" s="141" t="s">
        <v>816</v>
      </c>
      <c r="V624" s="141" t="s">
        <v>803</v>
      </c>
      <c r="W624" s="129" t="s">
        <v>804</v>
      </c>
      <c r="X624" s="141" t="s">
        <v>804</v>
      </c>
      <c r="Y624" s="141" t="s">
        <v>804</v>
      </c>
      <c r="Z624" s="141" t="s">
        <v>804</v>
      </c>
      <c r="AA624" s="129">
        <v>1</v>
      </c>
      <c r="AB624" s="141" t="s">
        <v>804</v>
      </c>
      <c r="AC624" s="141" t="s">
        <v>804</v>
      </c>
      <c r="AD624" s="141" t="s">
        <v>804</v>
      </c>
      <c r="AE624" s="141" t="s">
        <v>804</v>
      </c>
      <c r="AF624" s="141">
        <v>0</v>
      </c>
      <c r="AG624" s="141">
        <v>0</v>
      </c>
      <c r="AH624" s="141">
        <v>254</v>
      </c>
      <c r="AI624" s="141" t="s">
        <v>1797</v>
      </c>
      <c r="AJ624" s="164" t="s">
        <v>2181</v>
      </c>
      <c r="AK624" s="143" t="s">
        <v>804</v>
      </c>
      <c r="AL624" s="141" t="s">
        <v>804</v>
      </c>
      <c r="AM624" s="143"/>
      <c r="AN624" s="143"/>
      <c r="AO624" s="143"/>
      <c r="AP624" s="143"/>
      <c r="AQ624" s="143"/>
      <c r="AR624" s="141" t="s">
        <v>807</v>
      </c>
      <c r="AS624" s="143"/>
      <c r="AT624" s="143"/>
      <c r="AU624" s="143"/>
      <c r="AV624" s="143"/>
      <c r="AW624" s="144"/>
      <c r="AX624" s="145"/>
      <c r="AY624" s="138"/>
      <c r="AZ624" s="138"/>
      <c r="BA624" s="138"/>
      <c r="BB624" s="138"/>
      <c r="BC624" s="138"/>
      <c r="BD624" s="138"/>
      <c r="BE624" s="138"/>
    </row>
    <row r="625" spans="1:57" s="139" customFormat="1" ht="44">
      <c r="A625" s="140" t="s">
        <v>6</v>
      </c>
      <c r="B625" s="129">
        <v>623</v>
      </c>
      <c r="C625" s="141" t="s">
        <v>1121</v>
      </c>
      <c r="D625" s="141" t="s">
        <v>3115</v>
      </c>
      <c r="E625" s="141" t="s">
        <v>1798</v>
      </c>
      <c r="F625" s="141" t="s">
        <v>1080</v>
      </c>
      <c r="G625" s="141" t="s">
        <v>804</v>
      </c>
      <c r="H625" s="143" t="s">
        <v>595</v>
      </c>
      <c r="I625" s="143" t="s">
        <v>1799</v>
      </c>
      <c r="J625" s="129" t="s">
        <v>1122</v>
      </c>
      <c r="K625" s="129" t="s">
        <v>1122</v>
      </c>
      <c r="L625" s="141" t="s">
        <v>1800</v>
      </c>
      <c r="M625" s="129" t="s">
        <v>804</v>
      </c>
      <c r="N625" s="129" t="s">
        <v>804</v>
      </c>
      <c r="O625" s="141" t="s">
        <v>1801</v>
      </c>
      <c r="P625" s="129" t="s">
        <v>804</v>
      </c>
      <c r="Q625" s="129">
        <v>8</v>
      </c>
      <c r="R625" s="141">
        <v>7</v>
      </c>
      <c r="S625" s="141">
        <v>0</v>
      </c>
      <c r="T625" s="141">
        <v>8</v>
      </c>
      <c r="U625" s="143" t="s">
        <v>802</v>
      </c>
      <c r="V625" s="143" t="s">
        <v>1802</v>
      </c>
      <c r="W625" s="143" t="s">
        <v>1803</v>
      </c>
      <c r="X625" s="143" t="s">
        <v>804</v>
      </c>
      <c r="Y625" s="143" t="s">
        <v>817</v>
      </c>
      <c r="Z625" s="141" t="s">
        <v>804</v>
      </c>
      <c r="AA625" s="143">
        <v>1</v>
      </c>
      <c r="AB625" s="143" t="s">
        <v>804</v>
      </c>
      <c r="AC625" s="143" t="s">
        <v>804</v>
      </c>
      <c r="AD625" s="143" t="s">
        <v>804</v>
      </c>
      <c r="AE625" s="143" t="s">
        <v>804</v>
      </c>
      <c r="AF625" s="143">
        <v>0</v>
      </c>
      <c r="AG625" s="143">
        <v>0</v>
      </c>
      <c r="AH625" s="141">
        <v>255</v>
      </c>
      <c r="AI625" s="141" t="s">
        <v>804</v>
      </c>
      <c r="AJ625" s="164" t="s">
        <v>804</v>
      </c>
      <c r="AK625" s="141" t="s">
        <v>804</v>
      </c>
      <c r="AL625" s="141" t="s">
        <v>804</v>
      </c>
      <c r="AM625" s="141"/>
      <c r="AN625" s="141" t="s">
        <v>807</v>
      </c>
      <c r="AO625" s="143"/>
      <c r="AP625" s="143"/>
      <c r="AQ625" s="143"/>
      <c r="AR625" s="143"/>
      <c r="AS625" s="143"/>
      <c r="AT625" s="143"/>
      <c r="AU625" s="143"/>
      <c r="AV625" s="143"/>
      <c r="AW625" s="144"/>
      <c r="AX625" s="145"/>
      <c r="AY625" s="138"/>
      <c r="AZ625" s="138"/>
      <c r="BA625" s="138"/>
      <c r="BB625" s="138"/>
      <c r="BC625" s="138"/>
      <c r="BD625" s="138"/>
      <c r="BE625" s="138"/>
    </row>
    <row r="626" spans="1:57" s="309" customFormat="1" ht="114">
      <c r="A626" s="306" t="s">
        <v>2802</v>
      </c>
      <c r="B626" s="129">
        <v>624</v>
      </c>
      <c r="C626" s="141" t="s">
        <v>529</v>
      </c>
      <c r="D626" s="307" t="s">
        <v>3125</v>
      </c>
      <c r="E626" s="188" t="s">
        <v>2803</v>
      </c>
      <c r="F626" s="184" t="s">
        <v>2804</v>
      </c>
      <c r="G626" s="184" t="s">
        <v>2805</v>
      </c>
      <c r="H626" s="188" t="s">
        <v>595</v>
      </c>
      <c r="I626" s="188" t="s">
        <v>2806</v>
      </c>
      <c r="J626" s="307" t="s">
        <v>2807</v>
      </c>
      <c r="K626" s="307" t="s">
        <v>2807</v>
      </c>
      <c r="L626" s="184" t="s">
        <v>2361</v>
      </c>
      <c r="M626" s="307" t="s">
        <v>2805</v>
      </c>
      <c r="N626" s="307" t="s">
        <v>2805</v>
      </c>
      <c r="O626" s="184" t="s">
        <v>2808</v>
      </c>
      <c r="P626" s="307" t="s">
        <v>2805</v>
      </c>
      <c r="Q626" s="307">
        <v>8</v>
      </c>
      <c r="R626" s="184">
        <v>45</v>
      </c>
      <c r="S626" s="184">
        <v>43</v>
      </c>
      <c r="T626" s="188">
        <v>3</v>
      </c>
      <c r="U626" s="188" t="s">
        <v>2777</v>
      </c>
      <c r="V626" s="188" t="s">
        <v>2809</v>
      </c>
      <c r="W626" s="188" t="s">
        <v>2810</v>
      </c>
      <c r="X626" s="188" t="s">
        <v>2805</v>
      </c>
      <c r="Y626" s="188" t="s">
        <v>2781</v>
      </c>
      <c r="Z626" s="188" t="s">
        <v>2781</v>
      </c>
      <c r="AA626" s="188">
        <v>1</v>
      </c>
      <c r="AB626" s="188" t="s">
        <v>2805</v>
      </c>
      <c r="AC626" s="188" t="s">
        <v>2805</v>
      </c>
      <c r="AD626" s="188" t="s">
        <v>2805</v>
      </c>
      <c r="AE626" s="188" t="s">
        <v>2805</v>
      </c>
      <c r="AF626" s="188">
        <v>0</v>
      </c>
      <c r="AG626" s="188">
        <v>0</v>
      </c>
      <c r="AH626" s="188">
        <v>7</v>
      </c>
      <c r="AI626" s="188" t="s">
        <v>2805</v>
      </c>
      <c r="AJ626" s="308" t="s">
        <v>2811</v>
      </c>
      <c r="AK626" s="188"/>
      <c r="AL626" s="157" t="s">
        <v>2805</v>
      </c>
      <c r="AM626" s="184"/>
      <c r="AN626" s="188"/>
      <c r="AO626" s="188"/>
      <c r="AP626" s="188" t="s">
        <v>677</v>
      </c>
      <c r="AQ626" s="188"/>
      <c r="AR626" s="188"/>
      <c r="AS626" s="188"/>
      <c r="AT626" s="188"/>
      <c r="AU626" s="188"/>
      <c r="AV626" s="188"/>
      <c r="AW626" s="188"/>
      <c r="AX626" s="188"/>
    </row>
    <row r="627" spans="1:57" s="309" customFormat="1" ht="114">
      <c r="A627" s="306" t="s">
        <v>2792</v>
      </c>
      <c r="B627" s="129">
        <v>625</v>
      </c>
      <c r="C627" s="141" t="s">
        <v>529</v>
      </c>
      <c r="D627" s="307" t="s">
        <v>3125</v>
      </c>
      <c r="E627" s="188" t="s">
        <v>2812</v>
      </c>
      <c r="F627" s="184" t="s">
        <v>2813</v>
      </c>
      <c r="G627" s="184" t="s">
        <v>2780</v>
      </c>
      <c r="H627" s="188" t="s">
        <v>595</v>
      </c>
      <c r="I627" s="188" t="s">
        <v>2806</v>
      </c>
      <c r="J627" s="307" t="s">
        <v>2814</v>
      </c>
      <c r="K627" s="307" t="s">
        <v>2814</v>
      </c>
      <c r="L627" s="184" t="s">
        <v>2361</v>
      </c>
      <c r="M627" s="307" t="s">
        <v>2780</v>
      </c>
      <c r="N627" s="307" t="s">
        <v>2780</v>
      </c>
      <c r="O627" s="184" t="s">
        <v>2808</v>
      </c>
      <c r="P627" s="307" t="s">
        <v>2780</v>
      </c>
      <c r="Q627" s="307">
        <v>8</v>
      </c>
      <c r="R627" s="307">
        <v>42</v>
      </c>
      <c r="S627" s="307">
        <v>40</v>
      </c>
      <c r="T627" s="188">
        <v>3</v>
      </c>
      <c r="U627" s="188" t="s">
        <v>2777</v>
      </c>
      <c r="V627" s="188" t="s">
        <v>2809</v>
      </c>
      <c r="W627" s="188" t="s">
        <v>2810</v>
      </c>
      <c r="X627" s="188" t="s">
        <v>2780</v>
      </c>
      <c r="Y627" s="188" t="s">
        <v>2781</v>
      </c>
      <c r="Z627" s="188" t="s">
        <v>2781</v>
      </c>
      <c r="AA627" s="188">
        <v>1</v>
      </c>
      <c r="AB627" s="188" t="s">
        <v>2780</v>
      </c>
      <c r="AC627" s="188" t="s">
        <v>2780</v>
      </c>
      <c r="AD627" s="188" t="s">
        <v>2780</v>
      </c>
      <c r="AE627" s="188" t="s">
        <v>2780</v>
      </c>
      <c r="AF627" s="188">
        <v>0</v>
      </c>
      <c r="AG627" s="188">
        <v>0</v>
      </c>
      <c r="AH627" s="188">
        <v>7</v>
      </c>
      <c r="AI627" s="188" t="s">
        <v>2780</v>
      </c>
      <c r="AJ627" s="308" t="s">
        <v>2815</v>
      </c>
      <c r="AK627" s="188"/>
      <c r="AL627" s="157" t="s">
        <v>2780</v>
      </c>
      <c r="AM627" s="184"/>
      <c r="AN627" s="188"/>
      <c r="AO627" s="188"/>
      <c r="AP627" s="188" t="s">
        <v>677</v>
      </c>
      <c r="AQ627" s="188"/>
      <c r="AR627" s="188"/>
      <c r="AS627" s="188"/>
      <c r="AT627" s="188"/>
      <c r="AU627" s="188"/>
      <c r="AV627" s="188"/>
      <c r="AW627" s="188"/>
      <c r="AX627" s="188"/>
    </row>
    <row r="628" spans="1:57" s="138" customFormat="1" ht="114">
      <c r="A628" s="140" t="s">
        <v>6</v>
      </c>
      <c r="B628" s="129">
        <v>626</v>
      </c>
      <c r="C628" s="141" t="s">
        <v>1121</v>
      </c>
      <c r="D628" s="129" t="s">
        <v>3115</v>
      </c>
      <c r="E628" s="143" t="s">
        <v>1804</v>
      </c>
      <c r="F628" s="141" t="s">
        <v>1805</v>
      </c>
      <c r="G628" s="141" t="s">
        <v>804</v>
      </c>
      <c r="H628" s="143" t="s">
        <v>595</v>
      </c>
      <c r="I628" s="143" t="s">
        <v>1799</v>
      </c>
      <c r="J628" s="129" t="s">
        <v>1122</v>
      </c>
      <c r="K628" s="129" t="s">
        <v>1122</v>
      </c>
      <c r="L628" s="141" t="s">
        <v>1800</v>
      </c>
      <c r="M628" s="129" t="s">
        <v>804</v>
      </c>
      <c r="N628" s="129" t="s">
        <v>804</v>
      </c>
      <c r="O628" s="141" t="s">
        <v>1801</v>
      </c>
      <c r="P628" s="129" t="s">
        <v>804</v>
      </c>
      <c r="Q628" s="129">
        <v>8</v>
      </c>
      <c r="R628" s="141">
        <v>63</v>
      </c>
      <c r="S628" s="141">
        <v>61</v>
      </c>
      <c r="T628" s="143">
        <v>3</v>
      </c>
      <c r="U628" s="143" t="s">
        <v>802</v>
      </c>
      <c r="V628" s="143" t="s">
        <v>1802</v>
      </c>
      <c r="W628" s="143" t="s">
        <v>1803</v>
      </c>
      <c r="X628" s="143" t="s">
        <v>804</v>
      </c>
      <c r="Y628" s="143" t="s">
        <v>817</v>
      </c>
      <c r="Z628" s="143" t="s">
        <v>817</v>
      </c>
      <c r="AA628" s="143">
        <v>1</v>
      </c>
      <c r="AB628" s="143" t="s">
        <v>804</v>
      </c>
      <c r="AC628" s="143" t="s">
        <v>804</v>
      </c>
      <c r="AD628" s="143" t="s">
        <v>804</v>
      </c>
      <c r="AE628" s="143" t="s">
        <v>804</v>
      </c>
      <c r="AF628" s="143">
        <v>0</v>
      </c>
      <c r="AG628" s="143">
        <v>0</v>
      </c>
      <c r="AH628" s="143">
        <v>7</v>
      </c>
      <c r="AI628" s="143" t="s">
        <v>804</v>
      </c>
      <c r="AJ628" s="164" t="s">
        <v>1806</v>
      </c>
      <c r="AK628" s="143" t="s">
        <v>804</v>
      </c>
      <c r="AL628" s="141" t="s">
        <v>804</v>
      </c>
      <c r="AM628" s="143"/>
      <c r="AN628" s="143" t="s">
        <v>807</v>
      </c>
      <c r="AO628" s="143"/>
      <c r="AP628" s="143"/>
      <c r="AQ628" s="143"/>
      <c r="AR628" s="143"/>
      <c r="AS628" s="143"/>
      <c r="AT628" s="143"/>
      <c r="AU628" s="143"/>
      <c r="AV628" s="143"/>
      <c r="AW628" s="144"/>
      <c r="AX628" s="145"/>
    </row>
    <row r="629" spans="1:57" s="294" customFormat="1" ht="31">
      <c r="A629" s="140" t="s">
        <v>6</v>
      </c>
      <c r="B629" s="129">
        <v>627</v>
      </c>
      <c r="C629" s="141" t="s">
        <v>1121</v>
      </c>
      <c r="D629" s="310" t="s">
        <v>3115</v>
      </c>
      <c r="E629" s="311" t="s">
        <v>2356</v>
      </c>
      <c r="F629" s="169" t="s">
        <v>2357</v>
      </c>
      <c r="G629" s="242" t="s">
        <v>2358</v>
      </c>
      <c r="H629" s="291" t="s">
        <v>595</v>
      </c>
      <c r="I629" s="291" t="s">
        <v>2359</v>
      </c>
      <c r="J629" s="310" t="s">
        <v>2360</v>
      </c>
      <c r="K629" s="310" t="s">
        <v>2360</v>
      </c>
      <c r="L629" s="242" t="s">
        <v>2361</v>
      </c>
      <c r="M629" s="310" t="s">
        <v>2358</v>
      </c>
      <c r="N629" s="310" t="s">
        <v>2358</v>
      </c>
      <c r="O629" s="242" t="s">
        <v>2362</v>
      </c>
      <c r="P629" s="310" t="s">
        <v>2358</v>
      </c>
      <c r="Q629" s="310">
        <v>8</v>
      </c>
      <c r="R629" s="141">
        <v>60</v>
      </c>
      <c r="S629" s="169">
        <v>60</v>
      </c>
      <c r="T629" s="141">
        <v>1</v>
      </c>
      <c r="U629" s="291" t="s">
        <v>2363</v>
      </c>
      <c r="V629" s="291" t="s">
        <v>2364</v>
      </c>
      <c r="W629" s="291" t="s">
        <v>2365</v>
      </c>
      <c r="X629" s="141" t="s">
        <v>198</v>
      </c>
      <c r="Y629" s="291" t="s">
        <v>2366</v>
      </c>
      <c r="Z629" s="242" t="s">
        <v>2367</v>
      </c>
      <c r="AA629" s="291">
        <v>1</v>
      </c>
      <c r="AB629" s="291" t="s">
        <v>2358</v>
      </c>
      <c r="AC629" s="291" t="s">
        <v>2358</v>
      </c>
      <c r="AD629" s="291" t="s">
        <v>2358</v>
      </c>
      <c r="AE629" s="291" t="s">
        <v>2358</v>
      </c>
      <c r="AF629" s="291">
        <v>0</v>
      </c>
      <c r="AG629" s="291">
        <v>0</v>
      </c>
      <c r="AH629" s="291">
        <v>1</v>
      </c>
      <c r="AI629" s="291" t="s">
        <v>2358</v>
      </c>
      <c r="AJ629" s="243" t="s">
        <v>2368</v>
      </c>
      <c r="AK629" s="143" t="s">
        <v>665</v>
      </c>
      <c r="AL629" s="169" t="s">
        <v>2358</v>
      </c>
      <c r="AM629" s="242"/>
      <c r="AN629" s="291" t="s">
        <v>677</v>
      </c>
      <c r="AO629" s="292"/>
      <c r="AP629" s="291"/>
      <c r="AQ629" s="291"/>
      <c r="AR629" s="291"/>
      <c r="AS629" s="291"/>
      <c r="AT629" s="291"/>
      <c r="AU629" s="291"/>
      <c r="AV629" s="291"/>
      <c r="AW629" s="292"/>
      <c r="AX629" s="145"/>
    </row>
    <row r="630" spans="1:57" s="167" customFormat="1" ht="44">
      <c r="A630" s="140" t="s">
        <v>6</v>
      </c>
      <c r="B630" s="129">
        <v>628</v>
      </c>
      <c r="C630" s="141" t="s">
        <v>1121</v>
      </c>
      <c r="D630" s="129" t="s">
        <v>3115</v>
      </c>
      <c r="E630" s="141" t="s">
        <v>1807</v>
      </c>
      <c r="F630" s="141" t="s">
        <v>1080</v>
      </c>
      <c r="G630" s="141" t="s">
        <v>804</v>
      </c>
      <c r="H630" s="143" t="s">
        <v>1808</v>
      </c>
      <c r="I630" s="141" t="s">
        <v>1809</v>
      </c>
      <c r="J630" s="143" t="s">
        <v>843</v>
      </c>
      <c r="K630" s="143" t="s">
        <v>843</v>
      </c>
      <c r="L630" s="129" t="s">
        <v>804</v>
      </c>
      <c r="M630" s="129" t="s">
        <v>804</v>
      </c>
      <c r="N630" s="129">
        <v>50</v>
      </c>
      <c r="O630" s="141" t="s">
        <v>1810</v>
      </c>
      <c r="P630" s="143" t="s">
        <v>804</v>
      </c>
      <c r="Q630" s="129">
        <v>8</v>
      </c>
      <c r="R630" s="163">
        <v>7</v>
      </c>
      <c r="S630" s="163">
        <v>0</v>
      </c>
      <c r="T630" s="143">
        <v>8</v>
      </c>
      <c r="U630" s="143" t="s">
        <v>802</v>
      </c>
      <c r="V630" s="143" t="s">
        <v>1802</v>
      </c>
      <c r="W630" s="141" t="s">
        <v>806</v>
      </c>
      <c r="X630" s="143" t="s">
        <v>804</v>
      </c>
      <c r="Y630" s="143" t="s">
        <v>817</v>
      </c>
      <c r="Z630" s="143" t="s">
        <v>804</v>
      </c>
      <c r="AA630" s="143">
        <v>1</v>
      </c>
      <c r="AB630" s="141" t="s">
        <v>806</v>
      </c>
      <c r="AC630" s="141" t="s">
        <v>806</v>
      </c>
      <c r="AD630" s="141" t="s">
        <v>806</v>
      </c>
      <c r="AE630" s="141" t="s">
        <v>1124</v>
      </c>
      <c r="AF630" s="141">
        <v>0</v>
      </c>
      <c r="AG630" s="143">
        <v>0</v>
      </c>
      <c r="AH630" s="143">
        <v>255</v>
      </c>
      <c r="AI630" s="143" t="s">
        <v>804</v>
      </c>
      <c r="AJ630" s="164" t="s">
        <v>804</v>
      </c>
      <c r="AK630" s="143" t="s">
        <v>804</v>
      </c>
      <c r="AL630" s="141" t="s">
        <v>804</v>
      </c>
      <c r="AM630" s="163"/>
      <c r="AN630" s="163" t="s">
        <v>807</v>
      </c>
      <c r="AO630" s="163"/>
      <c r="AP630" s="163"/>
      <c r="AQ630" s="163"/>
      <c r="AR630" s="163"/>
      <c r="AS630" s="163"/>
      <c r="AT630" s="163"/>
      <c r="AU630" s="163"/>
      <c r="AV630" s="163"/>
      <c r="AW630" s="165"/>
      <c r="AX630" s="166"/>
    </row>
    <row r="631" spans="1:57" s="138" customFormat="1" ht="58">
      <c r="A631" s="140" t="s">
        <v>6</v>
      </c>
      <c r="B631" s="129">
        <v>629</v>
      </c>
      <c r="C631" s="141" t="s">
        <v>1121</v>
      </c>
      <c r="D631" s="129" t="s">
        <v>3141</v>
      </c>
      <c r="E631" s="143" t="s">
        <v>1811</v>
      </c>
      <c r="F631" s="141" t="s">
        <v>1812</v>
      </c>
      <c r="G631" s="141" t="s">
        <v>804</v>
      </c>
      <c r="H631" s="143" t="s">
        <v>596</v>
      </c>
      <c r="I631" s="141" t="s">
        <v>1809</v>
      </c>
      <c r="J631" s="129" t="s">
        <v>843</v>
      </c>
      <c r="K631" s="129" t="s">
        <v>843</v>
      </c>
      <c r="L631" s="129" t="s">
        <v>804</v>
      </c>
      <c r="M631" s="129" t="s">
        <v>804</v>
      </c>
      <c r="N631" s="129">
        <v>50</v>
      </c>
      <c r="O631" s="141" t="s">
        <v>1810</v>
      </c>
      <c r="P631" s="129" t="s">
        <v>804</v>
      </c>
      <c r="Q631" s="129">
        <v>8</v>
      </c>
      <c r="R631" s="129">
        <v>54</v>
      </c>
      <c r="S631" s="129">
        <v>53</v>
      </c>
      <c r="T631" s="143">
        <v>2</v>
      </c>
      <c r="U631" s="143" t="s">
        <v>802</v>
      </c>
      <c r="V631" s="143" t="s">
        <v>1802</v>
      </c>
      <c r="W631" s="143" t="s">
        <v>1803</v>
      </c>
      <c r="X631" s="143" t="s">
        <v>804</v>
      </c>
      <c r="Y631" s="143" t="s">
        <v>817</v>
      </c>
      <c r="Z631" s="143" t="s">
        <v>817</v>
      </c>
      <c r="AA631" s="143">
        <v>1</v>
      </c>
      <c r="AB631" s="143" t="s">
        <v>804</v>
      </c>
      <c r="AC631" s="143" t="s">
        <v>804</v>
      </c>
      <c r="AD631" s="143" t="s">
        <v>804</v>
      </c>
      <c r="AE631" s="143" t="s">
        <v>804</v>
      </c>
      <c r="AF631" s="143">
        <v>0</v>
      </c>
      <c r="AG631" s="143">
        <v>0</v>
      </c>
      <c r="AH631" s="143">
        <v>3</v>
      </c>
      <c r="AI631" s="143" t="s">
        <v>804</v>
      </c>
      <c r="AJ631" s="164" t="s">
        <v>1813</v>
      </c>
      <c r="AK631" s="143" t="s">
        <v>804</v>
      </c>
      <c r="AL631" s="141" t="s">
        <v>804</v>
      </c>
      <c r="AM631" s="143"/>
      <c r="AN631" s="143" t="s">
        <v>807</v>
      </c>
      <c r="AO631" s="143"/>
      <c r="AP631" s="143"/>
      <c r="AQ631" s="143"/>
      <c r="AR631" s="143" t="s">
        <v>677</v>
      </c>
      <c r="AS631" s="143"/>
      <c r="AT631" s="143"/>
      <c r="AU631" s="143"/>
      <c r="AV631" s="143"/>
      <c r="AW631" s="144"/>
      <c r="AX631" s="145"/>
    </row>
    <row r="632" spans="1:57" s="167" customFormat="1" ht="25">
      <c r="A632" s="140" t="s">
        <v>6</v>
      </c>
      <c r="B632" s="129">
        <v>630</v>
      </c>
      <c r="C632" s="141" t="s">
        <v>1121</v>
      </c>
      <c r="D632" s="129" t="s">
        <v>3115</v>
      </c>
      <c r="E632" s="141" t="s">
        <v>1814</v>
      </c>
      <c r="F632" s="141" t="s">
        <v>1815</v>
      </c>
      <c r="G632" s="141" t="s">
        <v>804</v>
      </c>
      <c r="H632" s="143" t="s">
        <v>596</v>
      </c>
      <c r="I632" s="141" t="s">
        <v>1809</v>
      </c>
      <c r="J632" s="143" t="s">
        <v>843</v>
      </c>
      <c r="K632" s="143" t="s">
        <v>843</v>
      </c>
      <c r="L632" s="129" t="s">
        <v>804</v>
      </c>
      <c r="M632" s="129" t="s">
        <v>804</v>
      </c>
      <c r="N632" s="129">
        <v>50</v>
      </c>
      <c r="O632" s="141" t="s">
        <v>1810</v>
      </c>
      <c r="P632" s="143" t="s">
        <v>804</v>
      </c>
      <c r="Q632" s="129">
        <v>8</v>
      </c>
      <c r="R632" s="163">
        <v>59</v>
      </c>
      <c r="S632" s="163">
        <v>56</v>
      </c>
      <c r="T632" s="143">
        <v>4</v>
      </c>
      <c r="U632" s="143" t="s">
        <v>802</v>
      </c>
      <c r="V632" s="143" t="s">
        <v>1802</v>
      </c>
      <c r="W632" s="141" t="s">
        <v>806</v>
      </c>
      <c r="X632" s="141" t="s">
        <v>806</v>
      </c>
      <c r="Y632" s="141" t="s">
        <v>1816</v>
      </c>
      <c r="Z632" s="141" t="s">
        <v>804</v>
      </c>
      <c r="AA632" s="141">
        <v>1</v>
      </c>
      <c r="AB632" s="141" t="s">
        <v>806</v>
      </c>
      <c r="AC632" s="141" t="s">
        <v>806</v>
      </c>
      <c r="AD632" s="141" t="s">
        <v>806</v>
      </c>
      <c r="AE632" s="141" t="s">
        <v>1124</v>
      </c>
      <c r="AF632" s="141">
        <v>0</v>
      </c>
      <c r="AG632" s="141">
        <v>0</v>
      </c>
      <c r="AH632" s="141">
        <v>15</v>
      </c>
      <c r="AI632" s="143" t="s">
        <v>804</v>
      </c>
      <c r="AJ632" s="164" t="s">
        <v>804</v>
      </c>
      <c r="AK632" s="141" t="s">
        <v>806</v>
      </c>
      <c r="AL632" s="141" t="s">
        <v>804</v>
      </c>
      <c r="AM632" s="141"/>
      <c r="AN632" s="163" t="s">
        <v>807</v>
      </c>
      <c r="AO632" s="163"/>
      <c r="AP632" s="163"/>
      <c r="AQ632" s="163"/>
      <c r="AR632" s="163"/>
      <c r="AS632" s="163"/>
      <c r="AT632" s="163"/>
      <c r="AU632" s="163"/>
      <c r="AV632" s="163"/>
      <c r="AW632" s="165"/>
      <c r="AX632" s="166"/>
    </row>
    <row r="633" spans="1:57" s="313" customFormat="1" ht="30">
      <c r="A633" s="140" t="s">
        <v>6</v>
      </c>
      <c r="B633" s="129">
        <v>631</v>
      </c>
      <c r="C633" s="141" t="s">
        <v>529</v>
      </c>
      <c r="D633" s="310" t="s">
        <v>3115</v>
      </c>
      <c r="E633" s="291" t="s">
        <v>1926</v>
      </c>
      <c r="F633" s="242" t="s">
        <v>1927</v>
      </c>
      <c r="G633" s="242" t="s">
        <v>665</v>
      </c>
      <c r="H633" s="291" t="s">
        <v>1928</v>
      </c>
      <c r="I633" s="291" t="s">
        <v>1929</v>
      </c>
      <c r="J633" s="291" t="s">
        <v>927</v>
      </c>
      <c r="K633" s="291" t="s">
        <v>927</v>
      </c>
      <c r="L633" s="310" t="s">
        <v>1930</v>
      </c>
      <c r="M633" s="310" t="s">
        <v>665</v>
      </c>
      <c r="N633" s="291" t="s">
        <v>665</v>
      </c>
      <c r="O633" s="291" t="s">
        <v>1801</v>
      </c>
      <c r="P633" s="310" t="s">
        <v>665</v>
      </c>
      <c r="Q633" s="310">
        <v>8</v>
      </c>
      <c r="R633" s="289">
        <v>7</v>
      </c>
      <c r="S633" s="289">
        <v>56</v>
      </c>
      <c r="T633" s="291">
        <v>64</v>
      </c>
      <c r="U633" s="291" t="s">
        <v>670</v>
      </c>
      <c r="V633" s="291" t="s">
        <v>1643</v>
      </c>
      <c r="W633" s="291" t="s">
        <v>1803</v>
      </c>
      <c r="X633" s="291" t="s">
        <v>665</v>
      </c>
      <c r="Y633" s="291" t="s">
        <v>665</v>
      </c>
      <c r="Z633" s="291" t="s">
        <v>665</v>
      </c>
      <c r="AA633" s="291" t="s">
        <v>665</v>
      </c>
      <c r="AB633" s="291" t="s">
        <v>665</v>
      </c>
      <c r="AC633" s="291" t="s">
        <v>665</v>
      </c>
      <c r="AD633" s="291" t="s">
        <v>665</v>
      </c>
      <c r="AE633" s="291" t="s">
        <v>665</v>
      </c>
      <c r="AF633" s="291" t="s">
        <v>665</v>
      </c>
      <c r="AG633" s="291" t="s">
        <v>665</v>
      </c>
      <c r="AH633" s="291" t="s">
        <v>665</v>
      </c>
      <c r="AI633" s="291" t="s">
        <v>665</v>
      </c>
      <c r="AJ633" s="312" t="s">
        <v>665</v>
      </c>
      <c r="AK633" s="291"/>
      <c r="AL633" s="169" t="s">
        <v>665</v>
      </c>
      <c r="AM633" s="242"/>
      <c r="AN633" s="289" t="s">
        <v>1931</v>
      </c>
      <c r="AO633" s="289"/>
      <c r="AP633" s="289"/>
      <c r="AQ633" s="289"/>
      <c r="AR633" s="289"/>
      <c r="AS633" s="289"/>
      <c r="AT633" s="289"/>
      <c r="AU633" s="289"/>
      <c r="AV633" s="163"/>
      <c r="AW633" s="165"/>
      <c r="AX633" s="166"/>
    </row>
    <row r="634" spans="1:57" s="167" customFormat="1" ht="44">
      <c r="A634" s="140" t="s">
        <v>6</v>
      </c>
      <c r="B634" s="129">
        <v>632</v>
      </c>
      <c r="C634" s="141" t="s">
        <v>1121</v>
      </c>
      <c r="D634" s="129" t="s">
        <v>3115</v>
      </c>
      <c r="E634" s="141" t="s">
        <v>1817</v>
      </c>
      <c r="F634" s="141" t="s">
        <v>1080</v>
      </c>
      <c r="G634" s="141" t="s">
        <v>804</v>
      </c>
      <c r="H634" s="143" t="s">
        <v>597</v>
      </c>
      <c r="I634" s="141" t="s">
        <v>1818</v>
      </c>
      <c r="J634" s="143" t="s">
        <v>843</v>
      </c>
      <c r="K634" s="143" t="s">
        <v>843</v>
      </c>
      <c r="L634" s="129" t="s">
        <v>804</v>
      </c>
      <c r="M634" s="129" t="s">
        <v>804</v>
      </c>
      <c r="N634" s="143">
        <v>100</v>
      </c>
      <c r="O634" s="143" t="s">
        <v>804</v>
      </c>
      <c r="P634" s="143" t="s">
        <v>804</v>
      </c>
      <c r="Q634" s="129">
        <v>8</v>
      </c>
      <c r="R634" s="163">
        <v>7</v>
      </c>
      <c r="S634" s="163">
        <v>0</v>
      </c>
      <c r="T634" s="143">
        <v>8</v>
      </c>
      <c r="U634" s="143" t="s">
        <v>802</v>
      </c>
      <c r="V634" s="143" t="s">
        <v>1802</v>
      </c>
      <c r="W634" s="141" t="s">
        <v>806</v>
      </c>
      <c r="X634" s="143" t="s">
        <v>804</v>
      </c>
      <c r="Y634" s="143" t="s">
        <v>817</v>
      </c>
      <c r="Z634" s="143" t="s">
        <v>804</v>
      </c>
      <c r="AA634" s="143">
        <v>1</v>
      </c>
      <c r="AB634" s="141" t="s">
        <v>806</v>
      </c>
      <c r="AC634" s="141" t="s">
        <v>806</v>
      </c>
      <c r="AD634" s="141" t="s">
        <v>806</v>
      </c>
      <c r="AE634" s="141" t="s">
        <v>1124</v>
      </c>
      <c r="AF634" s="141">
        <v>0</v>
      </c>
      <c r="AG634" s="143">
        <v>0</v>
      </c>
      <c r="AH634" s="143">
        <v>255</v>
      </c>
      <c r="AI634" s="143" t="s">
        <v>804</v>
      </c>
      <c r="AJ634" s="164" t="s">
        <v>804</v>
      </c>
      <c r="AK634" s="143" t="s">
        <v>804</v>
      </c>
      <c r="AL634" s="169" t="s">
        <v>1932</v>
      </c>
      <c r="AM634" s="163"/>
      <c r="AN634" s="163" t="s">
        <v>807</v>
      </c>
      <c r="AO634" s="163"/>
      <c r="AP634" s="163"/>
      <c r="AQ634" s="163"/>
      <c r="AR634" s="163"/>
      <c r="AS634" s="163"/>
      <c r="AT634" s="163"/>
      <c r="AU634" s="163"/>
      <c r="AV634" s="163"/>
      <c r="AW634" s="165"/>
      <c r="AX634" s="166"/>
    </row>
    <row r="635" spans="1:57" s="313" customFormat="1" ht="44">
      <c r="A635" s="140" t="s">
        <v>6</v>
      </c>
      <c r="B635" s="129">
        <v>633</v>
      </c>
      <c r="C635" s="141" t="s">
        <v>1121</v>
      </c>
      <c r="D635" s="129" t="s">
        <v>3115</v>
      </c>
      <c r="E635" s="314" t="s">
        <v>2369</v>
      </c>
      <c r="F635" s="169" t="s">
        <v>2370</v>
      </c>
      <c r="G635" s="242" t="s">
        <v>665</v>
      </c>
      <c r="H635" s="291" t="s">
        <v>597</v>
      </c>
      <c r="I635" s="242" t="s">
        <v>2371</v>
      </c>
      <c r="J635" s="291" t="s">
        <v>815</v>
      </c>
      <c r="K635" s="291" t="s">
        <v>815</v>
      </c>
      <c r="L635" s="310" t="s">
        <v>665</v>
      </c>
      <c r="M635" s="310" t="s">
        <v>665</v>
      </c>
      <c r="N635" s="291">
        <v>100</v>
      </c>
      <c r="O635" s="291" t="s">
        <v>665</v>
      </c>
      <c r="P635" s="291" t="s">
        <v>665</v>
      </c>
      <c r="Q635" s="310">
        <v>8</v>
      </c>
      <c r="R635" s="163">
        <v>11</v>
      </c>
      <c r="S635" s="163">
        <v>11</v>
      </c>
      <c r="T635" s="143">
        <v>1</v>
      </c>
      <c r="U635" s="291" t="s">
        <v>2363</v>
      </c>
      <c r="V635" s="291" t="s">
        <v>2364</v>
      </c>
      <c r="W635" s="141" t="s">
        <v>190</v>
      </c>
      <c r="X635" s="291" t="s">
        <v>665</v>
      </c>
      <c r="Y635" s="291" t="s">
        <v>2366</v>
      </c>
      <c r="Z635" s="160" t="s">
        <v>2367</v>
      </c>
      <c r="AA635" s="143">
        <v>1</v>
      </c>
      <c r="AB635" s="141" t="s">
        <v>190</v>
      </c>
      <c r="AC635" s="141" t="s">
        <v>190</v>
      </c>
      <c r="AD635" s="141" t="s">
        <v>190</v>
      </c>
      <c r="AE635" s="141" t="s">
        <v>930</v>
      </c>
      <c r="AF635" s="141">
        <v>0</v>
      </c>
      <c r="AG635" s="143">
        <v>0</v>
      </c>
      <c r="AH635" s="291">
        <v>1</v>
      </c>
      <c r="AI635" s="160" t="s">
        <v>665</v>
      </c>
      <c r="AJ635" s="256" t="s">
        <v>2372</v>
      </c>
      <c r="AK635" s="291"/>
      <c r="AL635" s="169" t="s">
        <v>665</v>
      </c>
      <c r="AM635" s="141"/>
      <c r="AN635" s="163" t="s">
        <v>677</v>
      </c>
      <c r="AO635" s="171"/>
      <c r="AP635" s="289"/>
      <c r="AQ635" s="289"/>
      <c r="AR635" s="289"/>
      <c r="AS635" s="289"/>
      <c r="AT635" s="289"/>
      <c r="AU635" s="289"/>
      <c r="AV635" s="289"/>
      <c r="AW635" s="315"/>
      <c r="AX635" s="166"/>
    </row>
    <row r="636" spans="1:57" s="167" customFormat="1" ht="58">
      <c r="A636" s="140" t="s">
        <v>6</v>
      </c>
      <c r="B636" s="129">
        <v>634</v>
      </c>
      <c r="C636" s="141" t="s">
        <v>1121</v>
      </c>
      <c r="D636" s="129" t="s">
        <v>3115</v>
      </c>
      <c r="E636" s="141" t="s">
        <v>1819</v>
      </c>
      <c r="F636" s="141" t="s">
        <v>1820</v>
      </c>
      <c r="G636" s="141" t="s">
        <v>804</v>
      </c>
      <c r="H636" s="143" t="s">
        <v>597</v>
      </c>
      <c r="I636" s="141" t="s">
        <v>1818</v>
      </c>
      <c r="J636" s="143" t="s">
        <v>843</v>
      </c>
      <c r="K636" s="143" t="s">
        <v>843</v>
      </c>
      <c r="L636" s="129" t="s">
        <v>804</v>
      </c>
      <c r="M636" s="129" t="s">
        <v>804</v>
      </c>
      <c r="N636" s="143">
        <v>100</v>
      </c>
      <c r="O636" s="143" t="s">
        <v>804</v>
      </c>
      <c r="P636" s="143" t="s">
        <v>804</v>
      </c>
      <c r="Q636" s="129">
        <v>8</v>
      </c>
      <c r="R636" s="163">
        <v>10</v>
      </c>
      <c r="S636" s="163">
        <v>9</v>
      </c>
      <c r="T636" s="143">
        <v>2</v>
      </c>
      <c r="U636" s="143" t="s">
        <v>802</v>
      </c>
      <c r="V636" s="143" t="s">
        <v>1802</v>
      </c>
      <c r="W636" s="141" t="s">
        <v>806</v>
      </c>
      <c r="X636" s="143" t="s">
        <v>804</v>
      </c>
      <c r="Y636" s="141" t="s">
        <v>1613</v>
      </c>
      <c r="Z636" s="141" t="s">
        <v>1589</v>
      </c>
      <c r="AA636" s="143">
        <v>1</v>
      </c>
      <c r="AB636" s="141" t="s">
        <v>806</v>
      </c>
      <c r="AC636" s="141" t="s">
        <v>806</v>
      </c>
      <c r="AD636" s="141" t="s">
        <v>806</v>
      </c>
      <c r="AE636" s="141" t="s">
        <v>1124</v>
      </c>
      <c r="AF636" s="141">
        <v>0</v>
      </c>
      <c r="AG636" s="143">
        <v>0</v>
      </c>
      <c r="AH636" s="143">
        <v>3</v>
      </c>
      <c r="AI636" s="143" t="s">
        <v>804</v>
      </c>
      <c r="AJ636" s="256" t="s">
        <v>2292</v>
      </c>
      <c r="AK636" s="141" t="s">
        <v>806</v>
      </c>
      <c r="AL636" s="141" t="s">
        <v>804</v>
      </c>
      <c r="AM636" s="163"/>
      <c r="AN636" s="163" t="s">
        <v>807</v>
      </c>
      <c r="AO636" s="163"/>
      <c r="AP636" s="163"/>
      <c r="AQ636" s="163"/>
      <c r="AR636" s="163"/>
      <c r="AS636" s="163"/>
      <c r="AT636" s="163"/>
      <c r="AU636" s="163"/>
      <c r="AV636" s="163"/>
      <c r="AW636" s="165"/>
      <c r="AX636" s="166"/>
    </row>
    <row r="637" spans="1:57" s="167" customFormat="1" ht="58">
      <c r="A637" s="140" t="s">
        <v>6</v>
      </c>
      <c r="B637" s="129">
        <v>635</v>
      </c>
      <c r="C637" s="141" t="s">
        <v>1121</v>
      </c>
      <c r="D637" s="129" t="s">
        <v>3128</v>
      </c>
      <c r="E637" s="169" t="s">
        <v>2297</v>
      </c>
      <c r="F637" s="141" t="s">
        <v>1821</v>
      </c>
      <c r="G637" s="141" t="s">
        <v>804</v>
      </c>
      <c r="H637" s="143" t="s">
        <v>597</v>
      </c>
      <c r="I637" s="141" t="s">
        <v>1818</v>
      </c>
      <c r="J637" s="143" t="s">
        <v>843</v>
      </c>
      <c r="K637" s="143" t="s">
        <v>843</v>
      </c>
      <c r="L637" s="129" t="s">
        <v>804</v>
      </c>
      <c r="M637" s="129" t="s">
        <v>804</v>
      </c>
      <c r="N637" s="143">
        <v>100</v>
      </c>
      <c r="O637" s="143" t="s">
        <v>804</v>
      </c>
      <c r="P637" s="143" t="s">
        <v>804</v>
      </c>
      <c r="Q637" s="129">
        <v>8</v>
      </c>
      <c r="R637" s="163">
        <v>23</v>
      </c>
      <c r="S637" s="163">
        <v>22</v>
      </c>
      <c r="T637" s="143">
        <v>2</v>
      </c>
      <c r="U637" s="143" t="s">
        <v>802</v>
      </c>
      <c r="V637" s="143" t="s">
        <v>1802</v>
      </c>
      <c r="W637" s="141" t="s">
        <v>806</v>
      </c>
      <c r="X637" s="143" t="s">
        <v>804</v>
      </c>
      <c r="Y637" s="141" t="s">
        <v>1613</v>
      </c>
      <c r="Z637" s="169" t="s">
        <v>2294</v>
      </c>
      <c r="AA637" s="143">
        <v>1</v>
      </c>
      <c r="AB637" s="141" t="s">
        <v>806</v>
      </c>
      <c r="AC637" s="141" t="s">
        <v>806</v>
      </c>
      <c r="AD637" s="141" t="s">
        <v>806</v>
      </c>
      <c r="AE637" s="141" t="s">
        <v>1124</v>
      </c>
      <c r="AF637" s="141">
        <v>0</v>
      </c>
      <c r="AG637" s="143">
        <v>0</v>
      </c>
      <c r="AH637" s="143">
        <v>3</v>
      </c>
      <c r="AI637" s="143" t="s">
        <v>804</v>
      </c>
      <c r="AJ637" s="256" t="s">
        <v>2293</v>
      </c>
      <c r="AK637" s="141" t="s">
        <v>806</v>
      </c>
      <c r="AL637" s="141" t="s">
        <v>1822</v>
      </c>
      <c r="AM637" s="141"/>
      <c r="AN637" s="163" t="s">
        <v>807</v>
      </c>
      <c r="AO637" s="170" t="s">
        <v>2296</v>
      </c>
      <c r="AP637" s="163"/>
      <c r="AQ637" s="163"/>
      <c r="AR637" s="163"/>
      <c r="AS637" s="163"/>
      <c r="AT637" s="163"/>
      <c r="AU637" s="163"/>
      <c r="AV637" s="163"/>
      <c r="AW637" s="165"/>
      <c r="AX637" s="166"/>
    </row>
    <row r="638" spans="1:57" s="424" customFormat="1" ht="25">
      <c r="A638" s="414" t="s">
        <v>6</v>
      </c>
      <c r="B638" s="415">
        <v>636</v>
      </c>
      <c r="C638" s="415" t="s">
        <v>1121</v>
      </c>
      <c r="D638" s="415" t="s">
        <v>3115</v>
      </c>
      <c r="E638" s="415" t="s">
        <v>1823</v>
      </c>
      <c r="F638" s="415" t="s">
        <v>1815</v>
      </c>
      <c r="G638" s="415" t="s">
        <v>804</v>
      </c>
      <c r="H638" s="418" t="s">
        <v>597</v>
      </c>
      <c r="I638" s="415" t="s">
        <v>1818</v>
      </c>
      <c r="J638" s="418" t="s">
        <v>843</v>
      </c>
      <c r="K638" s="418" t="s">
        <v>843</v>
      </c>
      <c r="L638" s="415" t="s">
        <v>804</v>
      </c>
      <c r="M638" s="415" t="s">
        <v>804</v>
      </c>
      <c r="N638" s="418">
        <v>100</v>
      </c>
      <c r="O638" s="418" t="s">
        <v>804</v>
      </c>
      <c r="P638" s="418" t="s">
        <v>804</v>
      </c>
      <c r="Q638" s="415">
        <v>8</v>
      </c>
      <c r="R638" s="418">
        <v>59</v>
      </c>
      <c r="S638" s="418">
        <v>56</v>
      </c>
      <c r="T638" s="418">
        <v>4</v>
      </c>
      <c r="U638" s="418" t="s">
        <v>802</v>
      </c>
      <c r="V638" s="418" t="s">
        <v>1802</v>
      </c>
      <c r="W638" s="415" t="s">
        <v>806</v>
      </c>
      <c r="X638" s="415" t="s">
        <v>806</v>
      </c>
      <c r="Y638" s="415" t="s">
        <v>1816</v>
      </c>
      <c r="Z638" s="415" t="s">
        <v>804</v>
      </c>
      <c r="AA638" s="415">
        <v>1</v>
      </c>
      <c r="AB638" s="415" t="s">
        <v>806</v>
      </c>
      <c r="AC638" s="415" t="s">
        <v>806</v>
      </c>
      <c r="AD638" s="415" t="s">
        <v>806</v>
      </c>
      <c r="AE638" s="415" t="s">
        <v>1124</v>
      </c>
      <c r="AF638" s="415">
        <v>0</v>
      </c>
      <c r="AG638" s="415">
        <v>0</v>
      </c>
      <c r="AH638" s="415">
        <v>15</v>
      </c>
      <c r="AI638" s="418" t="s">
        <v>804</v>
      </c>
      <c r="AJ638" s="420" t="s">
        <v>804</v>
      </c>
      <c r="AK638" s="415" t="s">
        <v>806</v>
      </c>
      <c r="AL638" s="415" t="s">
        <v>804</v>
      </c>
      <c r="AM638" s="415"/>
      <c r="AN638" s="418" t="s">
        <v>807</v>
      </c>
      <c r="AO638" s="418"/>
      <c r="AP638" s="418"/>
      <c r="AQ638" s="418"/>
      <c r="AR638" s="418"/>
      <c r="AS638" s="418"/>
      <c r="AT638" s="418"/>
      <c r="AU638" s="418"/>
      <c r="AV638" s="418"/>
      <c r="AW638" s="422"/>
      <c r="AX638" s="423"/>
    </row>
    <row r="639" spans="1:57" s="429" customFormat="1" ht="45">
      <c r="A639" s="414" t="s">
        <v>6</v>
      </c>
      <c r="B639" s="415">
        <v>637</v>
      </c>
      <c r="C639" s="415" t="s">
        <v>1121</v>
      </c>
      <c r="D639" s="426" t="s">
        <v>3130</v>
      </c>
      <c r="E639" s="417" t="s">
        <v>2307</v>
      </c>
      <c r="F639" s="415" t="s">
        <v>2308</v>
      </c>
      <c r="G639" s="426" t="s">
        <v>684</v>
      </c>
      <c r="H639" s="427" t="s">
        <v>2309</v>
      </c>
      <c r="I639" s="426" t="s">
        <v>2310</v>
      </c>
      <c r="J639" s="427" t="s">
        <v>1122</v>
      </c>
      <c r="K639" s="427" t="s">
        <v>1122</v>
      </c>
      <c r="L639" s="417" t="s">
        <v>2311</v>
      </c>
      <c r="M639" s="426" t="s">
        <v>684</v>
      </c>
      <c r="N639" s="426" t="s">
        <v>684</v>
      </c>
      <c r="O639" s="426" t="s">
        <v>2312</v>
      </c>
      <c r="P639" s="427" t="s">
        <v>684</v>
      </c>
      <c r="Q639" s="426">
        <v>8</v>
      </c>
      <c r="R639" s="427">
        <v>23</v>
      </c>
      <c r="S639" s="427">
        <v>19</v>
      </c>
      <c r="T639" s="415">
        <v>5</v>
      </c>
      <c r="U639" s="427" t="s">
        <v>713</v>
      </c>
      <c r="V639" s="427" t="s">
        <v>2313</v>
      </c>
      <c r="W639" s="415" t="s">
        <v>266</v>
      </c>
      <c r="X639" s="415" t="s">
        <v>266</v>
      </c>
      <c r="Y639" s="415" t="s">
        <v>2314</v>
      </c>
      <c r="Z639" s="415" t="s">
        <v>1666</v>
      </c>
      <c r="AA639" s="415">
        <v>1</v>
      </c>
      <c r="AB639" s="415" t="s">
        <v>684</v>
      </c>
      <c r="AC639" s="420" t="s">
        <v>684</v>
      </c>
      <c r="AD639" s="415" t="s">
        <v>684</v>
      </c>
      <c r="AE639" s="420" t="s">
        <v>684</v>
      </c>
      <c r="AF639" s="415">
        <v>0</v>
      </c>
      <c r="AG639" s="415">
        <v>0</v>
      </c>
      <c r="AH639" s="415">
        <v>31</v>
      </c>
      <c r="AI639" s="415" t="s">
        <v>669</v>
      </c>
      <c r="AJ639" s="428" t="s">
        <v>2374</v>
      </c>
      <c r="AK639" s="415"/>
      <c r="AL639" s="417" t="s">
        <v>2315</v>
      </c>
      <c r="AM639" s="415"/>
      <c r="AN639" s="417"/>
      <c r="AO639" s="427" t="s">
        <v>2325</v>
      </c>
      <c r="AP639" s="418"/>
      <c r="AQ639" s="418"/>
      <c r="AR639" s="418"/>
      <c r="AS639" s="418"/>
      <c r="AT639" s="418"/>
      <c r="AU639" s="418"/>
      <c r="AV639" s="418"/>
      <c r="AW639" s="422"/>
      <c r="AX639" s="423"/>
    </row>
    <row r="640" spans="1:57" s="429" customFormat="1" ht="45">
      <c r="A640" s="414" t="s">
        <v>6</v>
      </c>
      <c r="B640" s="415">
        <v>638</v>
      </c>
      <c r="C640" s="415" t="s">
        <v>1121</v>
      </c>
      <c r="D640" s="426" t="s">
        <v>3130</v>
      </c>
      <c r="E640" s="417" t="s">
        <v>2316</v>
      </c>
      <c r="F640" s="415" t="s">
        <v>2308</v>
      </c>
      <c r="G640" s="426" t="s">
        <v>684</v>
      </c>
      <c r="H640" s="427" t="s">
        <v>2309</v>
      </c>
      <c r="I640" s="426" t="s">
        <v>2310</v>
      </c>
      <c r="J640" s="427" t="s">
        <v>1122</v>
      </c>
      <c r="K640" s="427" t="s">
        <v>1122</v>
      </c>
      <c r="L640" s="417" t="s">
        <v>2311</v>
      </c>
      <c r="M640" s="426" t="s">
        <v>684</v>
      </c>
      <c r="N640" s="426" t="s">
        <v>684</v>
      </c>
      <c r="O640" s="426" t="s">
        <v>2312</v>
      </c>
      <c r="P640" s="427" t="s">
        <v>684</v>
      </c>
      <c r="Q640" s="426">
        <v>8</v>
      </c>
      <c r="R640" s="427">
        <v>31</v>
      </c>
      <c r="S640" s="427">
        <v>26</v>
      </c>
      <c r="T640" s="415">
        <v>6</v>
      </c>
      <c r="U640" s="427" t="s">
        <v>713</v>
      </c>
      <c r="V640" s="427" t="s">
        <v>2313</v>
      </c>
      <c r="W640" s="415" t="s">
        <v>266</v>
      </c>
      <c r="X640" s="415" t="s">
        <v>266</v>
      </c>
      <c r="Y640" s="415" t="s">
        <v>2317</v>
      </c>
      <c r="Z640" s="415" t="s">
        <v>1666</v>
      </c>
      <c r="AA640" s="415">
        <v>1</v>
      </c>
      <c r="AB640" s="415" t="s">
        <v>684</v>
      </c>
      <c r="AC640" s="420" t="s">
        <v>684</v>
      </c>
      <c r="AD640" s="415" t="s">
        <v>684</v>
      </c>
      <c r="AE640" s="420" t="s">
        <v>684</v>
      </c>
      <c r="AF640" s="415">
        <v>0</v>
      </c>
      <c r="AG640" s="415">
        <v>0</v>
      </c>
      <c r="AH640" s="415">
        <v>63</v>
      </c>
      <c r="AI640" s="415" t="s">
        <v>669</v>
      </c>
      <c r="AJ640" s="428" t="s">
        <v>2375</v>
      </c>
      <c r="AK640" s="415"/>
      <c r="AL640" s="417" t="s">
        <v>2315</v>
      </c>
      <c r="AM640" s="415"/>
      <c r="AN640" s="417"/>
      <c r="AO640" s="427" t="s">
        <v>2325</v>
      </c>
      <c r="AP640" s="418"/>
      <c r="AQ640" s="418"/>
      <c r="AR640" s="418"/>
      <c r="AS640" s="418"/>
      <c r="AT640" s="418"/>
      <c r="AU640" s="418"/>
      <c r="AV640" s="418"/>
      <c r="AW640" s="422"/>
      <c r="AX640" s="423"/>
    </row>
    <row r="641" spans="1:57" s="429" customFormat="1" ht="45">
      <c r="A641" s="414" t="s">
        <v>6</v>
      </c>
      <c r="B641" s="415">
        <v>639</v>
      </c>
      <c r="C641" s="415" t="s">
        <v>1121</v>
      </c>
      <c r="D641" s="426" t="s">
        <v>3130</v>
      </c>
      <c r="E641" s="417" t="s">
        <v>2318</v>
      </c>
      <c r="F641" s="415" t="s">
        <v>2308</v>
      </c>
      <c r="G641" s="426" t="s">
        <v>684</v>
      </c>
      <c r="H641" s="427" t="s">
        <v>2309</v>
      </c>
      <c r="I641" s="426" t="s">
        <v>2310</v>
      </c>
      <c r="J641" s="427" t="s">
        <v>1122</v>
      </c>
      <c r="K641" s="427" t="s">
        <v>1122</v>
      </c>
      <c r="L641" s="417" t="s">
        <v>2311</v>
      </c>
      <c r="M641" s="426" t="s">
        <v>684</v>
      </c>
      <c r="N641" s="426" t="s">
        <v>684</v>
      </c>
      <c r="O641" s="426" t="s">
        <v>2312</v>
      </c>
      <c r="P641" s="427" t="s">
        <v>684</v>
      </c>
      <c r="Q641" s="426">
        <v>8</v>
      </c>
      <c r="R641" s="427">
        <v>37</v>
      </c>
      <c r="S641" s="427">
        <v>32</v>
      </c>
      <c r="T641" s="415">
        <v>6</v>
      </c>
      <c r="U641" s="427" t="s">
        <v>713</v>
      </c>
      <c r="V641" s="427" t="s">
        <v>2313</v>
      </c>
      <c r="W641" s="415" t="s">
        <v>266</v>
      </c>
      <c r="X641" s="415" t="s">
        <v>266</v>
      </c>
      <c r="Y641" s="415" t="s">
        <v>2317</v>
      </c>
      <c r="Z641" s="415" t="s">
        <v>2317</v>
      </c>
      <c r="AA641" s="415">
        <v>1</v>
      </c>
      <c r="AB641" s="415" t="s">
        <v>684</v>
      </c>
      <c r="AC641" s="420" t="s">
        <v>684</v>
      </c>
      <c r="AD641" s="415" t="s">
        <v>684</v>
      </c>
      <c r="AE641" s="420" t="s">
        <v>684</v>
      </c>
      <c r="AF641" s="415">
        <v>0</v>
      </c>
      <c r="AG641" s="415">
        <v>0</v>
      </c>
      <c r="AH641" s="415">
        <v>63</v>
      </c>
      <c r="AI641" s="415" t="s">
        <v>669</v>
      </c>
      <c r="AJ641" s="428" t="s">
        <v>2376</v>
      </c>
      <c r="AK641" s="415"/>
      <c r="AL641" s="417" t="s">
        <v>2315</v>
      </c>
      <c r="AM641" s="415"/>
      <c r="AN641" s="417"/>
      <c r="AO641" s="427" t="s">
        <v>2325</v>
      </c>
      <c r="AP641" s="418"/>
      <c r="AQ641" s="418"/>
      <c r="AR641" s="418"/>
      <c r="AS641" s="418"/>
      <c r="AT641" s="418"/>
      <c r="AU641" s="418"/>
      <c r="AV641" s="418"/>
      <c r="AW641" s="422"/>
      <c r="AX641" s="423"/>
    </row>
    <row r="642" spans="1:57" s="429" customFormat="1" ht="45">
      <c r="A642" s="414" t="s">
        <v>6</v>
      </c>
      <c r="B642" s="415">
        <v>640</v>
      </c>
      <c r="C642" s="415" t="s">
        <v>1121</v>
      </c>
      <c r="D642" s="426" t="s">
        <v>3130</v>
      </c>
      <c r="E642" s="417" t="s">
        <v>2319</v>
      </c>
      <c r="F642" s="415" t="s">
        <v>2308</v>
      </c>
      <c r="G642" s="426" t="s">
        <v>684</v>
      </c>
      <c r="H642" s="427" t="s">
        <v>2309</v>
      </c>
      <c r="I642" s="426" t="s">
        <v>2310</v>
      </c>
      <c r="J642" s="427" t="s">
        <v>1122</v>
      </c>
      <c r="K642" s="427" t="s">
        <v>1122</v>
      </c>
      <c r="L642" s="417" t="s">
        <v>2311</v>
      </c>
      <c r="M642" s="426" t="s">
        <v>684</v>
      </c>
      <c r="N642" s="426" t="s">
        <v>684</v>
      </c>
      <c r="O642" s="426" t="s">
        <v>2312</v>
      </c>
      <c r="P642" s="427" t="s">
        <v>684</v>
      </c>
      <c r="Q642" s="426">
        <v>8</v>
      </c>
      <c r="R642" s="427">
        <v>47</v>
      </c>
      <c r="S642" s="427">
        <v>44</v>
      </c>
      <c r="T642" s="415">
        <v>4</v>
      </c>
      <c r="U642" s="427" t="s">
        <v>713</v>
      </c>
      <c r="V642" s="427" t="s">
        <v>2313</v>
      </c>
      <c r="W642" s="415" t="s">
        <v>266</v>
      </c>
      <c r="X642" s="415" t="s">
        <v>266</v>
      </c>
      <c r="Y642" s="415" t="s">
        <v>2320</v>
      </c>
      <c r="Z642" s="415" t="s">
        <v>2320</v>
      </c>
      <c r="AA642" s="415">
        <v>1</v>
      </c>
      <c r="AB642" s="415" t="s">
        <v>684</v>
      </c>
      <c r="AC642" s="420" t="s">
        <v>684</v>
      </c>
      <c r="AD642" s="415" t="s">
        <v>684</v>
      </c>
      <c r="AE642" s="420" t="s">
        <v>684</v>
      </c>
      <c r="AF642" s="415">
        <v>0</v>
      </c>
      <c r="AG642" s="415">
        <v>0</v>
      </c>
      <c r="AH642" s="415">
        <v>15</v>
      </c>
      <c r="AI642" s="415" t="s">
        <v>669</v>
      </c>
      <c r="AJ642" s="428" t="s">
        <v>2377</v>
      </c>
      <c r="AK642" s="415"/>
      <c r="AL642" s="417" t="s">
        <v>2315</v>
      </c>
      <c r="AM642" s="415"/>
      <c r="AN642" s="417"/>
      <c r="AO642" s="427" t="s">
        <v>2325</v>
      </c>
      <c r="AP642" s="418"/>
      <c r="AQ642" s="418"/>
      <c r="AR642" s="418"/>
      <c r="AS642" s="418"/>
      <c r="AT642" s="418"/>
      <c r="AU642" s="418"/>
      <c r="AV642" s="418"/>
      <c r="AW642" s="422"/>
      <c r="AX642" s="423"/>
    </row>
    <row r="643" spans="1:57" s="424" customFormat="1" ht="45">
      <c r="A643" s="414" t="s">
        <v>6</v>
      </c>
      <c r="B643" s="415">
        <v>641</v>
      </c>
      <c r="C643" s="415" t="s">
        <v>1121</v>
      </c>
      <c r="D643" s="426" t="s">
        <v>3130</v>
      </c>
      <c r="E643" s="417" t="s">
        <v>2321</v>
      </c>
      <c r="F643" s="415" t="s">
        <v>2308</v>
      </c>
      <c r="G643" s="426" t="s">
        <v>684</v>
      </c>
      <c r="H643" s="427" t="s">
        <v>2309</v>
      </c>
      <c r="I643" s="426" t="s">
        <v>2310</v>
      </c>
      <c r="J643" s="427" t="s">
        <v>1122</v>
      </c>
      <c r="K643" s="427" t="s">
        <v>1122</v>
      </c>
      <c r="L643" s="417" t="s">
        <v>2311</v>
      </c>
      <c r="M643" s="426" t="s">
        <v>684</v>
      </c>
      <c r="N643" s="426" t="s">
        <v>684</v>
      </c>
      <c r="O643" s="426" t="s">
        <v>2312</v>
      </c>
      <c r="P643" s="427" t="s">
        <v>684</v>
      </c>
      <c r="Q643" s="426">
        <v>8</v>
      </c>
      <c r="R643" s="427">
        <v>43</v>
      </c>
      <c r="S643" s="427">
        <v>40</v>
      </c>
      <c r="T643" s="415">
        <v>4</v>
      </c>
      <c r="U643" s="427" t="s">
        <v>713</v>
      </c>
      <c r="V643" s="427" t="s">
        <v>2313</v>
      </c>
      <c r="W643" s="415" t="s">
        <v>266</v>
      </c>
      <c r="X643" s="415" t="s">
        <v>266</v>
      </c>
      <c r="Y643" s="415" t="s">
        <v>2320</v>
      </c>
      <c r="Z643" s="415" t="s">
        <v>2320</v>
      </c>
      <c r="AA643" s="415">
        <v>1</v>
      </c>
      <c r="AB643" s="415" t="s">
        <v>684</v>
      </c>
      <c r="AC643" s="420" t="s">
        <v>684</v>
      </c>
      <c r="AD643" s="415" t="s">
        <v>684</v>
      </c>
      <c r="AE643" s="420" t="s">
        <v>684</v>
      </c>
      <c r="AF643" s="415">
        <v>0</v>
      </c>
      <c r="AG643" s="415">
        <v>0</v>
      </c>
      <c r="AH643" s="415">
        <v>15</v>
      </c>
      <c r="AI643" s="415" t="s">
        <v>669</v>
      </c>
      <c r="AJ643" s="428" t="s">
        <v>2378</v>
      </c>
      <c r="AK643" s="415"/>
      <c r="AL643" s="417" t="s">
        <v>2315</v>
      </c>
      <c r="AM643" s="415"/>
      <c r="AN643" s="417"/>
      <c r="AO643" s="427" t="s">
        <v>2325</v>
      </c>
      <c r="AP643" s="418"/>
      <c r="AQ643" s="418"/>
      <c r="AR643" s="418"/>
      <c r="AS643" s="418"/>
      <c r="AT643" s="418"/>
      <c r="AU643" s="418"/>
      <c r="AV643" s="418"/>
      <c r="AW643" s="422"/>
      <c r="AX643" s="423"/>
    </row>
    <row r="644" spans="1:57" s="424" customFormat="1" ht="45">
      <c r="A644" s="414" t="s">
        <v>6</v>
      </c>
      <c r="B644" s="415">
        <v>642</v>
      </c>
      <c r="C644" s="415" t="s">
        <v>1121</v>
      </c>
      <c r="D644" s="426" t="s">
        <v>3130</v>
      </c>
      <c r="E644" s="417" t="s">
        <v>2322</v>
      </c>
      <c r="F644" s="415" t="s">
        <v>2308</v>
      </c>
      <c r="G644" s="426" t="s">
        <v>684</v>
      </c>
      <c r="H644" s="427" t="s">
        <v>2309</v>
      </c>
      <c r="I644" s="426" t="s">
        <v>2310</v>
      </c>
      <c r="J644" s="427" t="s">
        <v>1122</v>
      </c>
      <c r="K644" s="427" t="s">
        <v>1122</v>
      </c>
      <c r="L644" s="417" t="s">
        <v>2311</v>
      </c>
      <c r="M644" s="426" t="s">
        <v>684</v>
      </c>
      <c r="N644" s="426" t="s">
        <v>684</v>
      </c>
      <c r="O644" s="426" t="s">
        <v>2312</v>
      </c>
      <c r="P644" s="427" t="s">
        <v>684</v>
      </c>
      <c r="Q644" s="426">
        <v>8</v>
      </c>
      <c r="R644" s="427">
        <v>51</v>
      </c>
      <c r="S644" s="427">
        <v>48</v>
      </c>
      <c r="T644" s="415">
        <v>4</v>
      </c>
      <c r="U644" s="427" t="s">
        <v>713</v>
      </c>
      <c r="V644" s="427" t="s">
        <v>2313</v>
      </c>
      <c r="W644" s="415" t="s">
        <v>266</v>
      </c>
      <c r="X644" s="415" t="s">
        <v>266</v>
      </c>
      <c r="Y644" s="415" t="s">
        <v>2320</v>
      </c>
      <c r="Z644" s="415" t="s">
        <v>2320</v>
      </c>
      <c r="AA644" s="415">
        <v>1</v>
      </c>
      <c r="AB644" s="415" t="s">
        <v>684</v>
      </c>
      <c r="AC644" s="420" t="s">
        <v>684</v>
      </c>
      <c r="AD644" s="415" t="s">
        <v>684</v>
      </c>
      <c r="AE644" s="420" t="s">
        <v>684</v>
      </c>
      <c r="AF644" s="415">
        <v>0</v>
      </c>
      <c r="AG644" s="415">
        <v>0</v>
      </c>
      <c r="AH644" s="415">
        <v>15</v>
      </c>
      <c r="AI644" s="415" t="s">
        <v>669</v>
      </c>
      <c r="AJ644" s="428" t="s">
        <v>2379</v>
      </c>
      <c r="AK644" s="415"/>
      <c r="AL644" s="417" t="s">
        <v>2315</v>
      </c>
      <c r="AM644" s="415"/>
      <c r="AN644" s="417"/>
      <c r="AO644" s="427" t="s">
        <v>2325</v>
      </c>
      <c r="AP644" s="418"/>
      <c r="AQ644" s="418"/>
      <c r="AR644" s="418"/>
      <c r="AS644" s="418"/>
      <c r="AT644" s="418"/>
      <c r="AU644" s="418"/>
      <c r="AV644" s="418"/>
      <c r="AW644" s="422"/>
      <c r="AX644" s="423"/>
    </row>
    <row r="645" spans="1:57" s="424" customFormat="1" ht="46" thickBot="1">
      <c r="A645" s="414" t="s">
        <v>6</v>
      </c>
      <c r="B645" s="415">
        <v>643</v>
      </c>
      <c r="C645" s="430" t="s">
        <v>1121</v>
      </c>
      <c r="D645" s="431" t="s">
        <v>3130</v>
      </c>
      <c r="E645" s="432" t="s">
        <v>2323</v>
      </c>
      <c r="F645" s="430" t="s">
        <v>2308</v>
      </c>
      <c r="G645" s="431" t="s">
        <v>684</v>
      </c>
      <c r="H645" s="433" t="s">
        <v>2309</v>
      </c>
      <c r="I645" s="431" t="s">
        <v>2310</v>
      </c>
      <c r="J645" s="433" t="s">
        <v>1122</v>
      </c>
      <c r="K645" s="433" t="s">
        <v>1122</v>
      </c>
      <c r="L645" s="432" t="s">
        <v>2311</v>
      </c>
      <c r="M645" s="431" t="s">
        <v>684</v>
      </c>
      <c r="N645" s="431" t="s">
        <v>684</v>
      </c>
      <c r="O645" s="431" t="s">
        <v>2312</v>
      </c>
      <c r="P645" s="433" t="s">
        <v>684</v>
      </c>
      <c r="Q645" s="431">
        <v>8</v>
      </c>
      <c r="R645" s="433">
        <v>60</v>
      </c>
      <c r="S645" s="433">
        <v>56</v>
      </c>
      <c r="T645" s="430">
        <v>5</v>
      </c>
      <c r="U645" s="433" t="s">
        <v>713</v>
      </c>
      <c r="V645" s="433" t="s">
        <v>2313</v>
      </c>
      <c r="W645" s="430" t="s">
        <v>266</v>
      </c>
      <c r="X645" s="430" t="s">
        <v>266</v>
      </c>
      <c r="Y645" s="430" t="s">
        <v>2324</v>
      </c>
      <c r="Z645" s="430" t="s">
        <v>2324</v>
      </c>
      <c r="AA645" s="430">
        <v>1</v>
      </c>
      <c r="AB645" s="430" t="s">
        <v>684</v>
      </c>
      <c r="AC645" s="434" t="s">
        <v>684</v>
      </c>
      <c r="AD645" s="430" t="s">
        <v>684</v>
      </c>
      <c r="AE645" s="434" t="s">
        <v>684</v>
      </c>
      <c r="AF645" s="430">
        <v>0</v>
      </c>
      <c r="AG645" s="430">
        <v>0</v>
      </c>
      <c r="AH645" s="430">
        <v>31</v>
      </c>
      <c r="AI645" s="430" t="s">
        <v>669</v>
      </c>
      <c r="AJ645" s="435" t="s">
        <v>2380</v>
      </c>
      <c r="AK645" s="436"/>
      <c r="AL645" s="432" t="s">
        <v>2315</v>
      </c>
      <c r="AM645" s="430"/>
      <c r="AN645" s="432"/>
      <c r="AO645" s="433" t="s">
        <v>2325</v>
      </c>
      <c r="AP645" s="437"/>
      <c r="AQ645" s="437"/>
      <c r="AR645" s="437"/>
      <c r="AS645" s="437"/>
      <c r="AT645" s="437"/>
      <c r="AU645" s="437"/>
      <c r="AV645" s="437"/>
      <c r="AW645" s="438"/>
      <c r="AX645" s="439"/>
    </row>
    <row r="646" spans="1:57" s="424" customFormat="1" ht="25">
      <c r="A646" s="440"/>
    </row>
    <row r="647" spans="1:57" s="424" customFormat="1" ht="25">
      <c r="A647" s="440"/>
    </row>
    <row r="648" spans="1:57" s="441" customFormat="1" ht="25">
      <c r="A648" s="440"/>
      <c r="B648" s="424"/>
      <c r="C648" s="424"/>
      <c r="D648" s="424"/>
      <c r="AN648" s="442"/>
      <c r="AO648" s="442"/>
      <c r="AP648" s="442"/>
      <c r="AQ648" s="442"/>
      <c r="AR648" s="442"/>
      <c r="AS648" s="442"/>
      <c r="AT648" s="442"/>
      <c r="AU648" s="442"/>
      <c r="AV648" s="442"/>
      <c r="AW648" s="442"/>
      <c r="AX648" s="442"/>
      <c r="AY648" s="442"/>
      <c r="AZ648" s="442"/>
      <c r="BA648" s="442"/>
      <c r="BB648" s="442"/>
      <c r="BC648" s="442"/>
      <c r="BD648" s="442"/>
      <c r="BE648" s="442"/>
    </row>
    <row r="649" spans="1:57" s="441" customFormat="1" ht="25">
      <c r="A649" s="440"/>
      <c r="AN649" s="442"/>
      <c r="AO649" s="442"/>
      <c r="AP649" s="442"/>
      <c r="AQ649" s="442"/>
      <c r="AR649" s="442"/>
      <c r="AS649" s="442"/>
      <c r="AT649" s="442"/>
      <c r="AU649" s="442"/>
      <c r="AV649" s="442"/>
      <c r="AW649" s="442"/>
      <c r="AX649" s="442"/>
      <c r="AY649" s="442"/>
      <c r="AZ649" s="442"/>
      <c r="BA649" s="442"/>
      <c r="BB649" s="442"/>
      <c r="BC649" s="442"/>
      <c r="BD649" s="442"/>
      <c r="BE649" s="442"/>
    </row>
    <row r="650" spans="1:57" s="441" customFormat="1" ht="25">
      <c r="A650" s="440"/>
      <c r="AN650" s="442"/>
      <c r="AO650" s="442"/>
      <c r="AP650" s="442"/>
      <c r="AQ650" s="442"/>
      <c r="AR650" s="442"/>
      <c r="AS650" s="442"/>
      <c r="AT650" s="442"/>
      <c r="AU650" s="442"/>
      <c r="AV650" s="442"/>
      <c r="AW650" s="442"/>
      <c r="AX650" s="442"/>
      <c r="AY650" s="442"/>
      <c r="AZ650" s="442"/>
      <c r="BA650" s="442"/>
      <c r="BB650" s="442"/>
      <c r="BC650" s="442"/>
      <c r="BD650" s="442"/>
      <c r="BE650" s="442"/>
    </row>
    <row r="651" spans="1:57" s="441" customFormat="1" ht="25">
      <c r="A651" s="440"/>
      <c r="AN651" s="442"/>
      <c r="AO651" s="442"/>
      <c r="AP651" s="442"/>
      <c r="AQ651" s="442"/>
      <c r="AR651" s="442"/>
      <c r="AS651" s="442"/>
      <c r="AT651" s="442"/>
      <c r="AU651" s="442"/>
      <c r="AV651" s="442"/>
      <c r="AW651" s="442"/>
      <c r="AX651" s="442"/>
      <c r="AY651" s="442"/>
      <c r="AZ651" s="442"/>
      <c r="BA651" s="442"/>
      <c r="BB651" s="442"/>
      <c r="BC651" s="442"/>
      <c r="BD651" s="442"/>
      <c r="BE651" s="442"/>
    </row>
    <row r="652" spans="1:57" s="441" customFormat="1" ht="25">
      <c r="A652" s="440"/>
      <c r="AN652" s="442"/>
      <c r="AO652" s="442"/>
      <c r="AP652" s="442"/>
      <c r="AQ652" s="442"/>
      <c r="AR652" s="442"/>
      <c r="AS652" s="442"/>
      <c r="AT652" s="442"/>
      <c r="AU652" s="442"/>
      <c r="AV652" s="442"/>
      <c r="AW652" s="442"/>
      <c r="AX652" s="442"/>
      <c r="AY652" s="442"/>
      <c r="AZ652" s="442"/>
      <c r="BA652" s="442"/>
      <c r="BB652" s="442"/>
      <c r="BC652" s="442"/>
      <c r="BD652" s="442"/>
      <c r="BE652" s="442"/>
    </row>
    <row r="653" spans="1:57" s="441" customFormat="1" ht="25">
      <c r="A653" s="440"/>
      <c r="AN653" s="442"/>
      <c r="AO653" s="442"/>
      <c r="AP653" s="442"/>
      <c r="AQ653" s="442"/>
      <c r="AR653" s="442"/>
      <c r="AS653" s="442"/>
      <c r="AT653" s="442"/>
      <c r="AU653" s="442"/>
      <c r="AV653" s="442"/>
      <c r="AW653" s="442"/>
      <c r="AX653" s="442"/>
      <c r="AY653" s="442"/>
      <c r="AZ653" s="442"/>
      <c r="BA653" s="442"/>
      <c r="BB653" s="442"/>
      <c r="BC653" s="442"/>
      <c r="BD653" s="442"/>
      <c r="BE653" s="442"/>
    </row>
    <row r="654" spans="1:57" s="441" customFormat="1" ht="25">
      <c r="A654" s="440"/>
      <c r="E654" s="443"/>
      <c r="F654" s="443"/>
      <c r="G654" s="443"/>
      <c r="H654" s="424"/>
      <c r="I654" s="443"/>
      <c r="J654" s="424"/>
      <c r="K654" s="424"/>
      <c r="L654" s="443"/>
      <c r="M654" s="443"/>
      <c r="N654" s="424"/>
      <c r="O654" s="424"/>
      <c r="P654" s="424"/>
      <c r="Q654" s="443"/>
      <c r="R654" s="424"/>
      <c r="S654" s="424"/>
      <c r="T654" s="424"/>
      <c r="U654" s="424"/>
      <c r="V654" s="424"/>
      <c r="W654" s="443"/>
      <c r="X654" s="443"/>
      <c r="Y654" s="443"/>
      <c r="Z654" s="443"/>
      <c r="AA654" s="443"/>
      <c r="AB654" s="443"/>
      <c r="AC654" s="443"/>
      <c r="AD654" s="443"/>
      <c r="AE654" s="443"/>
      <c r="AF654" s="443"/>
      <c r="AG654" s="443"/>
      <c r="AH654" s="443"/>
      <c r="AI654" s="424"/>
      <c r="AJ654" s="444"/>
      <c r="AK654" s="443"/>
      <c r="AL654" s="443"/>
      <c r="AM654" s="443"/>
      <c r="AN654" s="442"/>
      <c r="AO654" s="442"/>
      <c r="AP654" s="442"/>
      <c r="AQ654" s="442"/>
      <c r="AR654" s="442"/>
      <c r="AS654" s="442"/>
      <c r="AT654" s="442"/>
      <c r="AU654" s="442"/>
      <c r="AV654" s="442"/>
      <c r="AW654" s="442"/>
      <c r="AX654" s="442"/>
      <c r="AY654" s="442"/>
      <c r="AZ654" s="442"/>
      <c r="BA654" s="442"/>
      <c r="BB654" s="442"/>
      <c r="BC654" s="442"/>
      <c r="BD654" s="442"/>
      <c r="BE654" s="442"/>
    </row>
    <row r="655" spans="1:57" s="441" customFormat="1" ht="25">
      <c r="A655" s="440"/>
      <c r="B655" s="443"/>
      <c r="C655" s="443"/>
      <c r="D655" s="443"/>
      <c r="E655" s="443"/>
      <c r="F655" s="443"/>
      <c r="G655" s="443"/>
      <c r="H655" s="424"/>
      <c r="I655" s="443"/>
      <c r="J655" s="424"/>
      <c r="K655" s="424"/>
      <c r="L655" s="443"/>
      <c r="M655" s="443"/>
      <c r="N655" s="424"/>
      <c r="O655" s="424"/>
      <c r="P655" s="424"/>
      <c r="Q655" s="443"/>
      <c r="R655" s="424"/>
      <c r="S655" s="424"/>
      <c r="T655" s="424"/>
      <c r="U655" s="424"/>
      <c r="V655" s="424"/>
      <c r="W655" s="443"/>
      <c r="X655" s="443"/>
      <c r="Y655" s="443"/>
      <c r="Z655" s="443"/>
      <c r="AA655" s="443"/>
      <c r="AB655" s="443"/>
      <c r="AC655" s="443"/>
      <c r="AD655" s="443"/>
      <c r="AE655" s="443"/>
      <c r="AF655" s="443"/>
      <c r="AG655" s="443"/>
      <c r="AH655" s="443"/>
      <c r="AI655" s="424"/>
      <c r="AJ655" s="444"/>
      <c r="AK655" s="443"/>
      <c r="AL655" s="443"/>
      <c r="AM655" s="443"/>
      <c r="AN655" s="442"/>
      <c r="AO655" s="442"/>
      <c r="AP655" s="442"/>
      <c r="AQ655" s="442"/>
      <c r="AR655" s="442"/>
      <c r="AS655" s="442"/>
      <c r="AT655" s="442"/>
      <c r="AU655" s="442"/>
      <c r="AV655" s="442"/>
      <c r="AW655" s="442"/>
      <c r="AX655" s="442"/>
      <c r="AY655" s="442"/>
      <c r="AZ655" s="442"/>
      <c r="BA655" s="442"/>
      <c r="BB655" s="442"/>
      <c r="BC655" s="442"/>
      <c r="BD655" s="442"/>
      <c r="BE655" s="442"/>
    </row>
    <row r="656" spans="1:57" s="441" customFormat="1" ht="24">
      <c r="B656" s="443"/>
      <c r="C656" s="443"/>
      <c r="D656" s="443"/>
      <c r="E656" s="445"/>
      <c r="F656" s="442"/>
      <c r="G656" s="442"/>
      <c r="H656" s="442"/>
      <c r="I656" s="442"/>
      <c r="J656" s="442"/>
      <c r="K656" s="442"/>
      <c r="L656" s="442"/>
      <c r="M656" s="442"/>
      <c r="N656" s="442"/>
      <c r="O656" s="442"/>
      <c r="P656" s="442"/>
      <c r="Q656" s="442"/>
      <c r="R656" s="442"/>
      <c r="S656" s="442"/>
      <c r="T656" s="442"/>
      <c r="U656" s="442"/>
      <c r="Y656" s="442"/>
      <c r="Z656" s="442"/>
      <c r="AA656" s="442"/>
      <c r="AB656" s="442"/>
      <c r="AC656" s="442"/>
      <c r="AD656" s="442"/>
      <c r="AE656" s="442"/>
      <c r="AF656" s="442"/>
      <c r="AG656" s="442"/>
      <c r="AH656" s="442"/>
      <c r="AI656" s="442"/>
      <c r="AJ656" s="446"/>
      <c r="AM656" s="442"/>
      <c r="AN656" s="442"/>
      <c r="AO656" s="442"/>
      <c r="AP656" s="442"/>
      <c r="AQ656" s="442"/>
      <c r="AR656" s="442"/>
      <c r="AS656" s="442"/>
      <c r="AT656" s="442"/>
      <c r="AU656" s="442"/>
      <c r="AV656" s="442"/>
      <c r="AW656" s="442"/>
      <c r="AX656" s="442"/>
      <c r="AY656" s="442"/>
      <c r="AZ656" s="442"/>
      <c r="BA656" s="442"/>
      <c r="BB656" s="442"/>
      <c r="BC656" s="442"/>
      <c r="BD656" s="442"/>
      <c r="BE656" s="442"/>
    </row>
    <row r="657" spans="1:57" s="441" customFormat="1" ht="23">
      <c r="B657" s="442"/>
      <c r="C657" s="442"/>
      <c r="D657" s="442"/>
      <c r="E657" s="442"/>
      <c r="F657" s="442"/>
      <c r="G657" s="442"/>
      <c r="H657" s="442"/>
      <c r="I657" s="442"/>
      <c r="J657" s="442"/>
      <c r="K657" s="442"/>
      <c r="L657" s="442"/>
      <c r="M657" s="442"/>
      <c r="N657" s="442"/>
      <c r="O657" s="442"/>
      <c r="P657" s="442"/>
      <c r="Q657" s="442"/>
      <c r="R657" s="442"/>
      <c r="S657" s="442"/>
      <c r="T657" s="442"/>
      <c r="U657" s="442"/>
      <c r="Y657" s="442"/>
      <c r="Z657" s="442"/>
      <c r="AA657" s="442"/>
      <c r="AB657" s="442"/>
      <c r="AC657" s="442"/>
      <c r="AD657" s="442"/>
      <c r="AE657" s="442"/>
      <c r="AF657" s="442"/>
      <c r="AG657" s="442"/>
      <c r="AH657" s="442"/>
      <c r="AI657" s="442"/>
      <c r="AJ657" s="446"/>
      <c r="AM657" s="442"/>
      <c r="AN657" s="442"/>
      <c r="AO657" s="442"/>
      <c r="AP657" s="442"/>
      <c r="AQ657" s="442"/>
      <c r="AR657" s="442"/>
      <c r="AS657" s="442"/>
      <c r="AT657" s="442"/>
      <c r="AU657" s="442"/>
      <c r="AV657" s="442"/>
      <c r="AW657" s="442"/>
      <c r="AX657" s="442"/>
      <c r="AY657" s="442"/>
      <c r="AZ657" s="442"/>
      <c r="BA657" s="442"/>
      <c r="BB657" s="442"/>
      <c r="BC657" s="442"/>
      <c r="BD657" s="442"/>
      <c r="BE657" s="442"/>
    </row>
    <row r="658" spans="1:57" s="441" customFormat="1" ht="23">
      <c r="B658" s="442"/>
      <c r="C658" s="442"/>
      <c r="D658" s="442"/>
      <c r="E658" s="442"/>
      <c r="F658" s="442"/>
      <c r="G658" s="424"/>
      <c r="H658" s="442"/>
      <c r="I658" s="442"/>
      <c r="J658" s="442"/>
      <c r="K658" s="442"/>
      <c r="L658" s="442"/>
      <c r="M658" s="442"/>
      <c r="N658" s="442"/>
      <c r="O658" s="442"/>
      <c r="P658" s="442"/>
      <c r="Q658" s="442"/>
      <c r="R658" s="442"/>
      <c r="S658" s="442"/>
      <c r="T658" s="442"/>
      <c r="U658" s="442"/>
      <c r="Y658" s="442"/>
      <c r="Z658" s="442"/>
      <c r="AA658" s="442"/>
      <c r="AB658" s="442"/>
      <c r="AC658" s="442"/>
      <c r="AD658" s="442"/>
      <c r="AE658" s="442"/>
      <c r="AF658" s="442"/>
      <c r="AG658" s="442"/>
      <c r="AH658" s="442"/>
      <c r="AI658" s="442"/>
      <c r="AJ658" s="446"/>
      <c r="AM658" s="442"/>
      <c r="AN658" s="442"/>
      <c r="AO658" s="442"/>
      <c r="AP658" s="442"/>
      <c r="AQ658" s="442"/>
      <c r="AR658" s="442"/>
      <c r="AS658" s="442"/>
      <c r="AT658" s="442"/>
      <c r="AU658" s="442"/>
      <c r="AV658" s="442"/>
      <c r="AW658" s="442"/>
      <c r="AX658" s="442"/>
      <c r="AY658" s="442"/>
      <c r="AZ658" s="442"/>
      <c r="BA658" s="442"/>
      <c r="BB658" s="442"/>
      <c r="BC658" s="442"/>
      <c r="BD658" s="442"/>
      <c r="BE658" s="442"/>
    </row>
    <row r="659" spans="1:57" s="441" customFormat="1" ht="23">
      <c r="B659" s="442"/>
      <c r="C659" s="442"/>
      <c r="D659" s="442"/>
      <c r="E659" s="442"/>
      <c r="F659" s="442"/>
      <c r="G659" s="424"/>
      <c r="H659" s="442"/>
      <c r="I659" s="442"/>
      <c r="J659" s="442"/>
      <c r="K659" s="442"/>
      <c r="L659" s="442"/>
      <c r="M659" s="442"/>
      <c r="N659" s="442"/>
      <c r="O659" s="442"/>
      <c r="P659" s="442"/>
      <c r="Q659" s="442"/>
      <c r="R659" s="442"/>
      <c r="S659" s="442"/>
      <c r="T659" s="442"/>
      <c r="U659" s="442"/>
      <c r="Y659" s="442"/>
      <c r="Z659" s="442"/>
      <c r="AA659" s="442"/>
      <c r="AB659" s="442"/>
      <c r="AC659" s="442"/>
      <c r="AD659" s="442"/>
      <c r="AE659" s="442"/>
      <c r="AF659" s="442"/>
      <c r="AG659" s="442"/>
      <c r="AH659" s="442"/>
      <c r="AI659" s="442"/>
      <c r="AJ659" s="446"/>
      <c r="AM659" s="442"/>
      <c r="AN659" s="442"/>
      <c r="AO659" s="442"/>
      <c r="AP659" s="442"/>
      <c r="AQ659" s="442"/>
      <c r="AR659" s="442"/>
      <c r="AS659" s="442"/>
      <c r="AT659" s="442"/>
      <c r="AU659" s="442"/>
      <c r="AV659" s="442"/>
      <c r="AW659" s="442"/>
      <c r="AX659" s="442"/>
      <c r="AY659" s="442"/>
      <c r="AZ659" s="442"/>
      <c r="BA659" s="442"/>
      <c r="BB659" s="442"/>
      <c r="BC659" s="442"/>
      <c r="BD659" s="442"/>
      <c r="BE659" s="442"/>
    </row>
    <row r="660" spans="1:57" s="441" customFormat="1" ht="23">
      <c r="B660" s="442"/>
      <c r="C660" s="442"/>
      <c r="D660" s="442"/>
      <c r="E660" s="442"/>
      <c r="F660" s="442"/>
      <c r="G660" s="424"/>
      <c r="H660" s="442"/>
      <c r="I660" s="442"/>
      <c r="J660" s="442"/>
      <c r="K660" s="442"/>
      <c r="L660" s="442"/>
      <c r="M660" s="442"/>
      <c r="N660" s="442"/>
      <c r="O660" s="442"/>
      <c r="P660" s="442"/>
      <c r="Q660" s="442"/>
      <c r="R660" s="442"/>
      <c r="S660" s="442"/>
      <c r="T660" s="442"/>
      <c r="U660" s="442"/>
      <c r="Y660" s="442"/>
      <c r="Z660" s="442"/>
      <c r="AA660" s="442"/>
      <c r="AB660" s="442"/>
      <c r="AC660" s="442"/>
      <c r="AD660" s="442"/>
      <c r="AE660" s="442"/>
      <c r="AF660" s="442"/>
      <c r="AG660" s="442"/>
      <c r="AH660" s="442"/>
      <c r="AI660" s="442"/>
      <c r="AJ660" s="446"/>
      <c r="AM660" s="442"/>
      <c r="AN660" s="442"/>
      <c r="AO660" s="442"/>
      <c r="AP660" s="442"/>
      <c r="AQ660" s="442"/>
      <c r="AR660" s="442"/>
      <c r="AS660" s="442"/>
      <c r="AT660" s="442"/>
      <c r="AU660" s="442"/>
      <c r="AV660" s="442"/>
      <c r="AW660" s="442"/>
      <c r="AX660" s="442"/>
      <c r="AY660" s="442"/>
      <c r="AZ660" s="442"/>
      <c r="BA660" s="442"/>
      <c r="BB660" s="442"/>
      <c r="BC660" s="442"/>
      <c r="BD660" s="442"/>
      <c r="BE660" s="442"/>
    </row>
    <row r="661" spans="1:57" s="441" customFormat="1" ht="23">
      <c r="B661" s="442"/>
      <c r="C661" s="442"/>
      <c r="D661" s="442"/>
      <c r="E661" s="442"/>
      <c r="F661" s="442"/>
      <c r="G661" s="424"/>
      <c r="H661" s="442"/>
      <c r="I661" s="442"/>
      <c r="J661" s="442"/>
      <c r="K661" s="442"/>
      <c r="L661" s="442"/>
      <c r="M661" s="442"/>
      <c r="N661" s="442"/>
      <c r="O661" s="442"/>
      <c r="P661" s="442"/>
      <c r="Q661" s="442"/>
      <c r="R661" s="442"/>
      <c r="S661" s="442"/>
      <c r="T661" s="442"/>
      <c r="U661" s="442"/>
      <c r="Y661" s="442"/>
      <c r="Z661" s="442"/>
      <c r="AA661" s="442"/>
      <c r="AB661" s="442"/>
      <c r="AC661" s="442"/>
      <c r="AD661" s="442"/>
      <c r="AE661" s="442"/>
      <c r="AF661" s="442"/>
      <c r="AG661" s="442"/>
      <c r="AH661" s="442"/>
      <c r="AI661" s="442"/>
      <c r="AJ661" s="446"/>
      <c r="AM661" s="442"/>
      <c r="AN661" s="442"/>
      <c r="AO661" s="442"/>
      <c r="AP661" s="442"/>
      <c r="AQ661" s="442"/>
      <c r="AR661" s="442"/>
      <c r="AS661" s="442"/>
      <c r="AT661" s="442"/>
      <c r="AU661" s="442"/>
      <c r="AV661" s="442"/>
      <c r="AW661" s="442"/>
      <c r="AX661" s="442"/>
      <c r="AY661" s="442"/>
      <c r="AZ661" s="442"/>
      <c r="BA661" s="442"/>
      <c r="BB661" s="442"/>
      <c r="BC661" s="442"/>
      <c r="BD661" s="442"/>
      <c r="BE661" s="442"/>
    </row>
    <row r="662" spans="1:57" s="441" customFormat="1" ht="23">
      <c r="B662" s="442"/>
      <c r="C662" s="442"/>
      <c r="D662" s="442"/>
      <c r="E662" s="442"/>
      <c r="F662" s="442"/>
      <c r="G662" s="424"/>
      <c r="H662" s="442"/>
      <c r="I662" s="442"/>
      <c r="J662" s="442"/>
      <c r="K662" s="442"/>
      <c r="L662" s="442"/>
      <c r="M662" s="442"/>
      <c r="N662" s="442"/>
      <c r="O662" s="442"/>
      <c r="P662" s="442"/>
      <c r="Q662" s="442"/>
      <c r="R662" s="442"/>
      <c r="S662" s="442"/>
      <c r="T662" s="442"/>
      <c r="U662" s="442"/>
      <c r="Y662" s="442"/>
      <c r="Z662" s="442"/>
      <c r="AA662" s="442"/>
      <c r="AB662" s="442"/>
      <c r="AC662" s="442"/>
      <c r="AD662" s="442"/>
      <c r="AE662" s="442"/>
      <c r="AF662" s="442"/>
      <c r="AG662" s="442"/>
      <c r="AH662" s="442"/>
      <c r="AI662" s="442"/>
      <c r="AJ662" s="446"/>
      <c r="AM662" s="442"/>
      <c r="AN662" s="442"/>
      <c r="AO662" s="442"/>
      <c r="AP662" s="442"/>
      <c r="AQ662" s="442"/>
      <c r="AR662" s="442"/>
      <c r="AS662" s="442"/>
      <c r="AT662" s="442"/>
      <c r="AU662" s="442"/>
      <c r="AV662" s="442"/>
      <c r="AW662" s="442"/>
      <c r="AX662" s="442"/>
      <c r="AY662" s="442"/>
      <c r="AZ662" s="442"/>
      <c r="BA662" s="442"/>
      <c r="BB662" s="442"/>
      <c r="BC662" s="442"/>
      <c r="BD662" s="442"/>
      <c r="BE662" s="442"/>
    </row>
    <row r="663" spans="1:57" s="441" customFormat="1" ht="23">
      <c r="B663" s="442"/>
      <c r="C663" s="442"/>
      <c r="D663" s="442"/>
      <c r="E663" s="442"/>
      <c r="F663" s="442"/>
      <c r="G663" s="424"/>
      <c r="H663" s="442"/>
      <c r="I663" s="442"/>
      <c r="J663" s="442"/>
      <c r="K663" s="442"/>
      <c r="L663" s="442"/>
      <c r="M663" s="442"/>
      <c r="N663" s="442"/>
      <c r="O663" s="442"/>
      <c r="P663" s="442"/>
      <c r="Q663" s="442"/>
      <c r="R663" s="442"/>
      <c r="S663" s="442"/>
      <c r="T663" s="442"/>
      <c r="U663" s="442"/>
      <c r="Y663" s="442"/>
      <c r="Z663" s="442"/>
      <c r="AA663" s="442"/>
      <c r="AB663" s="442"/>
      <c r="AC663" s="442"/>
      <c r="AD663" s="442"/>
      <c r="AE663" s="442"/>
      <c r="AF663" s="442"/>
      <c r="AG663" s="442"/>
      <c r="AH663" s="442"/>
      <c r="AI663" s="442"/>
      <c r="AJ663" s="446"/>
      <c r="AM663" s="442"/>
      <c r="AN663" s="442"/>
      <c r="AO663" s="442"/>
      <c r="AP663" s="442"/>
      <c r="AQ663" s="442"/>
      <c r="AR663" s="442"/>
      <c r="AS663" s="442"/>
      <c r="AT663" s="442"/>
      <c r="AU663" s="442"/>
      <c r="AV663" s="442"/>
      <c r="AW663" s="442"/>
      <c r="AX663" s="442"/>
      <c r="AY663" s="442"/>
      <c r="AZ663" s="442"/>
      <c r="BA663" s="442"/>
      <c r="BB663" s="442"/>
      <c r="BC663" s="442"/>
      <c r="BD663" s="442"/>
      <c r="BE663" s="442"/>
    </row>
    <row r="664" spans="1:57" s="441" customFormat="1" ht="23">
      <c r="B664" s="442"/>
      <c r="C664" s="442"/>
      <c r="D664" s="442"/>
      <c r="E664" s="442"/>
      <c r="F664" s="442"/>
      <c r="G664" s="424"/>
      <c r="H664" s="442"/>
      <c r="I664" s="442"/>
      <c r="J664" s="442"/>
      <c r="K664" s="442"/>
      <c r="L664" s="442"/>
      <c r="M664" s="442"/>
      <c r="N664" s="442"/>
      <c r="O664" s="442"/>
      <c r="P664" s="442"/>
      <c r="Q664" s="442"/>
      <c r="R664" s="442"/>
      <c r="S664" s="442"/>
      <c r="T664" s="442"/>
      <c r="U664" s="442"/>
      <c r="Y664" s="442"/>
      <c r="Z664" s="442"/>
      <c r="AA664" s="442"/>
      <c r="AB664" s="442"/>
      <c r="AC664" s="442"/>
      <c r="AD664" s="442"/>
      <c r="AE664" s="442"/>
      <c r="AF664" s="442"/>
      <c r="AG664" s="442"/>
      <c r="AH664" s="442"/>
      <c r="AI664" s="442"/>
      <c r="AJ664" s="446"/>
      <c r="AM664" s="442"/>
      <c r="AN664" s="442"/>
      <c r="AO664" s="442"/>
      <c r="AP664" s="442"/>
      <c r="AQ664" s="442"/>
      <c r="AR664" s="442"/>
      <c r="AS664" s="442"/>
      <c r="AT664" s="442"/>
      <c r="AU664" s="442"/>
      <c r="AV664" s="442"/>
      <c r="AW664" s="442"/>
      <c r="AX664" s="442"/>
      <c r="AY664" s="442"/>
      <c r="AZ664" s="442"/>
      <c r="BA664" s="442"/>
      <c r="BB664" s="442"/>
      <c r="BC664" s="442"/>
      <c r="BD664" s="442"/>
      <c r="BE664" s="442"/>
    </row>
    <row r="665" spans="1:57" ht="23">
      <c r="A665" s="441"/>
      <c r="B665" s="442"/>
      <c r="C665" s="442"/>
      <c r="D665" s="442"/>
      <c r="E665" s="442"/>
      <c r="F665" s="442"/>
      <c r="G665" s="424"/>
      <c r="H665" s="442"/>
      <c r="I665" s="442"/>
      <c r="J665" s="442"/>
      <c r="K665" s="442"/>
      <c r="L665" s="442"/>
      <c r="M665" s="442"/>
      <c r="N665" s="442"/>
      <c r="O665" s="442"/>
      <c r="P665" s="442"/>
      <c r="Q665" s="442"/>
      <c r="R665" s="442"/>
      <c r="S665" s="442"/>
      <c r="T665" s="442"/>
      <c r="U665" s="442"/>
      <c r="V665" s="441"/>
      <c r="W665" s="441"/>
      <c r="X665" s="441"/>
      <c r="Y665" s="442"/>
      <c r="Z665" s="442"/>
      <c r="AA665" s="442"/>
      <c r="AB665" s="442"/>
      <c r="AC665" s="442"/>
      <c r="AD665" s="442"/>
      <c r="AE665" s="442"/>
      <c r="AF665" s="442"/>
      <c r="AG665" s="442"/>
      <c r="AH665" s="442"/>
      <c r="AI665" s="442"/>
      <c r="AJ665" s="446"/>
      <c r="AK665" s="441"/>
      <c r="AL665" s="441"/>
      <c r="AM665" s="442"/>
      <c r="AN665" s="424"/>
      <c r="AO665" s="424"/>
      <c r="AP665" s="424"/>
      <c r="AQ665" s="424"/>
      <c r="AR665" s="424"/>
      <c r="AS665" s="424"/>
      <c r="AT665" s="424"/>
      <c r="AU665" s="424"/>
      <c r="AV665" s="424"/>
      <c r="AW665" s="424"/>
      <c r="AX665" s="424"/>
      <c r="AY665" s="424"/>
    </row>
    <row r="666" spans="1:57" ht="24">
      <c r="A666" s="441"/>
      <c r="B666" s="442"/>
      <c r="C666" s="442"/>
      <c r="D666" s="447"/>
      <c r="E666" s="442"/>
      <c r="F666" s="442"/>
      <c r="G666" s="424"/>
      <c r="H666" s="442"/>
      <c r="I666" s="442"/>
      <c r="J666" s="442"/>
      <c r="K666" s="442"/>
      <c r="L666" s="442"/>
      <c r="M666" s="442"/>
      <c r="N666" s="442"/>
      <c r="O666" s="442"/>
      <c r="P666" s="442"/>
      <c r="Q666" s="442"/>
      <c r="R666" s="442"/>
      <c r="S666" s="442"/>
      <c r="T666" s="442"/>
      <c r="U666" s="442"/>
      <c r="V666" s="441"/>
      <c r="W666" s="441"/>
      <c r="X666" s="441"/>
      <c r="Y666" s="442"/>
      <c r="Z666" s="442"/>
      <c r="AA666" s="442"/>
      <c r="AB666" s="442"/>
      <c r="AC666" s="442"/>
      <c r="AD666" s="442"/>
      <c r="AE666" s="442"/>
      <c r="AF666" s="442"/>
      <c r="AG666" s="442"/>
      <c r="AH666" s="442"/>
      <c r="AI666" s="442"/>
      <c r="AJ666" s="446"/>
      <c r="AK666" s="441"/>
      <c r="AL666" s="441"/>
      <c r="AM666" s="442"/>
      <c r="AN666" s="424"/>
      <c r="AO666" s="424"/>
      <c r="AP666" s="424"/>
      <c r="AQ666" s="424"/>
      <c r="AR666" s="424"/>
      <c r="AS666" s="424"/>
      <c r="AT666" s="424"/>
      <c r="AU666" s="424"/>
      <c r="AV666" s="424"/>
      <c r="AW666" s="424"/>
      <c r="AX666" s="424"/>
      <c r="AY666" s="424"/>
    </row>
    <row r="667" spans="1:57" ht="23">
      <c r="A667" s="441"/>
      <c r="B667" s="442"/>
      <c r="C667" s="442"/>
      <c r="D667" s="442"/>
      <c r="E667" s="442"/>
      <c r="F667" s="442"/>
      <c r="G667" s="424"/>
      <c r="H667" s="442"/>
      <c r="I667" s="442"/>
      <c r="J667" s="442"/>
      <c r="K667" s="442"/>
      <c r="L667" s="442"/>
      <c r="M667" s="442"/>
      <c r="N667" s="442"/>
      <c r="O667" s="442"/>
      <c r="P667" s="442"/>
      <c r="Q667" s="442"/>
      <c r="R667" s="442"/>
      <c r="S667" s="442"/>
      <c r="T667" s="442"/>
      <c r="U667" s="442"/>
      <c r="V667" s="441"/>
      <c r="W667" s="441"/>
      <c r="X667" s="441"/>
      <c r="Y667" s="442"/>
      <c r="Z667" s="442"/>
      <c r="AA667" s="442"/>
      <c r="AB667" s="442"/>
      <c r="AC667" s="442"/>
      <c r="AD667" s="442"/>
      <c r="AE667" s="442"/>
      <c r="AF667" s="442"/>
      <c r="AG667" s="442"/>
      <c r="AH667" s="442"/>
      <c r="AI667" s="442"/>
      <c r="AJ667" s="446"/>
      <c r="AK667" s="441"/>
      <c r="AL667" s="441"/>
      <c r="AM667" s="442"/>
      <c r="AN667" s="424"/>
      <c r="AO667" s="424"/>
      <c r="AP667" s="424"/>
      <c r="AQ667" s="424"/>
      <c r="AR667" s="424"/>
      <c r="AS667" s="424"/>
      <c r="AT667" s="424"/>
      <c r="AU667" s="424"/>
      <c r="AV667" s="424"/>
      <c r="AW667" s="424"/>
      <c r="AX667" s="424"/>
      <c r="AY667" s="424"/>
    </row>
    <row r="668" spans="1:57" ht="23">
      <c r="A668" s="441"/>
      <c r="B668" s="442"/>
      <c r="C668" s="442"/>
      <c r="D668" s="442"/>
      <c r="E668" s="442"/>
      <c r="F668" s="442"/>
      <c r="G668" s="424"/>
      <c r="H668" s="442"/>
      <c r="I668" s="442"/>
      <c r="J668" s="442"/>
      <c r="K668" s="442"/>
      <c r="L668" s="442"/>
      <c r="M668" s="442"/>
      <c r="N668" s="442"/>
      <c r="O668" s="442"/>
      <c r="P668" s="442"/>
      <c r="Q668" s="442"/>
      <c r="R668" s="442"/>
      <c r="S668" s="442"/>
      <c r="T668" s="442"/>
      <c r="U668" s="442"/>
      <c r="V668" s="441"/>
      <c r="W668" s="441"/>
      <c r="X668" s="441"/>
      <c r="Y668" s="442"/>
      <c r="Z668" s="442"/>
      <c r="AA668" s="442"/>
      <c r="AB668" s="442"/>
      <c r="AC668" s="442"/>
      <c r="AD668" s="442"/>
      <c r="AE668" s="442"/>
      <c r="AF668" s="442"/>
      <c r="AG668" s="442"/>
      <c r="AH668" s="442"/>
      <c r="AI668" s="442"/>
      <c r="AJ668" s="446"/>
      <c r="AK668" s="441"/>
      <c r="AL668" s="441"/>
      <c r="AM668" s="442"/>
      <c r="AN668" s="424"/>
      <c r="AO668" s="424"/>
      <c r="AP668" s="424"/>
      <c r="AQ668" s="424"/>
      <c r="AR668" s="424"/>
      <c r="AS668" s="424"/>
      <c r="AT668" s="424"/>
      <c r="AU668" s="424"/>
      <c r="AV668" s="424"/>
      <c r="AW668" s="424"/>
      <c r="AX668" s="424"/>
      <c r="AY668" s="424"/>
    </row>
    <row r="669" spans="1:57" ht="23">
      <c r="A669" s="441"/>
      <c r="B669" s="442"/>
      <c r="C669" s="442"/>
      <c r="D669" s="442"/>
      <c r="E669" s="442"/>
      <c r="F669" s="442"/>
      <c r="G669" s="424"/>
      <c r="H669" s="442"/>
      <c r="I669" s="442"/>
      <c r="J669" s="442"/>
      <c r="K669" s="442"/>
      <c r="L669" s="442"/>
      <c r="M669" s="442"/>
      <c r="N669" s="442"/>
      <c r="O669" s="442"/>
      <c r="P669" s="442"/>
      <c r="Q669" s="442"/>
      <c r="R669" s="442"/>
      <c r="S669" s="442"/>
      <c r="T669" s="442"/>
      <c r="U669" s="442"/>
      <c r="V669" s="441"/>
      <c r="W669" s="441"/>
      <c r="X669" s="441"/>
      <c r="Y669" s="442"/>
      <c r="Z669" s="442"/>
      <c r="AA669" s="442"/>
      <c r="AB669" s="442"/>
      <c r="AC669" s="442"/>
      <c r="AD669" s="442"/>
      <c r="AE669" s="442"/>
      <c r="AF669" s="442"/>
      <c r="AG669" s="442"/>
      <c r="AH669" s="442"/>
      <c r="AI669" s="442"/>
      <c r="AJ669" s="446"/>
      <c r="AK669" s="441"/>
      <c r="AL669" s="441"/>
      <c r="AM669" s="442"/>
      <c r="AN669" s="424"/>
      <c r="AO669" s="424"/>
      <c r="AP669" s="424"/>
      <c r="AQ669" s="424"/>
      <c r="AR669" s="424"/>
      <c r="AS669" s="424"/>
      <c r="AT669" s="424"/>
      <c r="AU669" s="424"/>
      <c r="AV669" s="424"/>
      <c r="AW669" s="424"/>
      <c r="AX669" s="424"/>
      <c r="AY669" s="424"/>
    </row>
    <row r="670" spans="1:57" ht="23">
      <c r="A670" s="441"/>
      <c r="B670" s="442"/>
      <c r="C670" s="442"/>
      <c r="D670" s="442"/>
      <c r="E670" s="442"/>
      <c r="F670" s="442"/>
      <c r="G670" s="424"/>
      <c r="H670" s="442"/>
      <c r="I670" s="442"/>
      <c r="J670" s="442"/>
      <c r="K670" s="442"/>
      <c r="L670" s="442"/>
      <c r="M670" s="442"/>
      <c r="N670" s="442"/>
      <c r="O670" s="442"/>
      <c r="P670" s="442"/>
      <c r="Q670" s="442"/>
      <c r="R670" s="442"/>
      <c r="S670" s="442"/>
      <c r="T670" s="442"/>
      <c r="U670" s="442"/>
      <c r="V670" s="441"/>
      <c r="W670" s="441"/>
      <c r="X670" s="441"/>
      <c r="Y670" s="442"/>
      <c r="Z670" s="442"/>
      <c r="AA670" s="442"/>
      <c r="AB670" s="442"/>
      <c r="AC670" s="442"/>
      <c r="AD670" s="442"/>
      <c r="AE670" s="442"/>
      <c r="AF670" s="442"/>
      <c r="AG670" s="442"/>
      <c r="AH670" s="442"/>
      <c r="AI670" s="442"/>
      <c r="AJ670" s="446"/>
      <c r="AK670" s="441"/>
      <c r="AL670" s="441"/>
      <c r="AM670" s="442"/>
      <c r="AN670" s="424"/>
      <c r="AO670" s="424"/>
      <c r="AP670" s="424"/>
      <c r="AQ670" s="424"/>
      <c r="AR670" s="424"/>
      <c r="AS670" s="424"/>
      <c r="AT670" s="424"/>
      <c r="AU670" s="424"/>
      <c r="AV670" s="424"/>
      <c r="AW670" s="424"/>
      <c r="AX670" s="424"/>
      <c r="AY670" s="424"/>
    </row>
    <row r="671" spans="1:57" ht="23">
      <c r="A671" s="441"/>
      <c r="B671" s="442"/>
      <c r="C671" s="442"/>
      <c r="D671" s="442"/>
      <c r="E671" s="442"/>
      <c r="F671" s="442"/>
      <c r="G671" s="424"/>
      <c r="H671" s="442"/>
      <c r="I671" s="442"/>
      <c r="J671" s="442"/>
      <c r="K671" s="442"/>
      <c r="L671" s="442"/>
      <c r="M671" s="442"/>
      <c r="N671" s="442"/>
      <c r="O671" s="442"/>
      <c r="P671" s="442"/>
      <c r="Q671" s="442"/>
      <c r="R671" s="442"/>
      <c r="S671" s="442"/>
      <c r="T671" s="442"/>
      <c r="U671" s="442"/>
      <c r="V671" s="441"/>
      <c r="W671" s="441"/>
      <c r="X671" s="441"/>
      <c r="Y671" s="442"/>
      <c r="Z671" s="442"/>
      <c r="AA671" s="442"/>
      <c r="AB671" s="442"/>
      <c r="AC671" s="442"/>
      <c r="AD671" s="442"/>
      <c r="AE671" s="442"/>
      <c r="AF671" s="442"/>
      <c r="AG671" s="442"/>
      <c r="AH671" s="442"/>
      <c r="AI671" s="442"/>
      <c r="AJ671" s="446"/>
      <c r="AK671" s="441"/>
      <c r="AL671" s="441"/>
      <c r="AM671" s="442"/>
      <c r="AN671" s="424"/>
      <c r="AO671" s="424"/>
      <c r="AP671" s="424"/>
      <c r="AQ671" s="424"/>
      <c r="AR671" s="424"/>
      <c r="AS671" s="424"/>
      <c r="AT671" s="424"/>
      <c r="AU671" s="424"/>
      <c r="AV671" s="424"/>
      <c r="AW671" s="424"/>
      <c r="AX671" s="424"/>
      <c r="AY671" s="424"/>
    </row>
    <row r="672" spans="1:57" ht="23">
      <c r="A672" s="441"/>
      <c r="B672" s="442"/>
      <c r="C672" s="442"/>
      <c r="D672" s="442"/>
      <c r="E672" s="442"/>
      <c r="F672" s="442"/>
      <c r="G672" s="424"/>
      <c r="H672" s="442"/>
      <c r="I672" s="442"/>
      <c r="J672" s="442"/>
      <c r="K672" s="442"/>
      <c r="L672" s="442"/>
      <c r="M672" s="442"/>
      <c r="N672" s="442"/>
      <c r="O672" s="442"/>
      <c r="P672" s="442"/>
      <c r="Q672" s="442"/>
      <c r="R672" s="442"/>
      <c r="S672" s="442"/>
      <c r="T672" s="442"/>
      <c r="U672" s="442"/>
      <c r="V672" s="441"/>
      <c r="W672" s="441"/>
      <c r="X672" s="441"/>
      <c r="Y672" s="442"/>
      <c r="Z672" s="442"/>
      <c r="AA672" s="442"/>
      <c r="AB672" s="442"/>
      <c r="AC672" s="442"/>
      <c r="AD672" s="442"/>
      <c r="AE672" s="442"/>
      <c r="AF672" s="442"/>
      <c r="AG672" s="442"/>
      <c r="AH672" s="442"/>
      <c r="AI672" s="442"/>
      <c r="AJ672" s="446"/>
      <c r="AK672" s="441"/>
      <c r="AL672" s="441"/>
      <c r="AM672" s="442"/>
      <c r="AN672" s="424"/>
      <c r="AO672" s="424"/>
      <c r="AP672" s="424"/>
      <c r="AQ672" s="424"/>
      <c r="AR672" s="424"/>
      <c r="AS672" s="424"/>
      <c r="AT672" s="424"/>
      <c r="AU672" s="424"/>
      <c r="AV672" s="424"/>
      <c r="AW672" s="424"/>
      <c r="AX672" s="424"/>
      <c r="AY672" s="424"/>
    </row>
    <row r="673" spans="2:51" ht="23">
      <c r="B673" s="442"/>
      <c r="C673" s="442"/>
      <c r="D673" s="442"/>
      <c r="E673" s="424"/>
      <c r="F673" s="424"/>
      <c r="G673" s="424"/>
      <c r="H673" s="424"/>
      <c r="I673" s="424"/>
      <c r="J673" s="424"/>
      <c r="K673" s="424"/>
      <c r="L673" s="424"/>
      <c r="M673" s="424"/>
      <c r="N673" s="424"/>
      <c r="O673" s="424"/>
      <c r="P673" s="424"/>
      <c r="Q673" s="424"/>
      <c r="R673" s="424"/>
      <c r="S673" s="424"/>
      <c r="T673" s="424"/>
      <c r="U673" s="424"/>
      <c r="Y673" s="424"/>
      <c r="Z673" s="424"/>
      <c r="AA673" s="424"/>
      <c r="AB673" s="424"/>
      <c r="AC673" s="424"/>
      <c r="AD673" s="424"/>
      <c r="AE673" s="424"/>
      <c r="AF673" s="424"/>
      <c r="AG673" s="424"/>
      <c r="AH673" s="424"/>
      <c r="AI673" s="424"/>
      <c r="AM673" s="424"/>
      <c r="AN673" s="424"/>
      <c r="AO673" s="424"/>
      <c r="AP673" s="424"/>
      <c r="AQ673" s="424"/>
      <c r="AR673" s="424"/>
      <c r="AS673" s="424"/>
      <c r="AT673" s="424"/>
      <c r="AU673" s="424"/>
      <c r="AV673" s="424"/>
      <c r="AW673" s="424"/>
      <c r="AX673" s="424"/>
      <c r="AY673" s="424"/>
    </row>
    <row r="674" spans="2:51">
      <c r="B674" s="424"/>
      <c r="C674" s="424"/>
      <c r="D674" s="424"/>
      <c r="E674" s="424"/>
      <c r="F674" s="424"/>
      <c r="G674" s="424"/>
      <c r="H674" s="424"/>
      <c r="I674" s="424"/>
      <c r="J674" s="424"/>
      <c r="K674" s="424"/>
      <c r="L674" s="424"/>
      <c r="M674" s="424"/>
      <c r="N674" s="424"/>
      <c r="O674" s="424"/>
      <c r="P674" s="424"/>
      <c r="Q674" s="424"/>
      <c r="R674" s="424"/>
      <c r="S674" s="424"/>
      <c r="T674" s="424"/>
      <c r="U674" s="424"/>
      <c r="Y674" s="424"/>
      <c r="Z674" s="424"/>
      <c r="AA674" s="424"/>
      <c r="AB674" s="424"/>
      <c r="AC674" s="424"/>
      <c r="AD674" s="424"/>
      <c r="AE674" s="424"/>
      <c r="AF674" s="424"/>
      <c r="AG674" s="424"/>
      <c r="AH674" s="424"/>
      <c r="AI674" s="424"/>
      <c r="AM674" s="424"/>
      <c r="AN674" s="424"/>
      <c r="AO674" s="424"/>
      <c r="AP674" s="424"/>
      <c r="AQ674" s="424"/>
      <c r="AR674" s="424"/>
      <c r="AS674" s="424"/>
      <c r="AT674" s="424"/>
      <c r="AU674" s="424"/>
      <c r="AV674" s="424"/>
      <c r="AW674" s="424"/>
      <c r="AX674" s="424"/>
      <c r="AY674" s="424"/>
    </row>
    <row r="675" spans="2:51">
      <c r="B675" s="424"/>
      <c r="C675" s="424"/>
      <c r="D675" s="424"/>
      <c r="E675" s="424"/>
      <c r="F675" s="424"/>
      <c r="G675" s="424"/>
      <c r="H675" s="424"/>
      <c r="I675" s="424"/>
      <c r="J675" s="424"/>
      <c r="K675" s="424"/>
      <c r="L675" s="424"/>
      <c r="M675" s="424"/>
      <c r="N675" s="424"/>
      <c r="O675" s="424"/>
      <c r="P675" s="424"/>
      <c r="Q675" s="424"/>
      <c r="R675" s="424"/>
      <c r="S675" s="424"/>
      <c r="T675" s="424"/>
      <c r="U675" s="424"/>
      <c r="Y675" s="424"/>
      <c r="Z675" s="424"/>
      <c r="AA675" s="424"/>
      <c r="AB675" s="424"/>
      <c r="AC675" s="424"/>
      <c r="AD675" s="424"/>
      <c r="AE675" s="424"/>
      <c r="AF675" s="424"/>
      <c r="AG675" s="424"/>
      <c r="AH675" s="424"/>
      <c r="AI675" s="424"/>
      <c r="AM675" s="424"/>
      <c r="AN675" s="424"/>
      <c r="AO675" s="424"/>
      <c r="AP675" s="424"/>
      <c r="AQ675" s="424"/>
      <c r="AR675" s="424"/>
      <c r="AS675" s="424"/>
      <c r="AT675" s="424"/>
      <c r="AU675" s="424"/>
      <c r="AV675" s="424"/>
      <c r="AW675" s="424"/>
      <c r="AX675" s="424"/>
      <c r="AY675" s="424"/>
    </row>
    <row r="676" spans="2:51">
      <c r="B676" s="424"/>
      <c r="C676" s="424"/>
      <c r="D676" s="424"/>
      <c r="E676" s="424"/>
      <c r="F676" s="424"/>
      <c r="G676" s="424"/>
      <c r="H676" s="424"/>
      <c r="I676" s="424"/>
      <c r="J676" s="424"/>
      <c r="K676" s="424"/>
      <c r="L676" s="424"/>
      <c r="M676" s="424"/>
      <c r="N676" s="424"/>
      <c r="O676" s="424"/>
      <c r="P676" s="424"/>
      <c r="Q676" s="424"/>
      <c r="R676" s="424"/>
      <c r="S676" s="424"/>
      <c r="T676" s="424"/>
      <c r="U676" s="424"/>
      <c r="Y676" s="424"/>
      <c r="Z676" s="424"/>
      <c r="AA676" s="424"/>
      <c r="AB676" s="424"/>
      <c r="AC676" s="424"/>
      <c r="AD676" s="424"/>
      <c r="AE676" s="424"/>
      <c r="AF676" s="424"/>
      <c r="AG676" s="424"/>
      <c r="AH676" s="424"/>
      <c r="AI676" s="424"/>
      <c r="AM676" s="424"/>
      <c r="AN676" s="424"/>
      <c r="AO676" s="424"/>
      <c r="AP676" s="424"/>
      <c r="AQ676" s="424"/>
      <c r="AR676" s="424"/>
      <c r="AS676" s="424"/>
      <c r="AT676" s="424"/>
      <c r="AU676" s="424"/>
      <c r="AV676" s="424"/>
      <c r="AW676" s="424"/>
      <c r="AX676" s="424"/>
      <c r="AY676" s="424"/>
    </row>
    <row r="677" spans="2:51">
      <c r="B677" s="424"/>
      <c r="C677" s="424"/>
      <c r="D677" s="424"/>
      <c r="E677" s="424"/>
      <c r="F677" s="424"/>
      <c r="G677" s="424"/>
      <c r="H677" s="424"/>
      <c r="I677" s="424"/>
      <c r="J677" s="424"/>
      <c r="K677" s="424"/>
      <c r="L677" s="424"/>
      <c r="M677" s="424"/>
      <c r="N677" s="424"/>
      <c r="O677" s="424"/>
      <c r="P677" s="424"/>
      <c r="Q677" s="424"/>
      <c r="R677" s="424"/>
      <c r="S677" s="424"/>
      <c r="T677" s="424"/>
      <c r="U677" s="424"/>
      <c r="Y677" s="424"/>
      <c r="Z677" s="424"/>
      <c r="AA677" s="424"/>
      <c r="AB677" s="424"/>
      <c r="AC677" s="424"/>
      <c r="AD677" s="424"/>
      <c r="AE677" s="424"/>
      <c r="AF677" s="424"/>
      <c r="AG677" s="424"/>
      <c r="AH677" s="424"/>
      <c r="AI677" s="424"/>
      <c r="AM677" s="424"/>
      <c r="AN677" s="424"/>
      <c r="AO677" s="424"/>
      <c r="AP677" s="424"/>
      <c r="AQ677" s="424"/>
      <c r="AR677" s="424"/>
      <c r="AS677" s="424"/>
      <c r="AT677" s="424"/>
      <c r="AU677" s="424"/>
      <c r="AV677" s="424"/>
      <c r="AW677" s="424"/>
      <c r="AX677" s="424"/>
      <c r="AY677" s="424"/>
    </row>
    <row r="678" spans="2:51">
      <c r="B678" s="424"/>
      <c r="C678" s="424"/>
      <c r="D678" s="424"/>
      <c r="E678" s="424"/>
      <c r="F678" s="424"/>
      <c r="G678" s="424"/>
      <c r="H678" s="424"/>
      <c r="I678" s="424"/>
      <c r="J678" s="424"/>
      <c r="K678" s="424"/>
      <c r="L678" s="424"/>
      <c r="M678" s="424"/>
      <c r="N678" s="424"/>
      <c r="O678" s="424"/>
      <c r="P678" s="424"/>
      <c r="Q678" s="424"/>
      <c r="R678" s="424"/>
      <c r="S678" s="424"/>
      <c r="T678" s="424"/>
      <c r="U678" s="424"/>
      <c r="Y678" s="424"/>
      <c r="Z678" s="424"/>
      <c r="AA678" s="424"/>
      <c r="AB678" s="424"/>
      <c r="AC678" s="424"/>
      <c r="AD678" s="424"/>
      <c r="AE678" s="424"/>
      <c r="AF678" s="424"/>
      <c r="AG678" s="424"/>
      <c r="AH678" s="424"/>
      <c r="AI678" s="424"/>
      <c r="AM678" s="424"/>
      <c r="AN678" s="424"/>
      <c r="AO678" s="424"/>
      <c r="AP678" s="424"/>
      <c r="AQ678" s="424"/>
      <c r="AR678" s="424"/>
      <c r="AS678" s="424"/>
      <c r="AT678" s="424"/>
      <c r="AU678" s="424"/>
      <c r="AV678" s="424"/>
      <c r="AW678" s="424"/>
      <c r="AX678" s="424"/>
      <c r="AY678" s="424"/>
    </row>
    <row r="679" spans="2:51">
      <c r="B679" s="424"/>
      <c r="C679" s="424"/>
      <c r="D679" s="424"/>
      <c r="E679" s="424"/>
      <c r="F679" s="424"/>
      <c r="G679" s="424"/>
      <c r="H679" s="424"/>
      <c r="I679" s="424"/>
      <c r="J679" s="424"/>
      <c r="K679" s="424"/>
      <c r="L679" s="424"/>
      <c r="M679" s="424"/>
      <c r="N679" s="424"/>
      <c r="O679" s="424"/>
      <c r="P679" s="424"/>
      <c r="Q679" s="424"/>
      <c r="R679" s="424"/>
      <c r="S679" s="424"/>
      <c r="T679" s="424"/>
      <c r="U679" s="424"/>
      <c r="Y679" s="424"/>
      <c r="Z679" s="424"/>
      <c r="AA679" s="424"/>
      <c r="AB679" s="424"/>
      <c r="AC679" s="424"/>
      <c r="AD679" s="424"/>
      <c r="AE679" s="424"/>
      <c r="AF679" s="424"/>
      <c r="AG679" s="424"/>
      <c r="AH679" s="424"/>
      <c r="AI679" s="424"/>
      <c r="AM679" s="424"/>
      <c r="AN679" s="424"/>
      <c r="AO679" s="424"/>
      <c r="AP679" s="424"/>
      <c r="AQ679" s="424"/>
      <c r="AR679" s="424"/>
      <c r="AS679" s="424"/>
      <c r="AT679" s="424"/>
      <c r="AU679" s="424"/>
      <c r="AV679" s="424"/>
      <c r="AW679" s="424"/>
      <c r="AX679" s="424"/>
      <c r="AY679" s="424"/>
    </row>
    <row r="680" spans="2:51">
      <c r="B680" s="424"/>
      <c r="C680" s="424"/>
      <c r="D680" s="424"/>
      <c r="E680" s="424"/>
      <c r="F680" s="424"/>
      <c r="G680" s="424"/>
      <c r="H680" s="424"/>
      <c r="I680" s="424"/>
      <c r="J680" s="424"/>
      <c r="K680" s="424"/>
      <c r="L680" s="424"/>
      <c r="M680" s="424"/>
      <c r="N680" s="424"/>
      <c r="O680" s="424"/>
      <c r="P680" s="424"/>
      <c r="Q680" s="424"/>
      <c r="R680" s="424"/>
      <c r="S680" s="424"/>
      <c r="T680" s="424"/>
      <c r="U680" s="424"/>
      <c r="Y680" s="424"/>
      <c r="Z680" s="424"/>
      <c r="AA680" s="424"/>
      <c r="AB680" s="424"/>
      <c r="AC680" s="424"/>
      <c r="AD680" s="424"/>
      <c r="AE680" s="424"/>
      <c r="AF680" s="424"/>
      <c r="AG680" s="424"/>
      <c r="AH680" s="424"/>
      <c r="AI680" s="424"/>
      <c r="AM680" s="424"/>
      <c r="AN680" s="424"/>
      <c r="AO680" s="424"/>
      <c r="AP680" s="424"/>
      <c r="AQ680" s="424"/>
      <c r="AR680" s="424"/>
      <c r="AS680" s="424"/>
      <c r="AT680" s="424"/>
      <c r="AU680" s="424"/>
      <c r="AV680" s="424"/>
      <c r="AW680" s="424"/>
      <c r="AX680" s="424"/>
      <c r="AY680" s="424"/>
    </row>
    <row r="681" spans="2:51">
      <c r="B681" s="424"/>
      <c r="C681" s="424"/>
      <c r="D681" s="424"/>
      <c r="E681" s="424"/>
      <c r="F681" s="424"/>
      <c r="G681" s="424"/>
      <c r="H681" s="424"/>
      <c r="I681" s="424"/>
      <c r="J681" s="424"/>
      <c r="K681" s="424"/>
      <c r="L681" s="424"/>
      <c r="M681" s="424"/>
      <c r="N681" s="424"/>
      <c r="O681" s="424"/>
      <c r="P681" s="424"/>
      <c r="Q681" s="424"/>
      <c r="R681" s="424"/>
      <c r="S681" s="424"/>
      <c r="T681" s="424"/>
      <c r="U681" s="424"/>
      <c r="Y681" s="424"/>
      <c r="Z681" s="424"/>
      <c r="AA681" s="424"/>
      <c r="AB681" s="424"/>
      <c r="AC681" s="424"/>
      <c r="AD681" s="424"/>
      <c r="AE681" s="424"/>
      <c r="AF681" s="424"/>
      <c r="AG681" s="424"/>
      <c r="AH681" s="424"/>
      <c r="AI681" s="424"/>
      <c r="AM681" s="424"/>
      <c r="AN681" s="424"/>
      <c r="AO681" s="424"/>
      <c r="AP681" s="424"/>
      <c r="AQ681" s="424"/>
      <c r="AR681" s="424"/>
      <c r="AS681" s="424"/>
      <c r="AT681" s="424"/>
      <c r="AU681" s="424"/>
      <c r="AV681" s="424"/>
      <c r="AW681" s="424"/>
      <c r="AX681" s="424"/>
      <c r="AY681" s="424"/>
    </row>
    <row r="682" spans="2:51">
      <c r="B682" s="424"/>
      <c r="C682" s="424"/>
      <c r="D682" s="424"/>
      <c r="E682" s="424"/>
      <c r="F682" s="424"/>
      <c r="G682" s="424"/>
      <c r="H682" s="424"/>
      <c r="I682" s="424"/>
      <c r="J682" s="424"/>
      <c r="K682" s="424"/>
      <c r="L682" s="424"/>
      <c r="M682" s="424"/>
      <c r="N682" s="424"/>
      <c r="O682" s="424"/>
      <c r="P682" s="424"/>
      <c r="Q682" s="424"/>
      <c r="R682" s="424"/>
      <c r="S682" s="424"/>
      <c r="T682" s="424"/>
      <c r="U682" s="424"/>
      <c r="Y682" s="424"/>
      <c r="Z682" s="424"/>
      <c r="AA682" s="424"/>
      <c r="AB682" s="424"/>
      <c r="AC682" s="424"/>
      <c r="AD682" s="424"/>
      <c r="AE682" s="424"/>
      <c r="AF682" s="424"/>
      <c r="AG682" s="424"/>
      <c r="AH682" s="424"/>
      <c r="AI682" s="424"/>
      <c r="AM682" s="424"/>
      <c r="AN682" s="424"/>
      <c r="AO682" s="424"/>
      <c r="AP682" s="424"/>
      <c r="AQ682" s="424"/>
      <c r="AR682" s="424"/>
      <c r="AS682" s="424"/>
      <c r="AT682" s="424"/>
      <c r="AU682" s="424"/>
      <c r="AV682" s="424"/>
      <c r="AW682" s="424"/>
      <c r="AX682" s="424"/>
      <c r="AY682" s="424"/>
    </row>
    <row r="683" spans="2:51">
      <c r="B683" s="424"/>
      <c r="C683" s="424"/>
      <c r="D683" s="424"/>
      <c r="E683" s="424"/>
      <c r="F683" s="424"/>
      <c r="G683" s="424"/>
      <c r="H683" s="424"/>
      <c r="I683" s="424"/>
      <c r="J683" s="424"/>
      <c r="K683" s="424"/>
      <c r="L683" s="424"/>
      <c r="M683" s="424"/>
      <c r="N683" s="424"/>
      <c r="O683" s="424"/>
      <c r="P683" s="424"/>
      <c r="Q683" s="424"/>
      <c r="R683" s="424"/>
      <c r="S683" s="424"/>
      <c r="T683" s="424"/>
      <c r="U683" s="424"/>
      <c r="Y683" s="424"/>
      <c r="Z683" s="424"/>
      <c r="AA683" s="424"/>
      <c r="AB683" s="424"/>
      <c r="AC683" s="424"/>
      <c r="AD683" s="424"/>
      <c r="AE683" s="424"/>
      <c r="AF683" s="424"/>
      <c r="AG683" s="424"/>
      <c r="AH683" s="424"/>
      <c r="AI683" s="424"/>
      <c r="AM683" s="424"/>
      <c r="AN683" s="424"/>
      <c r="AO683" s="424"/>
      <c r="AP683" s="424"/>
      <c r="AQ683" s="424"/>
      <c r="AR683" s="424"/>
      <c r="AS683" s="424"/>
      <c r="AT683" s="424"/>
      <c r="AU683" s="424"/>
      <c r="AV683" s="424"/>
      <c r="AW683" s="424"/>
      <c r="AX683" s="424"/>
      <c r="AY683" s="424"/>
    </row>
    <row r="684" spans="2:51">
      <c r="B684" s="424"/>
      <c r="C684" s="424"/>
      <c r="D684" s="424"/>
      <c r="E684" s="424"/>
      <c r="F684" s="424"/>
      <c r="G684" s="424"/>
      <c r="H684" s="424"/>
      <c r="I684" s="424"/>
      <c r="J684" s="424"/>
      <c r="K684" s="424"/>
      <c r="L684" s="424"/>
      <c r="M684" s="424"/>
      <c r="N684" s="424"/>
      <c r="O684" s="424"/>
      <c r="P684" s="424"/>
      <c r="Q684" s="424"/>
      <c r="R684" s="424"/>
      <c r="S684" s="424"/>
      <c r="T684" s="424"/>
      <c r="U684" s="424"/>
      <c r="Y684" s="424"/>
      <c r="Z684" s="424"/>
      <c r="AA684" s="424"/>
      <c r="AB684" s="424"/>
      <c r="AC684" s="424"/>
      <c r="AD684" s="424"/>
      <c r="AE684" s="424"/>
      <c r="AF684" s="424"/>
      <c r="AG684" s="424"/>
      <c r="AH684" s="424"/>
      <c r="AI684" s="424"/>
      <c r="AM684" s="424"/>
      <c r="AN684" s="424"/>
      <c r="AO684" s="424"/>
      <c r="AP684" s="424"/>
      <c r="AQ684" s="424"/>
      <c r="AR684" s="424"/>
      <c r="AS684" s="424"/>
      <c r="AT684" s="424"/>
      <c r="AU684" s="424"/>
      <c r="AV684" s="424"/>
      <c r="AW684" s="424"/>
      <c r="AX684" s="424"/>
      <c r="AY684" s="424"/>
    </row>
    <row r="685" spans="2:51">
      <c r="B685" s="424"/>
      <c r="C685" s="424"/>
      <c r="D685" s="424"/>
      <c r="E685" s="424"/>
      <c r="F685" s="424"/>
      <c r="G685" s="424"/>
      <c r="H685" s="424"/>
      <c r="I685" s="424"/>
      <c r="J685" s="424"/>
      <c r="K685" s="424"/>
      <c r="L685" s="424"/>
      <c r="M685" s="424"/>
      <c r="N685" s="424"/>
      <c r="O685" s="424"/>
      <c r="P685" s="424"/>
      <c r="Q685" s="424"/>
      <c r="R685" s="424"/>
      <c r="S685" s="424"/>
      <c r="T685" s="424"/>
      <c r="U685" s="424"/>
      <c r="Y685" s="424"/>
      <c r="Z685" s="424"/>
      <c r="AA685" s="424"/>
      <c r="AB685" s="424"/>
      <c r="AC685" s="424"/>
      <c r="AD685" s="424"/>
      <c r="AE685" s="424"/>
      <c r="AF685" s="424"/>
      <c r="AG685" s="424"/>
      <c r="AH685" s="424"/>
      <c r="AI685" s="424"/>
      <c r="AM685" s="424"/>
      <c r="AN685" s="424"/>
      <c r="AO685" s="424"/>
      <c r="AP685" s="424"/>
      <c r="AQ685" s="424"/>
      <c r="AR685" s="424"/>
      <c r="AS685" s="424"/>
      <c r="AT685" s="424"/>
      <c r="AU685" s="424"/>
      <c r="AV685" s="424"/>
      <c r="AW685" s="424"/>
      <c r="AX685" s="424"/>
      <c r="AY685" s="424"/>
    </row>
    <row r="686" spans="2:51">
      <c r="B686" s="424"/>
      <c r="C686" s="424"/>
      <c r="D686" s="424"/>
      <c r="E686" s="424"/>
      <c r="F686" s="424"/>
      <c r="G686" s="424"/>
      <c r="H686" s="424"/>
      <c r="I686" s="424"/>
      <c r="J686" s="424"/>
      <c r="K686" s="424"/>
      <c r="L686" s="424"/>
      <c r="M686" s="424"/>
      <c r="N686" s="424"/>
      <c r="O686" s="424"/>
      <c r="P686" s="424"/>
      <c r="Q686" s="424"/>
      <c r="R686" s="424"/>
      <c r="S686" s="424"/>
      <c r="T686" s="424"/>
      <c r="U686" s="424"/>
      <c r="Y686" s="424"/>
      <c r="Z686" s="424"/>
      <c r="AA686" s="424"/>
      <c r="AB686" s="424"/>
      <c r="AC686" s="424"/>
      <c r="AD686" s="424"/>
      <c r="AE686" s="424"/>
      <c r="AF686" s="424"/>
      <c r="AG686" s="424"/>
      <c r="AH686" s="424"/>
      <c r="AI686" s="424"/>
      <c r="AM686" s="424"/>
      <c r="AN686" s="424"/>
      <c r="AO686" s="424"/>
      <c r="AP686" s="424"/>
      <c r="AQ686" s="424"/>
      <c r="AR686" s="424"/>
      <c r="AS686" s="424"/>
      <c r="AT686" s="424"/>
      <c r="AU686" s="424"/>
      <c r="AV686" s="424"/>
      <c r="AW686" s="424"/>
      <c r="AX686" s="424"/>
      <c r="AY686" s="424"/>
    </row>
    <row r="687" spans="2:51">
      <c r="B687" s="424"/>
      <c r="C687" s="424"/>
      <c r="D687" s="424"/>
      <c r="E687" s="424"/>
      <c r="F687" s="424"/>
      <c r="G687" s="424"/>
      <c r="H687" s="424"/>
      <c r="I687" s="424"/>
      <c r="J687" s="424"/>
      <c r="K687" s="424"/>
      <c r="L687" s="424"/>
      <c r="M687" s="424"/>
      <c r="N687" s="424"/>
      <c r="O687" s="424"/>
      <c r="P687" s="424"/>
      <c r="Q687" s="424"/>
      <c r="R687" s="424"/>
      <c r="S687" s="424"/>
      <c r="T687" s="424"/>
      <c r="U687" s="424"/>
      <c r="Y687" s="424"/>
      <c r="Z687" s="424"/>
      <c r="AA687" s="424"/>
      <c r="AB687" s="424"/>
      <c r="AC687" s="424"/>
      <c r="AD687" s="424"/>
      <c r="AE687" s="424"/>
      <c r="AF687" s="424"/>
      <c r="AG687" s="424"/>
      <c r="AH687" s="424"/>
      <c r="AI687" s="424"/>
      <c r="AM687" s="424"/>
      <c r="AN687" s="424"/>
      <c r="AO687" s="424"/>
      <c r="AP687" s="424"/>
      <c r="AQ687" s="424"/>
      <c r="AR687" s="424"/>
      <c r="AS687" s="424"/>
      <c r="AT687" s="424"/>
      <c r="AU687" s="424"/>
      <c r="AV687" s="424"/>
      <c r="AW687" s="424"/>
      <c r="AX687" s="424"/>
      <c r="AY687" s="424"/>
    </row>
    <row r="688" spans="2:51">
      <c r="B688" s="424"/>
      <c r="C688" s="424"/>
      <c r="D688" s="424"/>
      <c r="E688" s="424"/>
      <c r="F688" s="424"/>
      <c r="G688" s="424"/>
      <c r="H688" s="424"/>
      <c r="I688" s="424"/>
      <c r="J688" s="424"/>
      <c r="K688" s="424"/>
      <c r="L688" s="424"/>
      <c r="M688" s="424"/>
      <c r="N688" s="424"/>
      <c r="O688" s="424"/>
      <c r="P688" s="424"/>
      <c r="Q688" s="424"/>
      <c r="R688" s="424"/>
      <c r="S688" s="424"/>
      <c r="T688" s="424"/>
      <c r="U688" s="424"/>
      <c r="Y688" s="424"/>
      <c r="Z688" s="424"/>
      <c r="AA688" s="424"/>
      <c r="AB688" s="424"/>
      <c r="AC688" s="424"/>
      <c r="AD688" s="424"/>
      <c r="AE688" s="424"/>
      <c r="AF688" s="424"/>
      <c r="AG688" s="424"/>
      <c r="AH688" s="424"/>
      <c r="AI688" s="424"/>
      <c r="AM688" s="424"/>
      <c r="AN688" s="424"/>
      <c r="AO688" s="424"/>
      <c r="AP688" s="424"/>
      <c r="AQ688" s="424"/>
      <c r="AR688" s="424"/>
      <c r="AS688" s="424"/>
      <c r="AT688" s="424"/>
      <c r="AU688" s="424"/>
      <c r="AV688" s="424"/>
      <c r="AW688" s="424"/>
      <c r="AX688" s="424"/>
      <c r="AY688" s="424"/>
    </row>
    <row r="689" spans="2:51">
      <c r="B689" s="424"/>
      <c r="C689" s="424"/>
      <c r="D689" s="424"/>
      <c r="E689" s="424"/>
      <c r="F689" s="424"/>
      <c r="G689" s="424"/>
      <c r="H689" s="424"/>
      <c r="I689" s="424"/>
      <c r="J689" s="424"/>
      <c r="K689" s="424"/>
      <c r="L689" s="424"/>
      <c r="M689" s="424"/>
      <c r="N689" s="424"/>
      <c r="O689" s="424"/>
      <c r="P689" s="424"/>
      <c r="Q689" s="424"/>
      <c r="R689" s="424"/>
      <c r="S689" s="424"/>
      <c r="T689" s="424"/>
      <c r="U689" s="424"/>
      <c r="Y689" s="424"/>
      <c r="Z689" s="424"/>
      <c r="AA689" s="424"/>
      <c r="AB689" s="424"/>
      <c r="AC689" s="424"/>
      <c r="AD689" s="424"/>
      <c r="AE689" s="424"/>
      <c r="AF689" s="424"/>
      <c r="AG689" s="424"/>
      <c r="AH689" s="424"/>
      <c r="AI689" s="424"/>
      <c r="AM689" s="424"/>
      <c r="AN689" s="424"/>
      <c r="AO689" s="424"/>
      <c r="AP689" s="424"/>
      <c r="AQ689" s="424"/>
      <c r="AR689" s="424"/>
      <c r="AS689" s="424"/>
      <c r="AT689" s="424"/>
      <c r="AU689" s="424"/>
      <c r="AV689" s="424"/>
      <c r="AW689" s="424"/>
      <c r="AX689" s="424"/>
      <c r="AY689" s="424"/>
    </row>
    <row r="690" spans="2:51">
      <c r="B690" s="424"/>
      <c r="C690" s="424"/>
      <c r="D690" s="424"/>
      <c r="E690" s="424"/>
      <c r="F690" s="424"/>
      <c r="G690" s="424"/>
      <c r="H690" s="424"/>
      <c r="I690" s="424"/>
      <c r="J690" s="424"/>
      <c r="K690" s="424"/>
      <c r="L690" s="424"/>
      <c r="M690" s="424"/>
      <c r="N690" s="424"/>
      <c r="O690" s="424"/>
      <c r="P690" s="424"/>
      <c r="Q690" s="424"/>
      <c r="R690" s="424"/>
      <c r="S690" s="424"/>
      <c r="T690" s="424"/>
      <c r="U690" s="424"/>
      <c r="Y690" s="424"/>
      <c r="Z690" s="424"/>
      <c r="AA690" s="424"/>
      <c r="AB690" s="424"/>
      <c r="AC690" s="424"/>
      <c r="AD690" s="424"/>
      <c r="AE690" s="424"/>
      <c r="AF690" s="424"/>
      <c r="AG690" s="424"/>
      <c r="AH690" s="424"/>
      <c r="AI690" s="424"/>
      <c r="AM690" s="424"/>
      <c r="AN690" s="424"/>
      <c r="AO690" s="424"/>
      <c r="AP690" s="424"/>
      <c r="AQ690" s="424"/>
      <c r="AR690" s="424"/>
      <c r="AS690" s="424"/>
      <c r="AT690" s="424"/>
      <c r="AU690" s="424"/>
      <c r="AV690" s="424"/>
      <c r="AW690" s="424"/>
      <c r="AX690" s="424"/>
      <c r="AY690" s="424"/>
    </row>
    <row r="691" spans="2:51">
      <c r="B691" s="424"/>
      <c r="C691" s="424"/>
      <c r="D691" s="424"/>
      <c r="E691" s="424"/>
      <c r="F691" s="424"/>
      <c r="G691" s="424"/>
      <c r="H691" s="424"/>
      <c r="I691" s="424"/>
      <c r="J691" s="424"/>
      <c r="K691" s="424"/>
      <c r="L691" s="424"/>
      <c r="M691" s="424"/>
      <c r="N691" s="424"/>
      <c r="O691" s="424"/>
      <c r="P691" s="424"/>
      <c r="Q691" s="424"/>
      <c r="R691" s="424"/>
      <c r="S691" s="424"/>
      <c r="T691" s="424"/>
      <c r="U691" s="424"/>
      <c r="Y691" s="424"/>
      <c r="Z691" s="424"/>
      <c r="AA691" s="424"/>
      <c r="AB691" s="424"/>
      <c r="AC691" s="424"/>
      <c r="AD691" s="424"/>
      <c r="AE691" s="424"/>
      <c r="AF691" s="424"/>
      <c r="AG691" s="424"/>
      <c r="AH691" s="424"/>
      <c r="AI691" s="424"/>
      <c r="AM691" s="424"/>
      <c r="AN691" s="424"/>
      <c r="AO691" s="424"/>
      <c r="AP691" s="424"/>
      <c r="AQ691" s="424"/>
      <c r="AR691" s="424"/>
      <c r="AS691" s="424"/>
      <c r="AT691" s="424"/>
      <c r="AU691" s="424"/>
      <c r="AV691" s="424"/>
      <c r="AW691" s="424"/>
      <c r="AX691" s="424"/>
      <c r="AY691" s="424"/>
    </row>
    <row r="692" spans="2:51">
      <c r="B692" s="424"/>
      <c r="C692" s="424"/>
      <c r="D692" s="424"/>
      <c r="E692" s="424"/>
      <c r="F692" s="424"/>
      <c r="G692" s="424"/>
      <c r="H692" s="424"/>
      <c r="I692" s="424"/>
      <c r="J692" s="424"/>
      <c r="K692" s="424"/>
      <c r="L692" s="424"/>
      <c r="M692" s="424"/>
      <c r="N692" s="424"/>
      <c r="O692" s="424"/>
      <c r="P692" s="424"/>
      <c r="Q692" s="424"/>
      <c r="R692" s="424"/>
      <c r="S692" s="424"/>
      <c r="T692" s="424"/>
      <c r="U692" s="424"/>
      <c r="Y692" s="424"/>
      <c r="Z692" s="424"/>
      <c r="AA692" s="424"/>
      <c r="AB692" s="424"/>
      <c r="AC692" s="424"/>
      <c r="AD692" s="424"/>
      <c r="AE692" s="424"/>
      <c r="AF692" s="424"/>
      <c r="AG692" s="424"/>
      <c r="AH692" s="424"/>
      <c r="AI692" s="424"/>
      <c r="AM692" s="424"/>
      <c r="AN692" s="424"/>
      <c r="AO692" s="424"/>
      <c r="AP692" s="424"/>
      <c r="AQ692" s="424"/>
      <c r="AR692" s="424"/>
      <c r="AS692" s="424"/>
      <c r="AT692" s="424"/>
      <c r="AU692" s="424"/>
      <c r="AV692" s="424"/>
      <c r="AW692" s="424"/>
      <c r="AX692" s="424"/>
      <c r="AY692" s="424"/>
    </row>
    <row r="693" spans="2:51">
      <c r="B693" s="424"/>
      <c r="C693" s="424"/>
      <c r="D693" s="424"/>
      <c r="E693" s="424"/>
      <c r="F693" s="424"/>
      <c r="G693" s="424"/>
      <c r="H693" s="424"/>
      <c r="I693" s="424"/>
      <c r="J693" s="424"/>
      <c r="K693" s="424"/>
      <c r="L693" s="424"/>
      <c r="M693" s="424"/>
      <c r="N693" s="424"/>
      <c r="O693" s="424"/>
      <c r="P693" s="424"/>
      <c r="Q693" s="424"/>
      <c r="R693" s="424"/>
      <c r="S693" s="424"/>
      <c r="T693" s="424"/>
      <c r="U693" s="424"/>
      <c r="Y693" s="424"/>
      <c r="Z693" s="424"/>
      <c r="AA693" s="424"/>
      <c r="AB693" s="424"/>
      <c r="AC693" s="424"/>
      <c r="AD693" s="424"/>
      <c r="AE693" s="424"/>
      <c r="AF693" s="424"/>
      <c r="AG693" s="424"/>
      <c r="AH693" s="424"/>
      <c r="AI693" s="424"/>
      <c r="AM693" s="424"/>
      <c r="AN693" s="424"/>
      <c r="AO693" s="424"/>
      <c r="AP693" s="424"/>
      <c r="AQ693" s="424"/>
      <c r="AR693" s="424"/>
      <c r="AS693" s="424"/>
      <c r="AT693" s="424"/>
      <c r="AU693" s="424"/>
      <c r="AV693" s="424"/>
      <c r="AW693" s="424"/>
      <c r="AX693" s="424"/>
      <c r="AY693" s="424"/>
    </row>
    <row r="694" spans="2:51">
      <c r="B694" s="424"/>
      <c r="C694" s="424"/>
      <c r="D694" s="424"/>
      <c r="E694" s="424"/>
      <c r="F694" s="424"/>
      <c r="G694" s="424"/>
      <c r="H694" s="424"/>
      <c r="I694" s="424"/>
      <c r="J694" s="424"/>
      <c r="K694" s="424"/>
      <c r="L694" s="424"/>
      <c r="M694" s="424"/>
      <c r="N694" s="424"/>
      <c r="O694" s="424"/>
      <c r="P694" s="424"/>
      <c r="Q694" s="424"/>
      <c r="R694" s="424"/>
      <c r="S694" s="424"/>
      <c r="T694" s="424"/>
      <c r="U694" s="424"/>
      <c r="Y694" s="424"/>
      <c r="Z694" s="424"/>
      <c r="AA694" s="424"/>
      <c r="AB694" s="424"/>
      <c r="AC694" s="424"/>
      <c r="AD694" s="424"/>
      <c r="AE694" s="424"/>
      <c r="AF694" s="424"/>
      <c r="AG694" s="424"/>
      <c r="AH694" s="424"/>
      <c r="AI694" s="424"/>
      <c r="AM694" s="424"/>
      <c r="AN694" s="424"/>
      <c r="AO694" s="424"/>
      <c r="AP694" s="424"/>
      <c r="AQ694" s="424"/>
      <c r="AR694" s="424"/>
      <c r="AS694" s="424"/>
      <c r="AT694" s="424"/>
      <c r="AU694" s="424"/>
      <c r="AV694" s="424"/>
      <c r="AW694" s="424"/>
      <c r="AX694" s="424"/>
      <c r="AY694" s="424"/>
    </row>
    <row r="695" spans="2:51">
      <c r="B695" s="424"/>
      <c r="C695" s="424"/>
      <c r="D695" s="424"/>
      <c r="E695" s="424"/>
      <c r="F695" s="424"/>
      <c r="G695" s="424"/>
      <c r="H695" s="424"/>
      <c r="I695" s="424"/>
      <c r="J695" s="424"/>
      <c r="K695" s="424"/>
      <c r="L695" s="424"/>
      <c r="M695" s="424"/>
      <c r="N695" s="424"/>
      <c r="O695" s="424"/>
      <c r="P695" s="424"/>
      <c r="Q695" s="424"/>
      <c r="R695" s="424"/>
      <c r="S695" s="424"/>
      <c r="T695" s="424"/>
      <c r="U695" s="424"/>
      <c r="Y695" s="424"/>
      <c r="Z695" s="424"/>
      <c r="AA695" s="424"/>
      <c r="AB695" s="424"/>
      <c r="AC695" s="424"/>
      <c r="AD695" s="424"/>
      <c r="AE695" s="424"/>
      <c r="AF695" s="424"/>
      <c r="AG695" s="424"/>
      <c r="AH695" s="424"/>
      <c r="AI695" s="424"/>
      <c r="AM695" s="424"/>
      <c r="AN695" s="424"/>
      <c r="AO695" s="424"/>
      <c r="AP695" s="424"/>
      <c r="AQ695" s="424"/>
      <c r="AR695" s="424"/>
      <c r="AS695" s="424"/>
      <c r="AT695" s="424"/>
      <c r="AU695" s="424"/>
      <c r="AV695" s="424"/>
      <c r="AW695" s="424"/>
      <c r="AX695" s="424"/>
      <c r="AY695" s="424"/>
    </row>
    <row r="696" spans="2:51">
      <c r="B696" s="424"/>
      <c r="C696" s="424"/>
      <c r="D696" s="424"/>
      <c r="E696" s="424"/>
      <c r="F696" s="424"/>
      <c r="G696" s="424"/>
      <c r="H696" s="424"/>
      <c r="I696" s="424"/>
      <c r="J696" s="424"/>
      <c r="K696" s="424"/>
      <c r="L696" s="424"/>
      <c r="M696" s="424"/>
      <c r="N696" s="424"/>
      <c r="O696" s="424"/>
      <c r="P696" s="424"/>
      <c r="Q696" s="424"/>
      <c r="R696" s="424"/>
      <c r="S696" s="424"/>
      <c r="T696" s="424"/>
      <c r="U696" s="424"/>
      <c r="Y696" s="424"/>
      <c r="Z696" s="424"/>
      <c r="AA696" s="424"/>
      <c r="AB696" s="424"/>
      <c r="AC696" s="424"/>
      <c r="AD696" s="424"/>
      <c r="AE696" s="424"/>
      <c r="AF696" s="424"/>
      <c r="AG696" s="424"/>
      <c r="AH696" s="424"/>
      <c r="AI696" s="424"/>
      <c r="AM696" s="424"/>
      <c r="AN696" s="424"/>
      <c r="AO696" s="424"/>
      <c r="AP696" s="424"/>
      <c r="AQ696" s="424"/>
      <c r="AR696" s="424"/>
      <c r="AS696" s="424"/>
      <c r="AT696" s="424"/>
      <c r="AU696" s="424"/>
      <c r="AV696" s="424"/>
      <c r="AW696" s="424"/>
      <c r="AX696" s="424"/>
      <c r="AY696" s="424"/>
    </row>
    <row r="697" spans="2:51">
      <c r="B697" s="424"/>
      <c r="C697" s="424"/>
      <c r="D697" s="424"/>
      <c r="E697" s="424"/>
      <c r="F697" s="424"/>
      <c r="G697" s="424"/>
      <c r="H697" s="424"/>
      <c r="I697" s="424"/>
      <c r="J697" s="424"/>
      <c r="K697" s="424"/>
      <c r="L697" s="424"/>
      <c r="M697" s="424"/>
      <c r="N697" s="424"/>
      <c r="O697" s="424"/>
      <c r="P697" s="424"/>
      <c r="Q697" s="424"/>
      <c r="R697" s="424"/>
      <c r="S697" s="424"/>
      <c r="T697" s="424"/>
      <c r="U697" s="424"/>
      <c r="Y697" s="424"/>
      <c r="Z697" s="424"/>
      <c r="AA697" s="424"/>
      <c r="AB697" s="424"/>
      <c r="AC697" s="424"/>
      <c r="AD697" s="424"/>
      <c r="AE697" s="424"/>
      <c r="AF697" s="424"/>
      <c r="AG697" s="424"/>
      <c r="AH697" s="424"/>
      <c r="AI697" s="424"/>
      <c r="AM697" s="424"/>
      <c r="AN697" s="424"/>
      <c r="AO697" s="424"/>
      <c r="AP697" s="424"/>
      <c r="AQ697" s="424"/>
      <c r="AR697" s="424"/>
      <c r="AS697" s="424"/>
      <c r="AT697" s="424"/>
      <c r="AU697" s="424"/>
      <c r="AV697" s="424"/>
      <c r="AW697" s="424"/>
      <c r="AX697" s="424"/>
      <c r="AY697" s="424"/>
    </row>
    <row r="698" spans="2:51">
      <c r="B698" s="424"/>
      <c r="C698" s="424"/>
      <c r="D698" s="424"/>
      <c r="E698" s="424"/>
      <c r="F698" s="424"/>
      <c r="G698" s="424"/>
      <c r="H698" s="424"/>
      <c r="I698" s="424"/>
      <c r="J698" s="424"/>
      <c r="K698" s="424"/>
      <c r="L698" s="424"/>
      <c r="M698" s="424"/>
      <c r="N698" s="424"/>
      <c r="O698" s="424"/>
      <c r="P698" s="424"/>
      <c r="Q698" s="424"/>
      <c r="R698" s="424"/>
      <c r="S698" s="424"/>
      <c r="T698" s="424"/>
      <c r="U698" s="424"/>
      <c r="Y698" s="424"/>
      <c r="Z698" s="424"/>
      <c r="AA698" s="424"/>
      <c r="AB698" s="424"/>
      <c r="AC698" s="424"/>
      <c r="AD698" s="424"/>
      <c r="AE698" s="424"/>
      <c r="AF698" s="424"/>
      <c r="AG698" s="424"/>
      <c r="AH698" s="424"/>
      <c r="AI698" s="424"/>
      <c r="AM698" s="424"/>
      <c r="AN698" s="424"/>
      <c r="AO698" s="424"/>
      <c r="AP698" s="424"/>
      <c r="AQ698" s="424"/>
      <c r="AR698" s="424"/>
      <c r="AS698" s="424"/>
      <c r="AT698" s="424"/>
      <c r="AU698" s="424"/>
      <c r="AV698" s="424"/>
      <c r="AW698" s="424"/>
      <c r="AX698" s="424"/>
      <c r="AY698" s="424"/>
    </row>
    <row r="699" spans="2:51">
      <c r="B699" s="424"/>
      <c r="C699" s="424"/>
      <c r="D699" s="424"/>
      <c r="E699" s="424"/>
      <c r="F699" s="424"/>
      <c r="G699" s="424"/>
      <c r="H699" s="424"/>
      <c r="I699" s="424"/>
      <c r="J699" s="424"/>
      <c r="K699" s="424"/>
      <c r="L699" s="424"/>
      <c r="M699" s="424"/>
      <c r="N699" s="424"/>
      <c r="O699" s="424"/>
      <c r="P699" s="424"/>
      <c r="Q699" s="424"/>
      <c r="R699" s="424"/>
      <c r="S699" s="424"/>
      <c r="T699" s="424"/>
      <c r="U699" s="424"/>
      <c r="Y699" s="424"/>
      <c r="Z699" s="424"/>
      <c r="AA699" s="424"/>
      <c r="AB699" s="424"/>
      <c r="AC699" s="424"/>
      <c r="AD699" s="424"/>
      <c r="AE699" s="424"/>
      <c r="AF699" s="424"/>
      <c r="AG699" s="424"/>
      <c r="AH699" s="424"/>
      <c r="AI699" s="424"/>
      <c r="AM699" s="424"/>
      <c r="AN699" s="424"/>
      <c r="AO699" s="424"/>
      <c r="AP699" s="424"/>
      <c r="AQ699" s="424"/>
      <c r="AR699" s="424"/>
      <c r="AS699" s="424"/>
      <c r="AT699" s="424"/>
      <c r="AU699" s="424"/>
      <c r="AV699" s="424"/>
      <c r="AW699" s="424"/>
      <c r="AX699" s="424"/>
      <c r="AY699" s="424"/>
    </row>
    <row r="700" spans="2:51">
      <c r="B700" s="424"/>
      <c r="C700" s="424"/>
      <c r="D700" s="424"/>
      <c r="E700" s="424"/>
      <c r="F700" s="424"/>
      <c r="G700" s="424"/>
      <c r="H700" s="424"/>
      <c r="I700" s="424"/>
      <c r="J700" s="424"/>
      <c r="K700" s="424"/>
      <c r="L700" s="424"/>
      <c r="M700" s="424"/>
      <c r="N700" s="424"/>
      <c r="O700" s="424"/>
      <c r="P700" s="424"/>
      <c r="Q700" s="424"/>
      <c r="R700" s="424"/>
      <c r="S700" s="424"/>
      <c r="T700" s="424"/>
      <c r="U700" s="424"/>
      <c r="Y700" s="424"/>
      <c r="Z700" s="424"/>
      <c r="AA700" s="424"/>
      <c r="AB700" s="424"/>
      <c r="AC700" s="424"/>
      <c r="AD700" s="424"/>
      <c r="AE700" s="424"/>
      <c r="AF700" s="424"/>
      <c r="AG700" s="424"/>
      <c r="AH700" s="424"/>
      <c r="AI700" s="424"/>
      <c r="AM700" s="424"/>
      <c r="AN700" s="424"/>
      <c r="AO700" s="424"/>
      <c r="AP700" s="424"/>
      <c r="AQ700" s="424"/>
      <c r="AR700" s="424"/>
      <c r="AS700" s="424"/>
      <c r="AT700" s="424"/>
      <c r="AU700" s="424"/>
      <c r="AV700" s="424"/>
      <c r="AW700" s="424"/>
      <c r="AX700" s="424"/>
      <c r="AY700" s="424"/>
    </row>
    <row r="701" spans="2:51">
      <c r="B701" s="424"/>
      <c r="C701" s="424"/>
      <c r="D701" s="424"/>
      <c r="E701" s="424"/>
      <c r="F701" s="424"/>
      <c r="G701" s="424"/>
      <c r="H701" s="424"/>
      <c r="I701" s="424"/>
      <c r="J701" s="424"/>
      <c r="K701" s="424"/>
      <c r="L701" s="424"/>
      <c r="M701" s="424"/>
      <c r="N701" s="424"/>
      <c r="O701" s="424"/>
      <c r="P701" s="424"/>
      <c r="Q701" s="424"/>
      <c r="R701" s="424"/>
      <c r="S701" s="424"/>
      <c r="T701" s="424"/>
      <c r="U701" s="424"/>
      <c r="Y701" s="424"/>
      <c r="Z701" s="424"/>
      <c r="AA701" s="424"/>
      <c r="AB701" s="424"/>
      <c r="AC701" s="424"/>
      <c r="AD701" s="424"/>
      <c r="AE701" s="424"/>
      <c r="AF701" s="424"/>
      <c r="AG701" s="424"/>
      <c r="AH701" s="424"/>
      <c r="AI701" s="424"/>
      <c r="AM701" s="424"/>
      <c r="AN701" s="424"/>
      <c r="AO701" s="424"/>
      <c r="AP701" s="424"/>
      <c r="AQ701" s="424"/>
      <c r="AR701" s="424"/>
      <c r="AS701" s="424"/>
      <c r="AT701" s="424"/>
      <c r="AU701" s="424"/>
      <c r="AV701" s="424"/>
      <c r="AW701" s="424"/>
      <c r="AX701" s="424"/>
      <c r="AY701" s="424"/>
    </row>
    <row r="702" spans="2:51">
      <c r="B702" s="424"/>
      <c r="C702" s="424"/>
      <c r="D702" s="424"/>
      <c r="E702" s="424"/>
      <c r="F702" s="424"/>
      <c r="G702" s="424"/>
      <c r="H702" s="424"/>
      <c r="I702" s="424"/>
      <c r="J702" s="424"/>
      <c r="K702" s="424"/>
      <c r="L702" s="424"/>
      <c r="M702" s="424"/>
      <c r="N702" s="424"/>
      <c r="O702" s="424"/>
      <c r="P702" s="424"/>
      <c r="Q702" s="424"/>
      <c r="R702" s="424"/>
      <c r="S702" s="424"/>
      <c r="T702" s="424"/>
      <c r="U702" s="424"/>
      <c r="Y702" s="424"/>
      <c r="Z702" s="424"/>
      <c r="AA702" s="424"/>
      <c r="AB702" s="424"/>
      <c r="AC702" s="424"/>
      <c r="AD702" s="424"/>
      <c r="AE702" s="424"/>
      <c r="AF702" s="424"/>
      <c r="AG702" s="424"/>
      <c r="AH702" s="424"/>
      <c r="AI702" s="424"/>
      <c r="AM702" s="424"/>
      <c r="AN702" s="424"/>
      <c r="AO702" s="424"/>
      <c r="AP702" s="424"/>
      <c r="AQ702" s="424"/>
      <c r="AR702" s="424"/>
      <c r="AS702" s="424"/>
      <c r="AT702" s="424"/>
      <c r="AU702" s="424"/>
      <c r="AV702" s="424"/>
      <c r="AW702" s="424"/>
      <c r="AX702" s="424"/>
      <c r="AY702" s="424"/>
    </row>
    <row r="703" spans="2:51">
      <c r="B703" s="424"/>
      <c r="C703" s="424"/>
      <c r="D703" s="424"/>
      <c r="E703" s="424"/>
      <c r="F703" s="424"/>
      <c r="G703" s="424"/>
      <c r="H703" s="424"/>
      <c r="I703" s="424"/>
      <c r="J703" s="424"/>
      <c r="K703" s="424"/>
      <c r="L703" s="424"/>
      <c r="M703" s="424"/>
      <c r="N703" s="424"/>
      <c r="O703" s="424"/>
      <c r="P703" s="424"/>
      <c r="Q703" s="424"/>
      <c r="R703" s="424"/>
      <c r="S703" s="424"/>
      <c r="T703" s="424"/>
      <c r="U703" s="424"/>
      <c r="Y703" s="424"/>
      <c r="Z703" s="424"/>
      <c r="AA703" s="424"/>
      <c r="AB703" s="424"/>
      <c r="AC703" s="424"/>
      <c r="AD703" s="424"/>
      <c r="AE703" s="424"/>
      <c r="AF703" s="424"/>
      <c r="AG703" s="424"/>
      <c r="AH703" s="424"/>
      <c r="AI703" s="424"/>
      <c r="AM703" s="424"/>
      <c r="AN703" s="424"/>
      <c r="AO703" s="424"/>
      <c r="AP703" s="424"/>
      <c r="AQ703" s="424"/>
      <c r="AR703" s="424"/>
      <c r="AS703" s="424"/>
      <c r="AT703" s="424"/>
      <c r="AU703" s="424"/>
      <c r="AV703" s="424"/>
      <c r="AW703" s="424"/>
      <c r="AX703" s="424"/>
      <c r="AY703" s="424"/>
    </row>
    <row r="704" spans="2:51">
      <c r="B704" s="424"/>
      <c r="C704" s="424"/>
      <c r="D704" s="424"/>
      <c r="E704" s="424"/>
      <c r="F704" s="424"/>
      <c r="G704" s="424"/>
      <c r="H704" s="424"/>
      <c r="I704" s="424"/>
      <c r="J704" s="424"/>
      <c r="K704" s="424"/>
      <c r="L704" s="424"/>
      <c r="M704" s="424"/>
      <c r="N704" s="424"/>
      <c r="O704" s="424"/>
      <c r="P704" s="424"/>
      <c r="Q704" s="424"/>
      <c r="R704" s="424"/>
      <c r="S704" s="424"/>
      <c r="T704" s="424"/>
      <c r="U704" s="424"/>
      <c r="Y704" s="424"/>
      <c r="Z704" s="424"/>
      <c r="AA704" s="424"/>
      <c r="AB704" s="424"/>
      <c r="AC704" s="424"/>
      <c r="AD704" s="424"/>
      <c r="AE704" s="424"/>
      <c r="AF704" s="424"/>
      <c r="AG704" s="424"/>
      <c r="AH704" s="424"/>
      <c r="AI704" s="424"/>
      <c r="AM704" s="424"/>
      <c r="AN704" s="424"/>
      <c r="AO704" s="424"/>
      <c r="AP704" s="424"/>
      <c r="AQ704" s="424"/>
      <c r="AR704" s="424"/>
      <c r="AS704" s="424"/>
      <c r="AT704" s="424"/>
      <c r="AU704" s="424"/>
      <c r="AV704" s="424"/>
      <c r="AW704" s="424"/>
      <c r="AX704" s="424"/>
      <c r="AY704" s="424"/>
    </row>
    <row r="705" spans="2:51">
      <c r="B705" s="424"/>
      <c r="C705" s="424"/>
      <c r="D705" s="424"/>
      <c r="E705" s="424"/>
      <c r="F705" s="424"/>
      <c r="G705" s="424"/>
      <c r="H705" s="424"/>
      <c r="I705" s="424"/>
      <c r="J705" s="424"/>
      <c r="K705" s="424"/>
      <c r="L705" s="424"/>
      <c r="M705" s="424"/>
      <c r="N705" s="424"/>
      <c r="O705" s="424"/>
      <c r="P705" s="424"/>
      <c r="Q705" s="424"/>
      <c r="R705" s="424"/>
      <c r="S705" s="424"/>
      <c r="T705" s="424"/>
      <c r="U705" s="424"/>
      <c r="Y705" s="424"/>
      <c r="Z705" s="424"/>
      <c r="AA705" s="424"/>
      <c r="AB705" s="424"/>
      <c r="AC705" s="424"/>
      <c r="AD705" s="424"/>
      <c r="AE705" s="424"/>
      <c r="AF705" s="424"/>
      <c r="AG705" s="424"/>
      <c r="AH705" s="424"/>
      <c r="AI705" s="424"/>
      <c r="AM705" s="424"/>
      <c r="AN705" s="424"/>
      <c r="AO705" s="424"/>
      <c r="AP705" s="424"/>
      <c r="AQ705" s="424"/>
      <c r="AR705" s="424"/>
      <c r="AS705" s="424"/>
      <c r="AT705" s="424"/>
      <c r="AU705" s="424"/>
      <c r="AV705" s="424"/>
      <c r="AW705" s="424"/>
      <c r="AX705" s="424"/>
      <c r="AY705" s="424"/>
    </row>
    <row r="706" spans="2:51">
      <c r="B706" s="424"/>
      <c r="C706" s="424"/>
      <c r="D706" s="424"/>
      <c r="E706" s="424"/>
      <c r="F706" s="424"/>
      <c r="G706" s="424"/>
      <c r="H706" s="424"/>
      <c r="I706" s="424"/>
      <c r="J706" s="424"/>
      <c r="K706" s="424"/>
      <c r="L706" s="424"/>
      <c r="M706" s="424"/>
      <c r="N706" s="424"/>
      <c r="O706" s="424"/>
      <c r="P706" s="424"/>
      <c r="Q706" s="424"/>
      <c r="R706" s="424"/>
      <c r="S706" s="424"/>
      <c r="T706" s="424"/>
      <c r="U706" s="424"/>
      <c r="Y706" s="424"/>
      <c r="Z706" s="424"/>
      <c r="AA706" s="424"/>
      <c r="AB706" s="424"/>
      <c r="AC706" s="424"/>
      <c r="AD706" s="424"/>
      <c r="AE706" s="424"/>
      <c r="AF706" s="424"/>
      <c r="AG706" s="424"/>
      <c r="AH706" s="424"/>
      <c r="AI706" s="424"/>
      <c r="AM706" s="424"/>
      <c r="AN706" s="424"/>
      <c r="AO706" s="424"/>
      <c r="AP706" s="424"/>
      <c r="AQ706" s="424"/>
      <c r="AR706" s="424"/>
      <c r="AS706" s="424"/>
      <c r="AT706" s="424"/>
      <c r="AU706" s="424"/>
      <c r="AV706" s="424"/>
      <c r="AW706" s="424"/>
      <c r="AX706" s="424"/>
      <c r="AY706" s="424"/>
    </row>
    <row r="707" spans="2:51">
      <c r="B707" s="424"/>
      <c r="C707" s="424"/>
      <c r="D707" s="424"/>
      <c r="E707" s="424"/>
      <c r="F707" s="424"/>
      <c r="G707" s="424"/>
      <c r="H707" s="424"/>
      <c r="I707" s="424"/>
      <c r="J707" s="424"/>
      <c r="K707" s="424"/>
      <c r="L707" s="424"/>
      <c r="M707" s="424"/>
      <c r="N707" s="424"/>
      <c r="O707" s="424"/>
      <c r="P707" s="424"/>
      <c r="Q707" s="424"/>
      <c r="R707" s="424"/>
      <c r="S707" s="424"/>
      <c r="T707" s="424"/>
      <c r="U707" s="424"/>
      <c r="Y707" s="424"/>
      <c r="Z707" s="424"/>
      <c r="AA707" s="424"/>
      <c r="AB707" s="424"/>
      <c r="AC707" s="424"/>
      <c r="AD707" s="424"/>
      <c r="AE707" s="424"/>
      <c r="AF707" s="424"/>
      <c r="AG707" s="424"/>
      <c r="AH707" s="424"/>
      <c r="AI707" s="424"/>
      <c r="AM707" s="424"/>
      <c r="AN707" s="424"/>
      <c r="AO707" s="424"/>
      <c r="AP707" s="424"/>
      <c r="AQ707" s="424"/>
      <c r="AR707" s="424"/>
      <c r="AS707" s="424"/>
      <c r="AT707" s="424"/>
      <c r="AU707" s="424"/>
      <c r="AV707" s="424"/>
      <c r="AW707" s="424"/>
      <c r="AX707" s="424"/>
      <c r="AY707" s="424"/>
    </row>
    <row r="708" spans="2:51">
      <c r="B708" s="424"/>
      <c r="C708" s="424"/>
      <c r="D708" s="424"/>
      <c r="E708" s="424"/>
      <c r="F708" s="424"/>
      <c r="G708" s="424"/>
      <c r="H708" s="424"/>
      <c r="I708" s="424"/>
      <c r="J708" s="424"/>
      <c r="K708" s="424"/>
      <c r="L708" s="424"/>
      <c r="M708" s="424"/>
      <c r="N708" s="424"/>
      <c r="O708" s="424"/>
      <c r="P708" s="424"/>
      <c r="Q708" s="424"/>
      <c r="R708" s="424"/>
      <c r="S708" s="424"/>
      <c r="T708" s="424"/>
      <c r="U708" s="424"/>
      <c r="Y708" s="424"/>
      <c r="Z708" s="424"/>
      <c r="AA708" s="424"/>
      <c r="AB708" s="424"/>
      <c r="AC708" s="424"/>
      <c r="AD708" s="424"/>
      <c r="AE708" s="424"/>
      <c r="AF708" s="424"/>
      <c r="AG708" s="424"/>
      <c r="AH708" s="424"/>
      <c r="AI708" s="424"/>
      <c r="AM708" s="424"/>
      <c r="AN708" s="424"/>
      <c r="AO708" s="424"/>
      <c r="AP708" s="424"/>
      <c r="AQ708" s="424"/>
      <c r="AR708" s="424"/>
      <c r="AS708" s="424"/>
      <c r="AT708" s="424"/>
      <c r="AU708" s="424"/>
      <c r="AV708" s="424"/>
      <c r="AW708" s="424"/>
      <c r="AX708" s="424"/>
      <c r="AY708" s="424"/>
    </row>
    <row r="709" spans="2:51">
      <c r="B709" s="424"/>
      <c r="C709" s="424"/>
      <c r="D709" s="424"/>
      <c r="E709" s="424"/>
      <c r="F709" s="424"/>
      <c r="G709" s="424"/>
      <c r="H709" s="424"/>
      <c r="I709" s="424"/>
      <c r="J709" s="424"/>
      <c r="K709" s="424"/>
      <c r="L709" s="424"/>
      <c r="M709" s="424"/>
      <c r="N709" s="424"/>
      <c r="O709" s="424"/>
      <c r="P709" s="424"/>
      <c r="Q709" s="424"/>
      <c r="R709" s="424"/>
      <c r="S709" s="424"/>
      <c r="T709" s="424"/>
      <c r="U709" s="424"/>
      <c r="Y709" s="424"/>
      <c r="Z709" s="424"/>
      <c r="AA709" s="424"/>
      <c r="AB709" s="424"/>
      <c r="AC709" s="424"/>
      <c r="AD709" s="424"/>
      <c r="AE709" s="424"/>
      <c r="AF709" s="424"/>
      <c r="AG709" s="424"/>
      <c r="AH709" s="424"/>
      <c r="AI709" s="424"/>
      <c r="AM709" s="424"/>
      <c r="AN709" s="424"/>
      <c r="AO709" s="424"/>
      <c r="AP709" s="424"/>
      <c r="AQ709" s="424"/>
      <c r="AR709" s="424"/>
      <c r="AS709" s="424"/>
      <c r="AT709" s="424"/>
      <c r="AU709" s="424"/>
      <c r="AV709" s="424"/>
      <c r="AW709" s="424"/>
      <c r="AX709" s="424"/>
      <c r="AY709" s="424"/>
    </row>
    <row r="710" spans="2:51">
      <c r="B710" s="424"/>
      <c r="C710" s="424"/>
      <c r="D710" s="424"/>
      <c r="E710" s="424"/>
      <c r="F710" s="424"/>
      <c r="G710" s="424"/>
      <c r="H710" s="424"/>
      <c r="I710" s="424"/>
      <c r="J710" s="424"/>
      <c r="K710" s="424"/>
      <c r="L710" s="424"/>
      <c r="M710" s="424"/>
      <c r="N710" s="424"/>
      <c r="O710" s="424"/>
      <c r="P710" s="424"/>
      <c r="Q710" s="424"/>
      <c r="R710" s="424"/>
      <c r="S710" s="424"/>
      <c r="T710" s="424"/>
      <c r="U710" s="424"/>
      <c r="Y710" s="424"/>
      <c r="Z710" s="424"/>
      <c r="AA710" s="424"/>
      <c r="AB710" s="424"/>
      <c r="AC710" s="424"/>
      <c r="AD710" s="424"/>
      <c r="AE710" s="424"/>
      <c r="AF710" s="424"/>
      <c r="AG710" s="424"/>
      <c r="AH710" s="424"/>
      <c r="AI710" s="424"/>
      <c r="AM710" s="424"/>
      <c r="AN710" s="424"/>
      <c r="AO710" s="424"/>
      <c r="AP710" s="424"/>
      <c r="AQ710" s="424"/>
      <c r="AR710" s="424"/>
      <c r="AS710" s="424"/>
      <c r="AT710" s="424"/>
      <c r="AU710" s="424"/>
      <c r="AV710" s="424"/>
      <c r="AW710" s="424"/>
      <c r="AX710" s="424"/>
      <c r="AY710" s="424"/>
    </row>
    <row r="711" spans="2:51">
      <c r="B711" s="424"/>
      <c r="C711" s="424"/>
      <c r="D711" s="424"/>
      <c r="E711" s="424"/>
      <c r="F711" s="424"/>
      <c r="G711" s="424"/>
      <c r="H711" s="424"/>
      <c r="I711" s="424"/>
      <c r="J711" s="424"/>
      <c r="K711" s="424"/>
      <c r="L711" s="424"/>
      <c r="M711" s="424"/>
      <c r="N711" s="424"/>
      <c r="O711" s="424"/>
      <c r="P711" s="424"/>
      <c r="Q711" s="424"/>
      <c r="R711" s="424"/>
      <c r="S711" s="424"/>
      <c r="T711" s="424"/>
      <c r="U711" s="424"/>
      <c r="Y711" s="424"/>
      <c r="Z711" s="424"/>
      <c r="AA711" s="424"/>
      <c r="AB711" s="424"/>
      <c r="AC711" s="424"/>
      <c r="AD711" s="424"/>
      <c r="AE711" s="424"/>
      <c r="AF711" s="424"/>
      <c r="AG711" s="424"/>
      <c r="AH711" s="424"/>
      <c r="AI711" s="424"/>
      <c r="AM711" s="424"/>
      <c r="AN711" s="424"/>
      <c r="AO711" s="424"/>
      <c r="AP711" s="424"/>
      <c r="AQ711" s="424"/>
      <c r="AR711" s="424"/>
      <c r="AS711" s="424"/>
      <c r="AT711" s="424"/>
      <c r="AU711" s="424"/>
      <c r="AV711" s="424"/>
      <c r="AW711" s="424"/>
      <c r="AX711" s="424"/>
      <c r="AY711" s="424"/>
    </row>
    <row r="712" spans="2:51">
      <c r="B712" s="424"/>
      <c r="C712" s="424"/>
      <c r="D712" s="424"/>
      <c r="E712" s="424"/>
      <c r="F712" s="424"/>
      <c r="G712" s="424"/>
      <c r="H712" s="424"/>
      <c r="I712" s="424"/>
      <c r="J712" s="424"/>
      <c r="K712" s="424"/>
      <c r="L712" s="424"/>
      <c r="M712" s="424"/>
      <c r="N712" s="424"/>
      <c r="O712" s="424"/>
      <c r="P712" s="424"/>
      <c r="Q712" s="424"/>
      <c r="R712" s="424"/>
      <c r="S712" s="424"/>
      <c r="T712" s="424"/>
      <c r="U712" s="424"/>
      <c r="Y712" s="424"/>
      <c r="Z712" s="424"/>
      <c r="AA712" s="424"/>
      <c r="AB712" s="424"/>
      <c r="AC712" s="424"/>
      <c r="AD712" s="424"/>
      <c r="AE712" s="424"/>
      <c r="AF712" s="424"/>
      <c r="AG712" s="424"/>
      <c r="AH712" s="424"/>
      <c r="AI712" s="424"/>
      <c r="AM712" s="424"/>
      <c r="AN712" s="424"/>
      <c r="AO712" s="424"/>
      <c r="AP712" s="424"/>
      <c r="AQ712" s="424"/>
      <c r="AR712" s="424"/>
      <c r="AS712" s="424"/>
      <c r="AT712" s="424"/>
      <c r="AU712" s="424"/>
      <c r="AV712" s="424"/>
      <c r="AW712" s="424"/>
      <c r="AX712" s="424"/>
      <c r="AY712" s="424"/>
    </row>
    <row r="713" spans="2:51">
      <c r="B713" s="424"/>
      <c r="C713" s="424"/>
      <c r="D713" s="424"/>
      <c r="E713" s="424"/>
      <c r="F713" s="424"/>
      <c r="G713" s="424"/>
      <c r="H713" s="424"/>
      <c r="I713" s="424"/>
      <c r="J713" s="424"/>
      <c r="K713" s="424"/>
      <c r="L713" s="424"/>
      <c r="M713" s="424"/>
      <c r="N713" s="424"/>
      <c r="O713" s="424"/>
      <c r="P713" s="424"/>
      <c r="Q713" s="424"/>
      <c r="R713" s="424"/>
      <c r="S713" s="424"/>
      <c r="T713" s="424"/>
      <c r="U713" s="424"/>
      <c r="Y713" s="424"/>
      <c r="Z713" s="424"/>
      <c r="AA713" s="424"/>
      <c r="AB713" s="424"/>
      <c r="AC713" s="424"/>
      <c r="AD713" s="424"/>
      <c r="AE713" s="424"/>
      <c r="AF713" s="424"/>
      <c r="AG713" s="424"/>
      <c r="AH713" s="424"/>
      <c r="AI713" s="424"/>
      <c r="AM713" s="424"/>
      <c r="AN713" s="424"/>
      <c r="AO713" s="424"/>
      <c r="AP713" s="424"/>
      <c r="AQ713" s="424"/>
      <c r="AR713" s="424"/>
      <c r="AS713" s="424"/>
      <c r="AT713" s="424"/>
      <c r="AU713" s="424"/>
      <c r="AV713" s="424"/>
      <c r="AW713" s="424"/>
      <c r="AX713" s="424"/>
      <c r="AY713" s="424"/>
    </row>
    <row r="714" spans="2:51">
      <c r="B714" s="424"/>
      <c r="C714" s="424"/>
      <c r="D714" s="424"/>
      <c r="E714" s="424"/>
      <c r="F714" s="424"/>
      <c r="G714" s="424"/>
      <c r="H714" s="424"/>
      <c r="I714" s="424"/>
      <c r="J714" s="424"/>
      <c r="K714" s="424"/>
      <c r="L714" s="424"/>
      <c r="M714" s="424"/>
      <c r="N714" s="424"/>
      <c r="O714" s="424"/>
      <c r="P714" s="424"/>
      <c r="Q714" s="424"/>
      <c r="R714" s="424"/>
      <c r="S714" s="424"/>
      <c r="T714" s="424"/>
      <c r="U714" s="424"/>
      <c r="Y714" s="424"/>
      <c r="Z714" s="424"/>
      <c r="AA714" s="424"/>
      <c r="AB714" s="424"/>
      <c r="AC714" s="424"/>
      <c r="AD714" s="424"/>
      <c r="AE714" s="424"/>
      <c r="AF714" s="424"/>
      <c r="AG714" s="424"/>
      <c r="AH714" s="424"/>
      <c r="AI714" s="424"/>
      <c r="AM714" s="424"/>
      <c r="AN714" s="424"/>
      <c r="AO714" s="424"/>
      <c r="AP714" s="424"/>
      <c r="AQ714" s="424"/>
      <c r="AR714" s="424"/>
      <c r="AS714" s="424"/>
      <c r="AT714" s="424"/>
      <c r="AU714" s="424"/>
      <c r="AV714" s="424"/>
      <c r="AW714" s="424"/>
      <c r="AX714" s="424"/>
      <c r="AY714" s="424"/>
    </row>
    <row r="715" spans="2:51">
      <c r="B715" s="424"/>
      <c r="C715" s="424"/>
      <c r="D715" s="424"/>
      <c r="E715" s="424"/>
      <c r="F715" s="424"/>
      <c r="G715" s="424"/>
      <c r="H715" s="424"/>
      <c r="I715" s="424"/>
      <c r="J715" s="424"/>
      <c r="K715" s="424"/>
      <c r="L715" s="424"/>
      <c r="M715" s="424"/>
      <c r="N715" s="424"/>
      <c r="O715" s="424"/>
      <c r="P715" s="424"/>
      <c r="Q715" s="424"/>
      <c r="R715" s="424"/>
      <c r="S715" s="424"/>
      <c r="T715" s="424"/>
      <c r="U715" s="424"/>
      <c r="Y715" s="424"/>
      <c r="Z715" s="424"/>
      <c r="AA715" s="424"/>
      <c r="AB715" s="424"/>
      <c r="AC715" s="424"/>
      <c r="AD715" s="424"/>
      <c r="AE715" s="424"/>
      <c r="AF715" s="424"/>
      <c r="AG715" s="424"/>
      <c r="AH715" s="424"/>
      <c r="AI715" s="424"/>
      <c r="AM715" s="424"/>
      <c r="AN715" s="424"/>
      <c r="AO715" s="424"/>
      <c r="AP715" s="424"/>
      <c r="AQ715" s="424"/>
      <c r="AR715" s="424"/>
      <c r="AS715" s="424"/>
      <c r="AT715" s="424"/>
      <c r="AU715" s="424"/>
      <c r="AV715" s="424"/>
      <c r="AW715" s="424"/>
      <c r="AX715" s="424"/>
      <c r="AY715" s="424"/>
    </row>
    <row r="716" spans="2:51">
      <c r="B716" s="424"/>
      <c r="C716" s="424"/>
      <c r="D716" s="424"/>
      <c r="E716" s="424"/>
      <c r="F716" s="424"/>
      <c r="G716" s="424"/>
      <c r="H716" s="424"/>
      <c r="I716" s="424"/>
      <c r="J716" s="424"/>
      <c r="K716" s="424"/>
      <c r="L716" s="424"/>
      <c r="M716" s="424"/>
      <c r="N716" s="424"/>
      <c r="O716" s="424"/>
      <c r="P716" s="424"/>
      <c r="Q716" s="424"/>
      <c r="R716" s="424"/>
      <c r="S716" s="424"/>
      <c r="T716" s="424"/>
      <c r="U716" s="424"/>
      <c r="Y716" s="424"/>
      <c r="Z716" s="424"/>
      <c r="AA716" s="424"/>
      <c r="AB716" s="424"/>
      <c r="AC716" s="424"/>
      <c r="AD716" s="424"/>
      <c r="AE716" s="424"/>
      <c r="AF716" s="424"/>
      <c r="AG716" s="424"/>
      <c r="AH716" s="424"/>
      <c r="AI716" s="424"/>
      <c r="AM716" s="424"/>
      <c r="AN716" s="424"/>
      <c r="AO716" s="424"/>
      <c r="AP716" s="424"/>
      <c r="AQ716" s="424"/>
      <c r="AR716" s="424"/>
      <c r="AS716" s="424"/>
      <c r="AT716" s="424"/>
      <c r="AU716" s="424"/>
      <c r="AV716" s="424"/>
      <c r="AW716" s="424"/>
      <c r="AX716" s="424"/>
      <c r="AY716" s="424"/>
    </row>
    <row r="717" spans="2:51">
      <c r="B717" s="424"/>
      <c r="C717" s="424"/>
      <c r="D717" s="424"/>
      <c r="E717" s="424"/>
      <c r="F717" s="424"/>
      <c r="G717" s="424"/>
      <c r="H717" s="424"/>
      <c r="I717" s="424"/>
      <c r="J717" s="424"/>
      <c r="K717" s="424"/>
      <c r="L717" s="424"/>
      <c r="M717" s="424"/>
      <c r="N717" s="424"/>
      <c r="O717" s="424"/>
      <c r="P717" s="424"/>
      <c r="Q717" s="424"/>
      <c r="R717" s="424"/>
      <c r="S717" s="424"/>
      <c r="T717" s="424"/>
      <c r="U717" s="424"/>
      <c r="Y717" s="424"/>
      <c r="Z717" s="424"/>
      <c r="AA717" s="424"/>
      <c r="AB717" s="424"/>
      <c r="AC717" s="424"/>
      <c r="AD717" s="424"/>
      <c r="AE717" s="424"/>
      <c r="AF717" s="424"/>
      <c r="AG717" s="424"/>
      <c r="AH717" s="424"/>
      <c r="AI717" s="424"/>
      <c r="AM717" s="424"/>
      <c r="AN717" s="424"/>
      <c r="AO717" s="424"/>
      <c r="AP717" s="424"/>
      <c r="AQ717" s="424"/>
      <c r="AR717" s="424"/>
      <c r="AS717" s="424"/>
      <c r="AT717" s="424"/>
      <c r="AU717" s="424"/>
      <c r="AV717" s="424"/>
      <c r="AW717" s="424"/>
      <c r="AX717" s="424"/>
      <c r="AY717" s="424"/>
    </row>
    <row r="718" spans="2:51">
      <c r="B718" s="424"/>
      <c r="C718" s="424"/>
      <c r="D718" s="424"/>
      <c r="E718" s="424"/>
      <c r="F718" s="424"/>
      <c r="G718" s="424"/>
      <c r="H718" s="424"/>
      <c r="I718" s="424"/>
      <c r="J718" s="424"/>
      <c r="K718" s="424"/>
      <c r="L718" s="424"/>
      <c r="M718" s="424"/>
      <c r="N718" s="424"/>
      <c r="O718" s="424"/>
      <c r="P718" s="424"/>
      <c r="Q718" s="424"/>
      <c r="R718" s="424"/>
      <c r="S718" s="424"/>
      <c r="T718" s="424"/>
      <c r="U718" s="424"/>
      <c r="Y718" s="424"/>
      <c r="Z718" s="424"/>
      <c r="AA718" s="424"/>
      <c r="AB718" s="424"/>
      <c r="AC718" s="424"/>
      <c r="AD718" s="424"/>
      <c r="AE718" s="424"/>
      <c r="AF718" s="424"/>
      <c r="AG718" s="424"/>
      <c r="AH718" s="424"/>
      <c r="AI718" s="424"/>
      <c r="AM718" s="424"/>
      <c r="AN718" s="424"/>
      <c r="AO718" s="424"/>
      <c r="AP718" s="424"/>
      <c r="AQ718" s="424"/>
      <c r="AR718" s="424"/>
      <c r="AS718" s="424"/>
      <c r="AT718" s="424"/>
      <c r="AU718" s="424"/>
      <c r="AV718" s="424"/>
      <c r="AW718" s="424"/>
      <c r="AX718" s="424"/>
      <c r="AY718" s="424"/>
    </row>
    <row r="719" spans="2:51">
      <c r="B719" s="424"/>
      <c r="C719" s="424"/>
      <c r="D719" s="424"/>
      <c r="E719" s="424"/>
      <c r="F719" s="424"/>
      <c r="G719" s="424"/>
      <c r="H719" s="424"/>
      <c r="I719" s="424"/>
      <c r="J719" s="424"/>
      <c r="K719" s="424"/>
      <c r="L719" s="424"/>
      <c r="M719" s="424"/>
      <c r="N719" s="424"/>
      <c r="O719" s="424"/>
      <c r="P719" s="424"/>
      <c r="Q719" s="424"/>
      <c r="R719" s="424"/>
      <c r="S719" s="424"/>
      <c r="T719" s="424"/>
      <c r="U719" s="424"/>
      <c r="Y719" s="424"/>
      <c r="Z719" s="424"/>
      <c r="AA719" s="424"/>
      <c r="AB719" s="424"/>
      <c r="AC719" s="424"/>
      <c r="AD719" s="424"/>
      <c r="AE719" s="424"/>
      <c r="AF719" s="424"/>
      <c r="AG719" s="424"/>
      <c r="AH719" s="424"/>
      <c r="AI719" s="424"/>
      <c r="AM719" s="424"/>
      <c r="AN719" s="424"/>
      <c r="AO719" s="424"/>
      <c r="AP719" s="424"/>
      <c r="AQ719" s="424"/>
      <c r="AR719" s="424"/>
      <c r="AS719" s="424"/>
      <c r="AT719" s="424"/>
      <c r="AU719" s="424"/>
      <c r="AV719" s="424"/>
      <c r="AW719" s="424"/>
      <c r="AX719" s="424"/>
      <c r="AY719" s="424"/>
    </row>
    <row r="720" spans="2:51">
      <c r="B720" s="424"/>
      <c r="C720" s="424"/>
      <c r="D720" s="424"/>
      <c r="E720" s="424"/>
      <c r="F720" s="424"/>
      <c r="G720" s="424"/>
      <c r="H720" s="424"/>
      <c r="I720" s="424"/>
      <c r="J720" s="424"/>
      <c r="K720" s="424"/>
      <c r="L720" s="424"/>
      <c r="M720" s="424"/>
      <c r="N720" s="424"/>
      <c r="O720" s="424"/>
      <c r="P720" s="424"/>
      <c r="Q720" s="424"/>
      <c r="R720" s="424"/>
      <c r="S720" s="424"/>
      <c r="T720" s="424"/>
      <c r="U720" s="424"/>
      <c r="Y720" s="424"/>
      <c r="Z720" s="424"/>
      <c r="AA720" s="424"/>
      <c r="AB720" s="424"/>
      <c r="AC720" s="424"/>
      <c r="AD720" s="424"/>
      <c r="AE720" s="424"/>
      <c r="AF720" s="424"/>
      <c r="AG720" s="424"/>
      <c r="AH720" s="424"/>
      <c r="AI720" s="424"/>
      <c r="AM720" s="424"/>
      <c r="AN720" s="424"/>
      <c r="AO720" s="424"/>
      <c r="AP720" s="424"/>
      <c r="AQ720" s="424"/>
      <c r="AR720" s="424"/>
      <c r="AS720" s="424"/>
      <c r="AT720" s="424"/>
      <c r="AU720" s="424"/>
      <c r="AV720" s="424"/>
      <c r="AW720" s="424"/>
      <c r="AX720" s="424"/>
      <c r="AY720" s="424"/>
    </row>
    <row r="721" spans="2:51">
      <c r="B721" s="424"/>
      <c r="C721" s="424"/>
      <c r="D721" s="424"/>
      <c r="E721" s="424"/>
      <c r="F721" s="424"/>
      <c r="G721" s="424"/>
      <c r="H721" s="424"/>
      <c r="I721" s="424"/>
      <c r="J721" s="424"/>
      <c r="K721" s="424"/>
      <c r="L721" s="424"/>
      <c r="M721" s="424"/>
      <c r="N721" s="424"/>
      <c r="O721" s="424"/>
      <c r="P721" s="424"/>
      <c r="Q721" s="424"/>
      <c r="R721" s="424"/>
      <c r="S721" s="424"/>
      <c r="T721" s="424"/>
      <c r="U721" s="424"/>
      <c r="Y721" s="424"/>
      <c r="Z721" s="424"/>
      <c r="AA721" s="424"/>
      <c r="AB721" s="424"/>
      <c r="AC721" s="424"/>
      <c r="AD721" s="424"/>
      <c r="AE721" s="424"/>
      <c r="AF721" s="424"/>
      <c r="AG721" s="424"/>
      <c r="AH721" s="424"/>
      <c r="AI721" s="424"/>
      <c r="AM721" s="424"/>
      <c r="AN721" s="424"/>
      <c r="AO721" s="424"/>
      <c r="AP721" s="424"/>
      <c r="AQ721" s="424"/>
      <c r="AR721" s="424"/>
      <c r="AS721" s="424"/>
      <c r="AT721" s="424"/>
      <c r="AU721" s="424"/>
      <c r="AV721" s="424"/>
      <c r="AW721" s="424"/>
      <c r="AX721" s="424"/>
      <c r="AY721" s="424"/>
    </row>
    <row r="722" spans="2:51">
      <c r="B722" s="424"/>
      <c r="C722" s="424"/>
      <c r="D722" s="424"/>
      <c r="E722" s="424"/>
      <c r="F722" s="424"/>
      <c r="G722" s="424"/>
      <c r="H722" s="424"/>
      <c r="I722" s="424"/>
      <c r="J722" s="424"/>
      <c r="K722" s="424"/>
      <c r="L722" s="424"/>
      <c r="M722" s="424"/>
      <c r="N722" s="424"/>
      <c r="O722" s="424"/>
      <c r="P722" s="424"/>
      <c r="Q722" s="424"/>
      <c r="R722" s="424"/>
      <c r="S722" s="424"/>
      <c r="T722" s="424"/>
      <c r="U722" s="424"/>
      <c r="Y722" s="424"/>
      <c r="Z722" s="424"/>
      <c r="AA722" s="424"/>
      <c r="AB722" s="424"/>
      <c r="AC722" s="424"/>
      <c r="AD722" s="424"/>
      <c r="AE722" s="424"/>
      <c r="AF722" s="424"/>
      <c r="AG722" s="424"/>
      <c r="AH722" s="424"/>
      <c r="AI722" s="424"/>
      <c r="AM722" s="424"/>
      <c r="AN722" s="424"/>
      <c r="AO722" s="424"/>
      <c r="AP722" s="424"/>
      <c r="AQ722" s="424"/>
      <c r="AR722" s="424"/>
      <c r="AS722" s="424"/>
      <c r="AT722" s="424"/>
      <c r="AU722" s="424"/>
      <c r="AV722" s="424"/>
      <c r="AW722" s="424"/>
      <c r="AX722" s="424"/>
      <c r="AY722" s="424"/>
    </row>
    <row r="723" spans="2:51">
      <c r="B723" s="424"/>
      <c r="C723" s="424"/>
      <c r="D723" s="424"/>
      <c r="E723" s="424"/>
      <c r="F723" s="424"/>
      <c r="G723" s="424"/>
      <c r="H723" s="424"/>
      <c r="I723" s="424"/>
      <c r="J723" s="424"/>
      <c r="K723" s="424"/>
      <c r="L723" s="424"/>
      <c r="M723" s="424"/>
      <c r="N723" s="424"/>
      <c r="O723" s="424"/>
      <c r="P723" s="424"/>
      <c r="Q723" s="424"/>
      <c r="R723" s="424"/>
      <c r="S723" s="424"/>
      <c r="T723" s="424"/>
      <c r="U723" s="424"/>
      <c r="Y723" s="424"/>
      <c r="Z723" s="424"/>
      <c r="AA723" s="424"/>
      <c r="AB723" s="424"/>
      <c r="AC723" s="424"/>
      <c r="AD723" s="424"/>
      <c r="AE723" s="424"/>
      <c r="AF723" s="424"/>
      <c r="AG723" s="424"/>
      <c r="AH723" s="424"/>
      <c r="AI723" s="424"/>
      <c r="AM723" s="424"/>
      <c r="AN723" s="424"/>
      <c r="AO723" s="424"/>
      <c r="AP723" s="424"/>
      <c r="AQ723" s="424"/>
      <c r="AR723" s="424"/>
      <c r="AS723" s="424"/>
      <c r="AT723" s="424"/>
      <c r="AU723" s="424"/>
      <c r="AV723" s="424"/>
      <c r="AW723" s="424"/>
      <c r="AX723" s="424"/>
      <c r="AY723" s="424"/>
    </row>
    <row r="724" spans="2:51">
      <c r="B724" s="424"/>
      <c r="C724" s="424"/>
      <c r="D724" s="424"/>
      <c r="E724" s="424"/>
      <c r="F724" s="424"/>
      <c r="G724" s="424"/>
      <c r="H724" s="424"/>
      <c r="I724" s="424"/>
      <c r="J724" s="424"/>
      <c r="K724" s="424"/>
      <c r="L724" s="424"/>
      <c r="M724" s="424"/>
      <c r="N724" s="424"/>
      <c r="O724" s="424"/>
      <c r="P724" s="424"/>
      <c r="Q724" s="424"/>
      <c r="R724" s="424"/>
      <c r="S724" s="424"/>
      <c r="T724" s="424"/>
      <c r="U724" s="424"/>
      <c r="Y724" s="424"/>
      <c r="Z724" s="424"/>
      <c r="AA724" s="424"/>
      <c r="AB724" s="424"/>
      <c r="AC724" s="424"/>
      <c r="AD724" s="424"/>
      <c r="AE724" s="424"/>
      <c r="AF724" s="424"/>
      <c r="AG724" s="424"/>
      <c r="AH724" s="424"/>
      <c r="AI724" s="424"/>
      <c r="AM724" s="424"/>
      <c r="AN724" s="424"/>
      <c r="AO724" s="424"/>
      <c r="AP724" s="424"/>
      <c r="AQ724" s="424"/>
      <c r="AR724" s="424"/>
      <c r="AS724" s="424"/>
      <c r="AT724" s="424"/>
      <c r="AU724" s="424"/>
      <c r="AV724" s="424"/>
      <c r="AW724" s="424"/>
      <c r="AX724" s="424"/>
      <c r="AY724" s="424"/>
    </row>
    <row r="725" spans="2:51">
      <c r="B725" s="424"/>
      <c r="C725" s="424"/>
      <c r="D725" s="424"/>
      <c r="E725" s="424"/>
      <c r="F725" s="424"/>
      <c r="G725" s="424"/>
      <c r="H725" s="424"/>
      <c r="I725" s="424"/>
      <c r="J725" s="424"/>
      <c r="K725" s="424"/>
      <c r="L725" s="424"/>
      <c r="M725" s="424"/>
      <c r="N725" s="424"/>
      <c r="O725" s="424"/>
      <c r="P725" s="424"/>
      <c r="Q725" s="424"/>
      <c r="R725" s="424"/>
      <c r="S725" s="424"/>
      <c r="T725" s="424"/>
      <c r="U725" s="424"/>
      <c r="Y725" s="424"/>
      <c r="Z725" s="424"/>
      <c r="AA725" s="424"/>
      <c r="AB725" s="424"/>
      <c r="AC725" s="424"/>
      <c r="AD725" s="424"/>
      <c r="AE725" s="424"/>
      <c r="AF725" s="424"/>
      <c r="AG725" s="424"/>
      <c r="AH725" s="424"/>
      <c r="AI725" s="424"/>
      <c r="AM725" s="424"/>
      <c r="AN725" s="424"/>
      <c r="AO725" s="424"/>
      <c r="AP725" s="424"/>
      <c r="AQ725" s="424"/>
      <c r="AR725" s="424"/>
      <c r="AS725" s="424"/>
      <c r="AT725" s="424"/>
      <c r="AU725" s="424"/>
      <c r="AV725" s="424"/>
      <c r="AW725" s="424"/>
      <c r="AX725" s="424"/>
      <c r="AY725" s="424"/>
    </row>
    <row r="726" spans="2:51">
      <c r="B726" s="424"/>
      <c r="C726" s="424"/>
      <c r="D726" s="424"/>
      <c r="E726" s="424"/>
      <c r="F726" s="424"/>
      <c r="G726" s="424"/>
      <c r="H726" s="424"/>
      <c r="I726" s="424"/>
      <c r="J726" s="424"/>
      <c r="K726" s="424"/>
      <c r="L726" s="424"/>
      <c r="M726" s="424"/>
      <c r="N726" s="424"/>
      <c r="O726" s="424"/>
      <c r="P726" s="424"/>
      <c r="Q726" s="424"/>
      <c r="R726" s="424"/>
      <c r="S726" s="424"/>
      <c r="T726" s="424"/>
      <c r="U726" s="424"/>
      <c r="Y726" s="424"/>
      <c r="Z726" s="424"/>
      <c r="AA726" s="424"/>
      <c r="AB726" s="424"/>
      <c r="AC726" s="424"/>
      <c r="AD726" s="424"/>
      <c r="AE726" s="424"/>
      <c r="AF726" s="424"/>
      <c r="AG726" s="424"/>
      <c r="AH726" s="424"/>
      <c r="AI726" s="424"/>
      <c r="AM726" s="424"/>
      <c r="AN726" s="424"/>
      <c r="AO726" s="424"/>
      <c r="AP726" s="424"/>
      <c r="AQ726" s="424"/>
      <c r="AR726" s="424"/>
      <c r="AS726" s="424"/>
      <c r="AT726" s="424"/>
      <c r="AU726" s="424"/>
      <c r="AV726" s="424"/>
      <c r="AW726" s="424"/>
      <c r="AX726" s="424"/>
      <c r="AY726" s="424"/>
    </row>
    <row r="727" spans="2:51">
      <c r="B727" s="424"/>
      <c r="C727" s="424"/>
      <c r="D727" s="424"/>
      <c r="E727" s="424"/>
      <c r="F727" s="424"/>
      <c r="G727" s="424"/>
      <c r="H727" s="424"/>
      <c r="I727" s="424"/>
      <c r="J727" s="424"/>
      <c r="K727" s="424"/>
      <c r="L727" s="424"/>
      <c r="M727" s="424"/>
      <c r="N727" s="424"/>
      <c r="O727" s="424"/>
      <c r="P727" s="424"/>
      <c r="Q727" s="424"/>
      <c r="R727" s="424"/>
      <c r="S727" s="424"/>
      <c r="T727" s="424"/>
      <c r="U727" s="424"/>
      <c r="Y727" s="424"/>
      <c r="Z727" s="424"/>
      <c r="AA727" s="424"/>
      <c r="AB727" s="424"/>
      <c r="AC727" s="424"/>
      <c r="AD727" s="424"/>
      <c r="AE727" s="424"/>
      <c r="AF727" s="424"/>
      <c r="AG727" s="424"/>
      <c r="AH727" s="424"/>
      <c r="AI727" s="424"/>
      <c r="AM727" s="424"/>
      <c r="AN727" s="424"/>
      <c r="AO727" s="424"/>
      <c r="AP727" s="424"/>
      <c r="AQ727" s="424"/>
      <c r="AR727" s="424"/>
      <c r="AS727" s="424"/>
      <c r="AT727" s="424"/>
      <c r="AU727" s="424"/>
      <c r="AV727" s="424"/>
      <c r="AW727" s="424"/>
      <c r="AX727" s="424"/>
      <c r="AY727" s="424"/>
    </row>
    <row r="728" spans="2:51">
      <c r="B728" s="424"/>
      <c r="C728" s="424"/>
      <c r="D728" s="424"/>
      <c r="E728" s="424"/>
      <c r="F728" s="424"/>
      <c r="G728" s="424"/>
      <c r="H728" s="424"/>
      <c r="I728" s="424"/>
      <c r="J728" s="424"/>
      <c r="K728" s="424"/>
      <c r="L728" s="424"/>
      <c r="M728" s="424"/>
      <c r="N728" s="424"/>
      <c r="O728" s="424"/>
      <c r="P728" s="424"/>
      <c r="Q728" s="424"/>
      <c r="R728" s="424"/>
      <c r="S728" s="424"/>
      <c r="T728" s="424"/>
      <c r="U728" s="424"/>
      <c r="Y728" s="424"/>
      <c r="Z728" s="424"/>
      <c r="AA728" s="424"/>
      <c r="AB728" s="424"/>
      <c r="AC728" s="424"/>
      <c r="AD728" s="424"/>
      <c r="AE728" s="424"/>
      <c r="AF728" s="424"/>
      <c r="AG728" s="424"/>
      <c r="AH728" s="424"/>
      <c r="AI728" s="424"/>
      <c r="AM728" s="424"/>
      <c r="AN728" s="424"/>
      <c r="AO728" s="424"/>
      <c r="AP728" s="424"/>
      <c r="AQ728" s="424"/>
      <c r="AR728" s="424"/>
      <c r="AS728" s="424"/>
      <c r="AT728" s="424"/>
      <c r="AU728" s="424"/>
      <c r="AV728" s="424"/>
      <c r="AW728" s="424"/>
      <c r="AX728" s="424"/>
      <c r="AY728" s="424"/>
    </row>
    <row r="729" spans="2:51">
      <c r="B729" s="424"/>
      <c r="C729" s="424"/>
      <c r="D729" s="424"/>
      <c r="E729" s="424"/>
      <c r="F729" s="424"/>
      <c r="G729" s="424"/>
      <c r="H729" s="424"/>
      <c r="I729" s="424"/>
      <c r="J729" s="424"/>
      <c r="K729" s="424"/>
      <c r="L729" s="424"/>
      <c r="M729" s="424"/>
      <c r="N729" s="424"/>
      <c r="O729" s="424"/>
      <c r="P729" s="424"/>
      <c r="Q729" s="424"/>
      <c r="R729" s="424"/>
      <c r="S729" s="424"/>
      <c r="T729" s="424"/>
      <c r="U729" s="424"/>
      <c r="Y729" s="424"/>
      <c r="Z729" s="424"/>
      <c r="AA729" s="424"/>
      <c r="AB729" s="424"/>
      <c r="AC729" s="424"/>
      <c r="AD729" s="424"/>
      <c r="AE729" s="424"/>
      <c r="AF729" s="424"/>
      <c r="AG729" s="424"/>
      <c r="AH729" s="424"/>
      <c r="AI729" s="424"/>
      <c r="AM729" s="424"/>
      <c r="AN729" s="424"/>
      <c r="AO729" s="424"/>
      <c r="AP729" s="424"/>
      <c r="AQ729" s="424"/>
      <c r="AR729" s="424"/>
      <c r="AS729" s="424"/>
      <c r="AT729" s="424"/>
      <c r="AU729" s="424"/>
      <c r="AV729" s="424"/>
      <c r="AW729" s="424"/>
      <c r="AX729" s="424"/>
      <c r="AY729" s="424"/>
    </row>
    <row r="730" spans="2:51">
      <c r="B730" s="424"/>
      <c r="C730" s="424"/>
      <c r="D730" s="424"/>
      <c r="E730" s="424"/>
      <c r="F730" s="424"/>
      <c r="G730" s="424"/>
      <c r="H730" s="424"/>
      <c r="I730" s="424"/>
      <c r="J730" s="424"/>
      <c r="K730" s="424"/>
      <c r="L730" s="424"/>
      <c r="M730" s="424"/>
      <c r="N730" s="424"/>
      <c r="O730" s="424"/>
      <c r="P730" s="424"/>
      <c r="Q730" s="424"/>
      <c r="R730" s="424"/>
      <c r="S730" s="424"/>
      <c r="T730" s="424"/>
      <c r="U730" s="424"/>
      <c r="Y730" s="424"/>
      <c r="Z730" s="424"/>
      <c r="AA730" s="424"/>
      <c r="AB730" s="424"/>
      <c r="AC730" s="424"/>
      <c r="AD730" s="424"/>
      <c r="AE730" s="424"/>
      <c r="AF730" s="424"/>
      <c r="AG730" s="424"/>
      <c r="AH730" s="424"/>
      <c r="AI730" s="424"/>
      <c r="AM730" s="424"/>
      <c r="AN730" s="424"/>
      <c r="AO730" s="424"/>
      <c r="AP730" s="424"/>
      <c r="AQ730" s="424"/>
      <c r="AR730" s="424"/>
      <c r="AS730" s="424"/>
      <c r="AT730" s="424"/>
      <c r="AU730" s="424"/>
      <c r="AV730" s="424"/>
      <c r="AW730" s="424"/>
      <c r="AX730" s="424"/>
      <c r="AY730" s="424"/>
    </row>
    <row r="731" spans="2:51">
      <c r="B731" s="424"/>
      <c r="C731" s="424"/>
      <c r="D731" s="424"/>
      <c r="E731" s="424"/>
      <c r="F731" s="424"/>
      <c r="G731" s="424"/>
      <c r="H731" s="424"/>
      <c r="I731" s="424"/>
      <c r="J731" s="424"/>
      <c r="K731" s="424"/>
      <c r="L731" s="424"/>
      <c r="M731" s="424"/>
      <c r="N731" s="424"/>
      <c r="O731" s="424"/>
      <c r="P731" s="424"/>
      <c r="Q731" s="424"/>
      <c r="R731" s="424"/>
      <c r="S731" s="424"/>
      <c r="T731" s="424"/>
      <c r="U731" s="424"/>
      <c r="Y731" s="424"/>
      <c r="Z731" s="424"/>
      <c r="AA731" s="424"/>
      <c r="AB731" s="424"/>
      <c r="AC731" s="424"/>
      <c r="AD731" s="424"/>
      <c r="AE731" s="424"/>
      <c r="AF731" s="424"/>
      <c r="AG731" s="424"/>
      <c r="AH731" s="424"/>
      <c r="AI731" s="424"/>
      <c r="AM731" s="424"/>
      <c r="AN731" s="424"/>
      <c r="AO731" s="424"/>
      <c r="AP731" s="424"/>
      <c r="AQ731" s="424"/>
      <c r="AR731" s="424"/>
      <c r="AS731" s="424"/>
      <c r="AT731" s="424"/>
      <c r="AU731" s="424"/>
      <c r="AV731" s="424"/>
      <c r="AW731" s="424"/>
      <c r="AX731" s="424"/>
      <c r="AY731" s="424"/>
    </row>
    <row r="732" spans="2:51">
      <c r="B732" s="424"/>
      <c r="C732" s="424"/>
      <c r="D732" s="424"/>
      <c r="E732" s="424"/>
      <c r="F732" s="424"/>
      <c r="G732" s="424"/>
      <c r="H732" s="424"/>
      <c r="I732" s="424"/>
      <c r="J732" s="424"/>
      <c r="K732" s="424"/>
      <c r="L732" s="424"/>
      <c r="M732" s="424"/>
      <c r="N732" s="424"/>
      <c r="O732" s="424"/>
      <c r="P732" s="424"/>
      <c r="Q732" s="424"/>
      <c r="R732" s="424"/>
      <c r="S732" s="424"/>
      <c r="T732" s="424"/>
      <c r="U732" s="424"/>
      <c r="Y732" s="424"/>
      <c r="Z732" s="424"/>
      <c r="AA732" s="424"/>
      <c r="AB732" s="424"/>
      <c r="AC732" s="424"/>
      <c r="AD732" s="424"/>
      <c r="AE732" s="424"/>
      <c r="AF732" s="424"/>
      <c r="AG732" s="424"/>
      <c r="AH732" s="424"/>
      <c r="AI732" s="424"/>
      <c r="AM732" s="424"/>
      <c r="AN732" s="424"/>
      <c r="AO732" s="424"/>
      <c r="AP732" s="424"/>
      <c r="AQ732" s="424"/>
      <c r="AR732" s="424"/>
      <c r="AS732" s="424"/>
      <c r="AT732" s="424"/>
      <c r="AU732" s="424"/>
      <c r="AV732" s="424"/>
      <c r="AW732" s="424"/>
      <c r="AX732" s="424"/>
      <c r="AY732" s="424"/>
    </row>
    <row r="733" spans="2:51">
      <c r="B733" s="424"/>
      <c r="C733" s="424"/>
      <c r="D733" s="424"/>
      <c r="E733" s="424"/>
      <c r="F733" s="424"/>
      <c r="G733" s="424"/>
      <c r="H733" s="424"/>
      <c r="I733" s="424"/>
      <c r="J733" s="424"/>
      <c r="K733" s="424"/>
      <c r="L733" s="424"/>
      <c r="M733" s="424"/>
      <c r="N733" s="424"/>
      <c r="O733" s="424"/>
      <c r="P733" s="424"/>
      <c r="Q733" s="424"/>
      <c r="R733" s="424"/>
      <c r="S733" s="424"/>
      <c r="T733" s="424"/>
      <c r="U733" s="424"/>
      <c r="Y733" s="424"/>
      <c r="Z733" s="424"/>
      <c r="AA733" s="424"/>
      <c r="AB733" s="424"/>
      <c r="AC733" s="424"/>
      <c r="AD733" s="424"/>
      <c r="AE733" s="424"/>
      <c r="AF733" s="424"/>
      <c r="AG733" s="424"/>
      <c r="AH733" s="424"/>
      <c r="AI733" s="424"/>
      <c r="AM733" s="424"/>
      <c r="AN733" s="424"/>
      <c r="AO733" s="424"/>
      <c r="AP733" s="424"/>
      <c r="AQ733" s="424"/>
      <c r="AR733" s="424"/>
      <c r="AS733" s="424"/>
      <c r="AT733" s="424"/>
      <c r="AU733" s="424"/>
      <c r="AV733" s="424"/>
      <c r="AW733" s="424"/>
      <c r="AX733" s="424"/>
      <c r="AY733" s="424"/>
    </row>
    <row r="734" spans="2:51">
      <c r="B734" s="424"/>
      <c r="C734" s="424"/>
      <c r="D734" s="424"/>
      <c r="E734" s="424"/>
      <c r="F734" s="424"/>
      <c r="G734" s="424"/>
      <c r="H734" s="424"/>
      <c r="I734" s="424"/>
      <c r="J734" s="424"/>
      <c r="K734" s="424"/>
      <c r="L734" s="424"/>
      <c r="M734" s="424"/>
      <c r="N734" s="424"/>
      <c r="O734" s="424"/>
      <c r="P734" s="424"/>
      <c r="Q734" s="424"/>
      <c r="R734" s="424"/>
      <c r="S734" s="424"/>
      <c r="T734" s="424"/>
      <c r="U734" s="424"/>
      <c r="Y734" s="424"/>
      <c r="Z734" s="424"/>
      <c r="AA734" s="424"/>
      <c r="AB734" s="424"/>
      <c r="AC734" s="424"/>
      <c r="AD734" s="424"/>
      <c r="AE734" s="424"/>
      <c r="AF734" s="424"/>
      <c r="AG734" s="424"/>
      <c r="AH734" s="424"/>
      <c r="AI734" s="424"/>
      <c r="AM734" s="424"/>
      <c r="AN734" s="424"/>
      <c r="AO734" s="424"/>
      <c r="AP734" s="424"/>
      <c r="AQ734" s="424"/>
      <c r="AR734" s="424"/>
      <c r="AS734" s="424"/>
      <c r="AT734" s="424"/>
      <c r="AU734" s="424"/>
      <c r="AV734" s="424"/>
      <c r="AW734" s="424"/>
      <c r="AX734" s="424"/>
      <c r="AY734" s="424"/>
    </row>
    <row r="735" spans="2:51">
      <c r="B735" s="424"/>
      <c r="C735" s="424"/>
      <c r="D735" s="424"/>
      <c r="E735" s="424"/>
      <c r="F735" s="424"/>
      <c r="G735" s="424"/>
      <c r="H735" s="424"/>
      <c r="I735" s="424"/>
      <c r="J735" s="424"/>
      <c r="K735" s="424"/>
      <c r="L735" s="424"/>
      <c r="M735" s="424"/>
      <c r="N735" s="424"/>
      <c r="O735" s="424"/>
      <c r="P735" s="424"/>
      <c r="Q735" s="424"/>
      <c r="R735" s="424"/>
      <c r="S735" s="424"/>
      <c r="T735" s="424"/>
      <c r="U735" s="424"/>
      <c r="Y735" s="424"/>
      <c r="Z735" s="424"/>
      <c r="AA735" s="424"/>
      <c r="AB735" s="424"/>
      <c r="AC735" s="424"/>
      <c r="AD735" s="424"/>
      <c r="AE735" s="424"/>
      <c r="AF735" s="424"/>
      <c r="AG735" s="424"/>
      <c r="AH735" s="424"/>
      <c r="AI735" s="424"/>
      <c r="AM735" s="424"/>
      <c r="AN735" s="424"/>
      <c r="AO735" s="424"/>
      <c r="AP735" s="424"/>
      <c r="AQ735" s="424"/>
      <c r="AR735" s="424"/>
      <c r="AS735" s="424"/>
      <c r="AT735" s="424"/>
      <c r="AU735" s="424"/>
      <c r="AV735" s="424"/>
      <c r="AW735" s="424"/>
      <c r="AX735" s="424"/>
      <c r="AY735" s="424"/>
    </row>
    <row r="736" spans="2:51">
      <c r="B736" s="424"/>
      <c r="C736" s="424"/>
      <c r="D736" s="424"/>
      <c r="E736" s="424"/>
      <c r="F736" s="424"/>
      <c r="G736" s="424"/>
      <c r="H736" s="424"/>
      <c r="I736" s="424"/>
      <c r="J736" s="424"/>
      <c r="K736" s="424"/>
      <c r="L736" s="424"/>
      <c r="M736" s="424"/>
      <c r="N736" s="424"/>
      <c r="O736" s="424"/>
      <c r="P736" s="424"/>
      <c r="Q736" s="424"/>
      <c r="R736" s="424"/>
      <c r="S736" s="424"/>
      <c r="T736" s="424"/>
      <c r="U736" s="424"/>
      <c r="Y736" s="424"/>
      <c r="Z736" s="424"/>
      <c r="AA736" s="424"/>
      <c r="AB736" s="424"/>
      <c r="AC736" s="424"/>
      <c r="AD736" s="424"/>
      <c r="AE736" s="424"/>
      <c r="AF736" s="424"/>
      <c r="AG736" s="424"/>
      <c r="AH736" s="424"/>
      <c r="AI736" s="424"/>
      <c r="AM736" s="424"/>
      <c r="AN736" s="424"/>
      <c r="AO736" s="424"/>
      <c r="AP736" s="424"/>
      <c r="AQ736" s="424"/>
      <c r="AR736" s="424"/>
      <c r="AS736" s="424"/>
      <c r="AT736" s="424"/>
      <c r="AU736" s="424"/>
      <c r="AV736" s="424"/>
      <c r="AW736" s="424"/>
      <c r="AX736" s="424"/>
      <c r="AY736" s="424"/>
    </row>
    <row r="737" spans="2:51">
      <c r="B737" s="424"/>
      <c r="C737" s="424"/>
      <c r="D737" s="424"/>
      <c r="E737" s="424"/>
      <c r="F737" s="424"/>
      <c r="G737" s="424"/>
      <c r="H737" s="424"/>
      <c r="I737" s="424"/>
      <c r="J737" s="424"/>
      <c r="K737" s="424"/>
      <c r="L737" s="424"/>
      <c r="M737" s="424"/>
      <c r="N737" s="424"/>
      <c r="O737" s="424"/>
      <c r="P737" s="424"/>
      <c r="Q737" s="424"/>
      <c r="R737" s="424"/>
      <c r="S737" s="424"/>
      <c r="T737" s="424"/>
      <c r="U737" s="424"/>
      <c r="Y737" s="424"/>
      <c r="Z737" s="424"/>
      <c r="AA737" s="424"/>
      <c r="AB737" s="424"/>
      <c r="AC737" s="424"/>
      <c r="AD737" s="424"/>
      <c r="AE737" s="424"/>
      <c r="AF737" s="424"/>
      <c r="AG737" s="424"/>
      <c r="AH737" s="424"/>
      <c r="AI737" s="424"/>
      <c r="AM737" s="424"/>
      <c r="AN737" s="424"/>
      <c r="AO737" s="424"/>
      <c r="AP737" s="424"/>
      <c r="AQ737" s="424"/>
      <c r="AR737" s="424"/>
      <c r="AS737" s="424"/>
      <c r="AT737" s="424"/>
      <c r="AU737" s="424"/>
      <c r="AV737" s="424"/>
      <c r="AW737" s="424"/>
      <c r="AX737" s="424"/>
      <c r="AY737" s="424"/>
    </row>
    <row r="738" spans="2:51">
      <c r="B738" s="424"/>
      <c r="C738" s="424"/>
      <c r="D738" s="424"/>
      <c r="E738" s="424"/>
      <c r="F738" s="424"/>
      <c r="G738" s="424"/>
      <c r="H738" s="424"/>
      <c r="I738" s="424"/>
      <c r="J738" s="424"/>
      <c r="K738" s="424"/>
      <c r="L738" s="424"/>
      <c r="M738" s="424"/>
      <c r="N738" s="424"/>
      <c r="O738" s="424"/>
      <c r="P738" s="424"/>
      <c r="Q738" s="424"/>
      <c r="R738" s="424"/>
      <c r="S738" s="424"/>
      <c r="T738" s="424"/>
      <c r="U738" s="424"/>
      <c r="Y738" s="424"/>
      <c r="Z738" s="424"/>
      <c r="AA738" s="424"/>
      <c r="AB738" s="424"/>
      <c r="AC738" s="424"/>
      <c r="AD738" s="424"/>
      <c r="AE738" s="424"/>
      <c r="AF738" s="424"/>
      <c r="AG738" s="424"/>
      <c r="AH738" s="424"/>
      <c r="AI738" s="424"/>
      <c r="AM738" s="424"/>
      <c r="AN738" s="424"/>
      <c r="AO738" s="424"/>
      <c r="AP738" s="424"/>
      <c r="AQ738" s="424"/>
      <c r="AR738" s="424"/>
      <c r="AS738" s="424"/>
      <c r="AT738" s="424"/>
      <c r="AU738" s="424"/>
      <c r="AV738" s="424"/>
      <c r="AW738" s="424"/>
      <c r="AX738" s="424"/>
      <c r="AY738" s="424"/>
    </row>
    <row r="739" spans="2:51">
      <c r="B739" s="424"/>
      <c r="C739" s="424"/>
      <c r="D739" s="424"/>
      <c r="E739" s="424"/>
      <c r="F739" s="424"/>
      <c r="G739" s="424"/>
      <c r="H739" s="424"/>
      <c r="I739" s="424"/>
      <c r="J739" s="424"/>
      <c r="K739" s="424"/>
      <c r="L739" s="424"/>
      <c r="M739" s="424"/>
      <c r="N739" s="424"/>
      <c r="O739" s="424"/>
      <c r="P739" s="424"/>
      <c r="Q739" s="424"/>
      <c r="R739" s="424"/>
      <c r="S739" s="424"/>
      <c r="T739" s="424"/>
      <c r="U739" s="424"/>
      <c r="Y739" s="424"/>
      <c r="Z739" s="424"/>
      <c r="AA739" s="424"/>
      <c r="AB739" s="424"/>
      <c r="AC739" s="424"/>
      <c r="AD739" s="424"/>
      <c r="AE739" s="424"/>
      <c r="AF739" s="424"/>
      <c r="AG739" s="424"/>
      <c r="AH739" s="424"/>
      <c r="AI739" s="424"/>
      <c r="AM739" s="424"/>
      <c r="AN739" s="424"/>
      <c r="AO739" s="424"/>
      <c r="AP739" s="424"/>
      <c r="AQ739" s="424"/>
      <c r="AR739" s="424"/>
      <c r="AS739" s="424"/>
      <c r="AT739" s="424"/>
      <c r="AU739" s="424"/>
      <c r="AV739" s="424"/>
      <c r="AW739" s="424"/>
      <c r="AX739" s="424"/>
      <c r="AY739" s="424"/>
    </row>
    <row r="740" spans="2:51">
      <c r="B740" s="424"/>
      <c r="C740" s="424"/>
      <c r="D740" s="424"/>
      <c r="E740" s="424"/>
      <c r="F740" s="424"/>
      <c r="G740" s="424"/>
      <c r="H740" s="424"/>
      <c r="I740" s="424"/>
      <c r="J740" s="424"/>
      <c r="K740" s="424"/>
      <c r="L740" s="424"/>
      <c r="M740" s="424"/>
      <c r="N740" s="424"/>
      <c r="O740" s="424"/>
      <c r="P740" s="424"/>
      <c r="Q740" s="424"/>
      <c r="R740" s="424"/>
      <c r="S740" s="424"/>
      <c r="T740" s="424"/>
      <c r="U740" s="424"/>
      <c r="Y740" s="424"/>
      <c r="Z740" s="424"/>
      <c r="AA740" s="424"/>
      <c r="AB740" s="424"/>
      <c r="AC740" s="424"/>
      <c r="AD740" s="424"/>
      <c r="AE740" s="424"/>
      <c r="AF740" s="424"/>
      <c r="AG740" s="424"/>
      <c r="AH740" s="424"/>
      <c r="AI740" s="424"/>
      <c r="AM740" s="424"/>
      <c r="AN740" s="424"/>
      <c r="AO740" s="424"/>
      <c r="AP740" s="424"/>
      <c r="AQ740" s="424"/>
      <c r="AR740" s="424"/>
      <c r="AS740" s="424"/>
      <c r="AT740" s="424"/>
      <c r="AU740" s="424"/>
      <c r="AV740" s="424"/>
      <c r="AW740" s="424"/>
      <c r="AX740" s="424"/>
      <c r="AY740" s="424"/>
    </row>
    <row r="741" spans="2:51">
      <c r="B741" s="424"/>
      <c r="C741" s="424"/>
      <c r="D741" s="424"/>
      <c r="E741" s="424"/>
      <c r="F741" s="424"/>
      <c r="G741" s="424"/>
      <c r="H741" s="424"/>
      <c r="I741" s="424"/>
      <c r="J741" s="424"/>
      <c r="K741" s="424"/>
      <c r="L741" s="424"/>
      <c r="M741" s="424"/>
      <c r="N741" s="424"/>
      <c r="O741" s="424"/>
      <c r="P741" s="424"/>
      <c r="Q741" s="424"/>
      <c r="R741" s="424"/>
      <c r="S741" s="424"/>
      <c r="T741" s="424"/>
      <c r="U741" s="424"/>
      <c r="Y741" s="424"/>
      <c r="Z741" s="424"/>
      <c r="AA741" s="424"/>
      <c r="AB741" s="424"/>
      <c r="AC741" s="424"/>
      <c r="AD741" s="424"/>
      <c r="AE741" s="424"/>
      <c r="AF741" s="424"/>
      <c r="AG741" s="424"/>
      <c r="AH741" s="424"/>
      <c r="AI741" s="424"/>
      <c r="AM741" s="424"/>
      <c r="AN741" s="424"/>
      <c r="AO741" s="424"/>
      <c r="AP741" s="424"/>
      <c r="AQ741" s="424"/>
      <c r="AR741" s="424"/>
      <c r="AS741" s="424"/>
      <c r="AT741" s="424"/>
      <c r="AU741" s="424"/>
      <c r="AV741" s="424"/>
      <c r="AW741" s="424"/>
      <c r="AX741" s="424"/>
      <c r="AY741" s="424"/>
    </row>
    <row r="742" spans="2:51">
      <c r="B742" s="424"/>
      <c r="C742" s="424"/>
      <c r="D742" s="424"/>
      <c r="E742" s="424"/>
      <c r="F742" s="424"/>
      <c r="G742" s="424"/>
      <c r="H742" s="424"/>
      <c r="I742" s="424"/>
      <c r="J742" s="424"/>
      <c r="K742" s="424"/>
      <c r="L742" s="424"/>
      <c r="M742" s="424"/>
      <c r="N742" s="424"/>
      <c r="O742" s="424"/>
      <c r="P742" s="424"/>
      <c r="Q742" s="424"/>
      <c r="R742" s="424"/>
      <c r="S742" s="424"/>
      <c r="T742" s="424"/>
      <c r="U742" s="424"/>
      <c r="Y742" s="424"/>
      <c r="Z742" s="424"/>
      <c r="AA742" s="424"/>
      <c r="AB742" s="424"/>
      <c r="AC742" s="424"/>
      <c r="AD742" s="424"/>
      <c r="AE742" s="424"/>
      <c r="AF742" s="424"/>
      <c r="AG742" s="424"/>
      <c r="AH742" s="424"/>
      <c r="AI742" s="424"/>
      <c r="AM742" s="424"/>
      <c r="AN742" s="424"/>
      <c r="AO742" s="424"/>
      <c r="AP742" s="424"/>
      <c r="AQ742" s="424"/>
      <c r="AR742" s="424"/>
      <c r="AS742" s="424"/>
      <c r="AT742" s="424"/>
      <c r="AU742" s="424"/>
      <c r="AV742" s="424"/>
      <c r="AW742" s="424"/>
      <c r="AX742" s="424"/>
      <c r="AY742" s="424"/>
    </row>
    <row r="743" spans="2:51">
      <c r="B743" s="424"/>
      <c r="C743" s="424"/>
      <c r="D743" s="424"/>
      <c r="E743" s="424"/>
      <c r="F743" s="424"/>
      <c r="G743" s="424"/>
      <c r="H743" s="424"/>
      <c r="I743" s="424"/>
      <c r="J743" s="424"/>
      <c r="K743" s="424"/>
      <c r="L743" s="424"/>
      <c r="M743" s="424"/>
      <c r="N743" s="424"/>
      <c r="O743" s="424"/>
      <c r="P743" s="424"/>
      <c r="Q743" s="424"/>
      <c r="R743" s="424"/>
      <c r="S743" s="424"/>
      <c r="T743" s="424"/>
      <c r="U743" s="424"/>
      <c r="Y743" s="424"/>
      <c r="Z743" s="424"/>
      <c r="AA743" s="424"/>
      <c r="AB743" s="424"/>
      <c r="AC743" s="424"/>
      <c r="AD743" s="424"/>
      <c r="AE743" s="424"/>
      <c r="AF743" s="424"/>
      <c r="AG743" s="424"/>
      <c r="AH743" s="424"/>
      <c r="AI743" s="424"/>
      <c r="AM743" s="424"/>
      <c r="AN743" s="424"/>
      <c r="AO743" s="424"/>
      <c r="AP743" s="424"/>
      <c r="AQ743" s="424"/>
      <c r="AR743" s="424"/>
      <c r="AS743" s="424"/>
      <c r="AT743" s="424"/>
      <c r="AU743" s="424"/>
      <c r="AV743" s="424"/>
      <c r="AW743" s="424"/>
      <c r="AX743" s="424"/>
      <c r="AY743" s="424"/>
    </row>
    <row r="744" spans="2:51">
      <c r="B744" s="424"/>
      <c r="C744" s="424"/>
      <c r="D744" s="424"/>
      <c r="E744" s="424"/>
      <c r="F744" s="424"/>
      <c r="G744" s="424"/>
      <c r="H744" s="424"/>
      <c r="I744" s="424"/>
      <c r="J744" s="424"/>
      <c r="K744" s="424"/>
      <c r="L744" s="424"/>
      <c r="M744" s="424"/>
      <c r="N744" s="424"/>
      <c r="O744" s="424"/>
      <c r="P744" s="424"/>
      <c r="Q744" s="424"/>
      <c r="R744" s="424"/>
      <c r="S744" s="424"/>
      <c r="T744" s="424"/>
      <c r="U744" s="424"/>
      <c r="Y744" s="424"/>
      <c r="Z744" s="424"/>
      <c r="AA744" s="424"/>
      <c r="AB744" s="424"/>
      <c r="AC744" s="424"/>
      <c r="AD744" s="424"/>
      <c r="AE744" s="424"/>
      <c r="AF744" s="424"/>
      <c r="AG744" s="424"/>
      <c r="AH744" s="424"/>
      <c r="AI744" s="424"/>
      <c r="AM744" s="424"/>
      <c r="AN744" s="424"/>
      <c r="AO744" s="424"/>
      <c r="AP744" s="424"/>
      <c r="AQ744" s="424"/>
      <c r="AR744" s="424"/>
      <c r="AS744" s="424"/>
      <c r="AT744" s="424"/>
      <c r="AU744" s="424"/>
      <c r="AV744" s="424"/>
      <c r="AW744" s="424"/>
      <c r="AX744" s="424"/>
      <c r="AY744" s="424"/>
    </row>
    <row r="745" spans="2:51">
      <c r="B745" s="424"/>
      <c r="C745" s="424"/>
      <c r="D745" s="424"/>
      <c r="E745" s="424"/>
      <c r="F745" s="424"/>
      <c r="G745" s="424"/>
      <c r="H745" s="424"/>
      <c r="I745" s="424"/>
      <c r="J745" s="424"/>
      <c r="K745" s="424"/>
      <c r="L745" s="424"/>
      <c r="M745" s="424"/>
      <c r="N745" s="424"/>
      <c r="O745" s="424"/>
      <c r="P745" s="424"/>
      <c r="Q745" s="424"/>
      <c r="R745" s="424"/>
      <c r="S745" s="424"/>
      <c r="T745" s="424"/>
      <c r="U745" s="424"/>
      <c r="Y745" s="424"/>
      <c r="Z745" s="424"/>
      <c r="AA745" s="424"/>
      <c r="AB745" s="424"/>
      <c r="AC745" s="424"/>
      <c r="AD745" s="424"/>
      <c r="AE745" s="424"/>
      <c r="AF745" s="424"/>
      <c r="AG745" s="424"/>
      <c r="AH745" s="424"/>
      <c r="AI745" s="424"/>
      <c r="AM745" s="424"/>
      <c r="AN745" s="424"/>
      <c r="AO745" s="424"/>
      <c r="AP745" s="424"/>
      <c r="AQ745" s="424"/>
      <c r="AR745" s="424"/>
      <c r="AS745" s="424"/>
      <c r="AT745" s="424"/>
      <c r="AU745" s="424"/>
      <c r="AV745" s="424"/>
      <c r="AW745" s="424"/>
      <c r="AX745" s="424"/>
      <c r="AY745" s="424"/>
    </row>
    <row r="746" spans="2:51">
      <c r="B746" s="424"/>
      <c r="C746" s="424"/>
      <c r="D746" s="424"/>
      <c r="E746" s="424"/>
      <c r="F746" s="424"/>
      <c r="G746" s="424"/>
      <c r="H746" s="424"/>
      <c r="I746" s="424"/>
      <c r="J746" s="424"/>
      <c r="K746" s="424"/>
      <c r="L746" s="424"/>
      <c r="M746" s="424"/>
      <c r="N746" s="424"/>
      <c r="O746" s="424"/>
      <c r="P746" s="424"/>
      <c r="Q746" s="424"/>
      <c r="R746" s="424"/>
      <c r="S746" s="424"/>
      <c r="T746" s="424"/>
      <c r="U746" s="424"/>
      <c r="Y746" s="424"/>
      <c r="Z746" s="424"/>
      <c r="AA746" s="424"/>
      <c r="AB746" s="424"/>
      <c r="AC746" s="424"/>
      <c r="AD746" s="424"/>
      <c r="AE746" s="424"/>
      <c r="AF746" s="424"/>
      <c r="AG746" s="424"/>
      <c r="AH746" s="424"/>
      <c r="AI746" s="424"/>
      <c r="AM746" s="424"/>
      <c r="AN746" s="424"/>
      <c r="AO746" s="424"/>
      <c r="AP746" s="424"/>
      <c r="AQ746" s="424"/>
      <c r="AR746" s="424"/>
      <c r="AS746" s="424"/>
      <c r="AT746" s="424"/>
      <c r="AU746" s="424"/>
      <c r="AV746" s="424"/>
      <c r="AW746" s="424"/>
      <c r="AX746" s="424"/>
      <c r="AY746" s="424"/>
    </row>
    <row r="747" spans="2:51">
      <c r="B747" s="424"/>
      <c r="C747" s="424"/>
      <c r="D747" s="424"/>
      <c r="E747" s="424"/>
      <c r="F747" s="424"/>
      <c r="G747" s="424"/>
      <c r="H747" s="424"/>
      <c r="I747" s="424"/>
      <c r="J747" s="424"/>
      <c r="K747" s="424"/>
      <c r="L747" s="424"/>
      <c r="M747" s="424"/>
      <c r="N747" s="424"/>
      <c r="O747" s="424"/>
      <c r="P747" s="424"/>
      <c r="Q747" s="424"/>
      <c r="R747" s="424"/>
      <c r="S747" s="424"/>
      <c r="T747" s="424"/>
      <c r="U747" s="424"/>
      <c r="Y747" s="424"/>
      <c r="Z747" s="424"/>
      <c r="AA747" s="424"/>
      <c r="AB747" s="424"/>
      <c r="AC747" s="424"/>
      <c r="AD747" s="424"/>
      <c r="AE747" s="424"/>
      <c r="AF747" s="424"/>
      <c r="AG747" s="424"/>
      <c r="AH747" s="424"/>
      <c r="AI747" s="424"/>
      <c r="AM747" s="424"/>
      <c r="AN747" s="424"/>
      <c r="AO747" s="424"/>
      <c r="AP747" s="424"/>
      <c r="AQ747" s="424"/>
      <c r="AR747" s="424"/>
      <c r="AS747" s="424"/>
      <c r="AT747" s="424"/>
      <c r="AU747" s="424"/>
      <c r="AV747" s="424"/>
      <c r="AW747" s="424"/>
      <c r="AX747" s="424"/>
      <c r="AY747" s="424"/>
    </row>
    <row r="748" spans="2:51">
      <c r="B748" s="424"/>
      <c r="C748" s="424"/>
      <c r="D748" s="424"/>
      <c r="E748" s="424"/>
      <c r="F748" s="424"/>
      <c r="G748" s="424"/>
      <c r="H748" s="424"/>
      <c r="I748" s="424"/>
      <c r="J748" s="424"/>
      <c r="K748" s="424"/>
      <c r="L748" s="424"/>
      <c r="M748" s="424"/>
      <c r="N748" s="424"/>
      <c r="O748" s="424"/>
      <c r="P748" s="424"/>
      <c r="Q748" s="424"/>
      <c r="R748" s="424"/>
      <c r="S748" s="424"/>
      <c r="T748" s="424"/>
      <c r="U748" s="424"/>
      <c r="Y748" s="424"/>
      <c r="Z748" s="424"/>
      <c r="AA748" s="424"/>
      <c r="AB748" s="424"/>
      <c r="AC748" s="424"/>
      <c r="AD748" s="424"/>
      <c r="AE748" s="424"/>
      <c r="AF748" s="424"/>
      <c r="AG748" s="424"/>
      <c r="AH748" s="424"/>
      <c r="AI748" s="424"/>
      <c r="AM748" s="424"/>
      <c r="AN748" s="424"/>
      <c r="AO748" s="424"/>
      <c r="AP748" s="424"/>
      <c r="AQ748" s="424"/>
      <c r="AR748" s="424"/>
      <c r="AS748" s="424"/>
      <c r="AT748" s="424"/>
      <c r="AU748" s="424"/>
      <c r="AV748" s="424"/>
      <c r="AW748" s="424"/>
      <c r="AX748" s="424"/>
      <c r="AY748" s="424"/>
    </row>
    <row r="749" spans="2:51">
      <c r="B749" s="424"/>
      <c r="C749" s="424"/>
      <c r="D749" s="424"/>
      <c r="E749" s="424"/>
      <c r="F749" s="424"/>
      <c r="G749" s="424"/>
      <c r="H749" s="424"/>
      <c r="I749" s="424"/>
      <c r="J749" s="424"/>
      <c r="K749" s="424"/>
      <c r="L749" s="424"/>
      <c r="M749" s="424"/>
      <c r="N749" s="424"/>
      <c r="O749" s="424"/>
      <c r="P749" s="424"/>
      <c r="Q749" s="424"/>
      <c r="R749" s="424"/>
      <c r="S749" s="424"/>
      <c r="T749" s="424"/>
      <c r="U749" s="424"/>
      <c r="Y749" s="424"/>
      <c r="Z749" s="424"/>
      <c r="AA749" s="424"/>
      <c r="AB749" s="424"/>
      <c r="AC749" s="424"/>
      <c r="AD749" s="424"/>
      <c r="AE749" s="424"/>
      <c r="AF749" s="424"/>
      <c r="AG749" s="424"/>
      <c r="AH749" s="424"/>
      <c r="AI749" s="424"/>
      <c r="AM749" s="424"/>
      <c r="AN749" s="424"/>
      <c r="AO749" s="424"/>
      <c r="AP749" s="424"/>
      <c r="AQ749" s="424"/>
      <c r="AR749" s="424"/>
      <c r="AS749" s="424"/>
      <c r="AT749" s="424"/>
      <c r="AU749" s="424"/>
      <c r="AV749" s="424"/>
      <c r="AW749" s="424"/>
      <c r="AX749" s="424"/>
      <c r="AY749" s="424"/>
    </row>
    <row r="750" spans="2:51">
      <c r="B750" s="424"/>
      <c r="C750" s="424"/>
      <c r="D750" s="424"/>
      <c r="E750" s="424"/>
      <c r="F750" s="424"/>
      <c r="G750" s="424"/>
      <c r="H750" s="424"/>
      <c r="I750" s="424"/>
      <c r="J750" s="424"/>
      <c r="K750" s="424"/>
      <c r="L750" s="424"/>
      <c r="M750" s="424"/>
      <c r="N750" s="424"/>
      <c r="O750" s="424"/>
      <c r="P750" s="424"/>
      <c r="Q750" s="424"/>
      <c r="R750" s="424"/>
      <c r="S750" s="424"/>
      <c r="T750" s="424"/>
      <c r="U750" s="424"/>
      <c r="Y750" s="424"/>
      <c r="Z750" s="424"/>
      <c r="AA750" s="424"/>
      <c r="AB750" s="424"/>
      <c r="AC750" s="424"/>
      <c r="AD750" s="424"/>
      <c r="AE750" s="424"/>
      <c r="AF750" s="424"/>
      <c r="AG750" s="424"/>
      <c r="AH750" s="424"/>
      <c r="AI750" s="424"/>
      <c r="AM750" s="424"/>
      <c r="AN750" s="424"/>
      <c r="AO750" s="424"/>
      <c r="AP750" s="424"/>
      <c r="AQ750" s="424"/>
      <c r="AR750" s="424"/>
      <c r="AS750" s="424"/>
      <c r="AT750" s="424"/>
      <c r="AU750" s="424"/>
      <c r="AV750" s="424"/>
      <c r="AW750" s="424"/>
      <c r="AX750" s="424"/>
      <c r="AY750" s="424"/>
    </row>
    <row r="751" spans="2:51">
      <c r="B751" s="424"/>
      <c r="C751" s="424"/>
      <c r="D751" s="424"/>
      <c r="E751" s="424"/>
      <c r="F751" s="424"/>
      <c r="G751" s="424"/>
      <c r="H751" s="424"/>
      <c r="I751" s="424"/>
      <c r="J751" s="424"/>
      <c r="K751" s="424"/>
      <c r="L751" s="424"/>
      <c r="M751" s="424"/>
      <c r="N751" s="424"/>
      <c r="O751" s="424"/>
      <c r="P751" s="424"/>
      <c r="Q751" s="424"/>
      <c r="R751" s="424"/>
      <c r="S751" s="424"/>
      <c r="T751" s="424"/>
      <c r="U751" s="424"/>
      <c r="Y751" s="424"/>
      <c r="Z751" s="424"/>
      <c r="AA751" s="424"/>
      <c r="AB751" s="424"/>
      <c r="AC751" s="424"/>
      <c r="AD751" s="424"/>
      <c r="AE751" s="424"/>
      <c r="AF751" s="424"/>
      <c r="AG751" s="424"/>
      <c r="AH751" s="424"/>
      <c r="AI751" s="424"/>
      <c r="AM751" s="424"/>
      <c r="AN751" s="424"/>
      <c r="AO751" s="424"/>
      <c r="AP751" s="424"/>
      <c r="AQ751" s="424"/>
      <c r="AR751" s="424"/>
      <c r="AS751" s="424"/>
      <c r="AT751" s="424"/>
      <c r="AU751" s="424"/>
      <c r="AV751" s="424"/>
      <c r="AW751" s="424"/>
      <c r="AX751" s="424"/>
      <c r="AY751" s="424"/>
    </row>
    <row r="752" spans="2:51">
      <c r="B752" s="424"/>
      <c r="C752" s="424"/>
      <c r="D752" s="424"/>
      <c r="E752" s="424"/>
      <c r="F752" s="424"/>
      <c r="G752" s="424"/>
      <c r="H752" s="424"/>
      <c r="I752" s="424"/>
      <c r="J752" s="424"/>
      <c r="K752" s="424"/>
      <c r="L752" s="424"/>
      <c r="M752" s="424"/>
      <c r="N752" s="424"/>
      <c r="O752" s="424"/>
      <c r="P752" s="424"/>
      <c r="Q752" s="424"/>
      <c r="R752" s="424"/>
      <c r="S752" s="424"/>
      <c r="T752" s="424"/>
      <c r="U752" s="424"/>
      <c r="Y752" s="424"/>
      <c r="Z752" s="424"/>
      <c r="AA752" s="424"/>
      <c r="AB752" s="424"/>
      <c r="AC752" s="424"/>
      <c r="AD752" s="424"/>
      <c r="AE752" s="424"/>
      <c r="AF752" s="424"/>
      <c r="AG752" s="424"/>
      <c r="AH752" s="424"/>
      <c r="AI752" s="424"/>
      <c r="AM752" s="424"/>
      <c r="AN752" s="424"/>
      <c r="AO752" s="424"/>
      <c r="AP752" s="424"/>
      <c r="AQ752" s="424"/>
      <c r="AR752" s="424"/>
      <c r="AS752" s="424"/>
      <c r="AT752" s="424"/>
      <c r="AU752" s="424"/>
      <c r="AV752" s="424"/>
      <c r="AW752" s="424"/>
      <c r="AX752" s="424"/>
      <c r="AY752" s="424"/>
    </row>
    <row r="753" spans="2:51">
      <c r="B753" s="424"/>
      <c r="C753" s="424"/>
      <c r="D753" s="424"/>
      <c r="E753" s="424"/>
      <c r="F753" s="424"/>
      <c r="G753" s="424"/>
      <c r="H753" s="424"/>
      <c r="I753" s="424"/>
      <c r="J753" s="424"/>
      <c r="K753" s="424"/>
      <c r="L753" s="424"/>
      <c r="M753" s="424"/>
      <c r="N753" s="424"/>
      <c r="O753" s="424"/>
      <c r="P753" s="424"/>
      <c r="Q753" s="424"/>
      <c r="R753" s="424"/>
      <c r="S753" s="424"/>
      <c r="T753" s="424"/>
      <c r="U753" s="424"/>
      <c r="Y753" s="424"/>
      <c r="Z753" s="424"/>
      <c r="AA753" s="424"/>
      <c r="AB753" s="424"/>
      <c r="AC753" s="424"/>
      <c r="AD753" s="424"/>
      <c r="AE753" s="424"/>
      <c r="AF753" s="424"/>
      <c r="AG753" s="424"/>
      <c r="AH753" s="424"/>
      <c r="AI753" s="424"/>
      <c r="AM753" s="424"/>
      <c r="AN753" s="424"/>
      <c r="AO753" s="424"/>
      <c r="AP753" s="424"/>
      <c r="AQ753" s="424"/>
      <c r="AR753" s="424"/>
      <c r="AS753" s="424"/>
      <c r="AT753" s="424"/>
      <c r="AU753" s="424"/>
      <c r="AV753" s="424"/>
      <c r="AW753" s="424"/>
      <c r="AX753" s="424"/>
      <c r="AY753" s="424"/>
    </row>
    <row r="754" spans="2:51">
      <c r="B754" s="424"/>
      <c r="C754" s="424"/>
      <c r="D754" s="424"/>
      <c r="E754" s="424"/>
      <c r="F754" s="424"/>
      <c r="G754" s="424"/>
      <c r="H754" s="424"/>
      <c r="I754" s="424"/>
      <c r="J754" s="424"/>
      <c r="K754" s="424"/>
      <c r="L754" s="424"/>
      <c r="M754" s="424"/>
      <c r="N754" s="424"/>
      <c r="O754" s="424"/>
      <c r="P754" s="424"/>
      <c r="Q754" s="424"/>
      <c r="R754" s="424"/>
      <c r="S754" s="424"/>
      <c r="T754" s="424"/>
      <c r="U754" s="424"/>
      <c r="Y754" s="424"/>
      <c r="Z754" s="424"/>
      <c r="AA754" s="424"/>
      <c r="AB754" s="424"/>
      <c r="AC754" s="424"/>
      <c r="AD754" s="424"/>
      <c r="AE754" s="424"/>
      <c r="AF754" s="424"/>
      <c r="AG754" s="424"/>
      <c r="AH754" s="424"/>
      <c r="AI754" s="424"/>
      <c r="AM754" s="424"/>
      <c r="AN754" s="424"/>
      <c r="AO754" s="424"/>
      <c r="AP754" s="424"/>
      <c r="AQ754" s="424"/>
      <c r="AR754" s="424"/>
      <c r="AS754" s="424"/>
      <c r="AT754" s="424"/>
      <c r="AU754" s="424"/>
      <c r="AV754" s="424"/>
      <c r="AW754" s="424"/>
      <c r="AX754" s="424"/>
      <c r="AY754" s="424"/>
    </row>
    <row r="755" spans="2:51">
      <c r="B755" s="424"/>
      <c r="C755" s="424"/>
      <c r="D755" s="424"/>
      <c r="E755" s="424"/>
      <c r="F755" s="424"/>
      <c r="G755" s="424"/>
      <c r="H755" s="424"/>
      <c r="I755" s="424"/>
      <c r="J755" s="424"/>
      <c r="K755" s="424"/>
      <c r="L755" s="424"/>
      <c r="M755" s="424"/>
      <c r="N755" s="424"/>
      <c r="O755" s="424"/>
      <c r="P755" s="424"/>
      <c r="Q755" s="424"/>
      <c r="R755" s="424"/>
      <c r="S755" s="424"/>
      <c r="T755" s="424"/>
      <c r="U755" s="424"/>
      <c r="Y755" s="424"/>
      <c r="Z755" s="424"/>
      <c r="AA755" s="424"/>
      <c r="AB755" s="424"/>
      <c r="AC755" s="424"/>
      <c r="AD755" s="424"/>
      <c r="AE755" s="424"/>
      <c r="AF755" s="424"/>
      <c r="AG755" s="424"/>
      <c r="AH755" s="424"/>
      <c r="AI755" s="424"/>
      <c r="AM755" s="424"/>
      <c r="AN755" s="424"/>
      <c r="AO755" s="424"/>
      <c r="AP755" s="424"/>
      <c r="AQ755" s="424"/>
      <c r="AR755" s="424"/>
      <c r="AS755" s="424"/>
      <c r="AT755" s="424"/>
      <c r="AU755" s="424"/>
      <c r="AV755" s="424"/>
      <c r="AW755" s="424"/>
      <c r="AX755" s="424"/>
      <c r="AY755" s="424"/>
    </row>
    <row r="756" spans="2:51">
      <c r="B756" s="424"/>
      <c r="C756" s="424"/>
      <c r="D756" s="424"/>
      <c r="E756" s="424"/>
      <c r="F756" s="424"/>
      <c r="G756" s="424"/>
      <c r="H756" s="424"/>
      <c r="I756" s="424"/>
      <c r="J756" s="424"/>
      <c r="K756" s="424"/>
      <c r="L756" s="424"/>
      <c r="M756" s="424"/>
      <c r="N756" s="424"/>
      <c r="O756" s="424"/>
      <c r="P756" s="424"/>
      <c r="Q756" s="424"/>
      <c r="R756" s="424"/>
      <c r="S756" s="424"/>
      <c r="T756" s="424"/>
      <c r="U756" s="424"/>
      <c r="Y756" s="424"/>
      <c r="Z756" s="424"/>
      <c r="AA756" s="424"/>
      <c r="AB756" s="424"/>
      <c r="AC756" s="424"/>
      <c r="AD756" s="424"/>
      <c r="AE756" s="424"/>
      <c r="AF756" s="424"/>
      <c r="AG756" s="424"/>
      <c r="AH756" s="424"/>
      <c r="AI756" s="424"/>
      <c r="AM756" s="424"/>
      <c r="AN756" s="424"/>
      <c r="AO756" s="424"/>
      <c r="AP756" s="424"/>
      <c r="AQ756" s="424"/>
      <c r="AR756" s="424"/>
      <c r="AS756" s="424"/>
      <c r="AT756" s="424"/>
      <c r="AU756" s="424"/>
      <c r="AV756" s="424"/>
      <c r="AW756" s="424"/>
      <c r="AX756" s="424"/>
      <c r="AY756" s="424"/>
    </row>
    <row r="757" spans="2:51">
      <c r="B757" s="424"/>
      <c r="C757" s="424"/>
      <c r="D757" s="424"/>
      <c r="E757" s="424"/>
      <c r="F757" s="424"/>
      <c r="G757" s="424"/>
      <c r="H757" s="424"/>
      <c r="I757" s="424"/>
      <c r="J757" s="424"/>
      <c r="K757" s="424"/>
      <c r="L757" s="424"/>
      <c r="M757" s="424"/>
      <c r="N757" s="424"/>
      <c r="O757" s="424"/>
      <c r="P757" s="424"/>
      <c r="Q757" s="424"/>
      <c r="R757" s="424"/>
      <c r="S757" s="424"/>
      <c r="T757" s="424"/>
      <c r="U757" s="424"/>
      <c r="Y757" s="424"/>
      <c r="Z757" s="424"/>
      <c r="AA757" s="424"/>
      <c r="AB757" s="424"/>
      <c r="AC757" s="424"/>
      <c r="AD757" s="424"/>
      <c r="AE757" s="424"/>
      <c r="AF757" s="424"/>
      <c r="AG757" s="424"/>
      <c r="AH757" s="424"/>
      <c r="AI757" s="424"/>
      <c r="AM757" s="424"/>
      <c r="AN757" s="424"/>
      <c r="AO757" s="424"/>
      <c r="AP757" s="424"/>
      <c r="AQ757" s="424"/>
      <c r="AR757" s="424"/>
      <c r="AS757" s="424"/>
      <c r="AT757" s="424"/>
      <c r="AU757" s="424"/>
      <c r="AV757" s="424"/>
      <c r="AW757" s="424"/>
      <c r="AX757" s="424"/>
      <c r="AY757" s="424"/>
    </row>
    <row r="758" spans="2:51">
      <c r="B758" s="424"/>
      <c r="C758" s="424"/>
      <c r="D758" s="424"/>
      <c r="E758" s="424"/>
      <c r="F758" s="424"/>
      <c r="G758" s="424"/>
      <c r="H758" s="424"/>
      <c r="I758" s="424"/>
      <c r="J758" s="424"/>
      <c r="K758" s="424"/>
      <c r="L758" s="424"/>
      <c r="M758" s="424"/>
      <c r="N758" s="424"/>
      <c r="O758" s="424"/>
      <c r="P758" s="424"/>
      <c r="Q758" s="424"/>
      <c r="R758" s="424"/>
      <c r="S758" s="424"/>
      <c r="T758" s="424"/>
      <c r="U758" s="424"/>
      <c r="Y758" s="424"/>
      <c r="Z758" s="424"/>
      <c r="AA758" s="424"/>
      <c r="AB758" s="424"/>
      <c r="AC758" s="424"/>
      <c r="AD758" s="424"/>
      <c r="AE758" s="424"/>
      <c r="AF758" s="424"/>
      <c r="AG758" s="424"/>
      <c r="AH758" s="424"/>
      <c r="AI758" s="424"/>
      <c r="AM758" s="424"/>
      <c r="AN758" s="424"/>
      <c r="AO758" s="424"/>
      <c r="AP758" s="424"/>
      <c r="AQ758" s="424"/>
      <c r="AR758" s="424"/>
      <c r="AS758" s="424"/>
      <c r="AT758" s="424"/>
      <c r="AU758" s="424"/>
      <c r="AV758" s="424"/>
      <c r="AW758" s="424"/>
      <c r="AX758" s="424"/>
      <c r="AY758" s="424"/>
    </row>
    <row r="759" spans="2:51">
      <c r="B759" s="424"/>
      <c r="C759" s="424"/>
      <c r="D759" s="424"/>
      <c r="E759" s="424"/>
      <c r="F759" s="424"/>
      <c r="G759" s="424"/>
      <c r="H759" s="424"/>
      <c r="I759" s="424"/>
      <c r="J759" s="424"/>
      <c r="K759" s="424"/>
      <c r="L759" s="424"/>
      <c r="M759" s="424"/>
      <c r="N759" s="424"/>
      <c r="O759" s="424"/>
      <c r="P759" s="424"/>
      <c r="Q759" s="424"/>
      <c r="R759" s="424"/>
      <c r="S759" s="424"/>
      <c r="T759" s="424"/>
      <c r="U759" s="424"/>
      <c r="Y759" s="424"/>
      <c r="Z759" s="424"/>
      <c r="AA759" s="424"/>
      <c r="AB759" s="424"/>
      <c r="AC759" s="424"/>
      <c r="AD759" s="424"/>
      <c r="AE759" s="424"/>
      <c r="AF759" s="424"/>
      <c r="AG759" s="424"/>
      <c r="AH759" s="424"/>
      <c r="AI759" s="424"/>
      <c r="AM759" s="424"/>
      <c r="AN759" s="424"/>
      <c r="AO759" s="424"/>
      <c r="AP759" s="424"/>
      <c r="AQ759" s="424"/>
      <c r="AR759" s="424"/>
      <c r="AS759" s="424"/>
      <c r="AT759" s="424"/>
      <c r="AU759" s="424"/>
      <c r="AV759" s="424"/>
      <c r="AW759" s="424"/>
      <c r="AX759" s="424"/>
      <c r="AY759" s="424"/>
    </row>
    <row r="760" spans="2:51">
      <c r="B760" s="424"/>
      <c r="C760" s="424"/>
      <c r="D760" s="424"/>
      <c r="E760" s="424"/>
      <c r="F760" s="424"/>
      <c r="G760" s="424"/>
      <c r="H760" s="424"/>
      <c r="I760" s="424"/>
      <c r="J760" s="424"/>
      <c r="K760" s="424"/>
      <c r="L760" s="424"/>
      <c r="M760" s="424"/>
      <c r="N760" s="424"/>
      <c r="O760" s="424"/>
      <c r="P760" s="424"/>
      <c r="Q760" s="424"/>
      <c r="R760" s="424"/>
      <c r="S760" s="424"/>
      <c r="T760" s="424"/>
      <c r="U760" s="424"/>
      <c r="Y760" s="424"/>
      <c r="Z760" s="424"/>
      <c r="AA760" s="424"/>
      <c r="AB760" s="424"/>
      <c r="AC760" s="424"/>
      <c r="AD760" s="424"/>
      <c r="AE760" s="424"/>
      <c r="AF760" s="424"/>
      <c r="AG760" s="424"/>
      <c r="AH760" s="424"/>
      <c r="AI760" s="424"/>
      <c r="AM760" s="424"/>
      <c r="AN760" s="424"/>
      <c r="AO760" s="424"/>
      <c r="AP760" s="424"/>
      <c r="AQ760" s="424"/>
      <c r="AR760" s="424"/>
      <c r="AS760" s="424"/>
      <c r="AT760" s="424"/>
      <c r="AU760" s="424"/>
      <c r="AV760" s="424"/>
      <c r="AW760" s="424"/>
      <c r="AX760" s="424"/>
      <c r="AY760" s="424"/>
    </row>
    <row r="761" spans="2:51">
      <c r="B761" s="424"/>
      <c r="C761" s="424"/>
      <c r="D761" s="424"/>
      <c r="E761" s="424"/>
      <c r="F761" s="424"/>
      <c r="G761" s="424"/>
      <c r="H761" s="424"/>
      <c r="I761" s="424"/>
      <c r="J761" s="424"/>
      <c r="K761" s="424"/>
      <c r="L761" s="424"/>
      <c r="M761" s="424"/>
      <c r="N761" s="424"/>
      <c r="O761" s="424"/>
      <c r="P761" s="424"/>
      <c r="Q761" s="424"/>
      <c r="R761" s="424"/>
      <c r="S761" s="424"/>
      <c r="T761" s="424"/>
      <c r="U761" s="424"/>
      <c r="Y761" s="424"/>
      <c r="Z761" s="424"/>
      <c r="AA761" s="424"/>
      <c r="AB761" s="424"/>
      <c r="AC761" s="424"/>
      <c r="AD761" s="424"/>
      <c r="AE761" s="424"/>
      <c r="AF761" s="424"/>
      <c r="AG761" s="424"/>
      <c r="AH761" s="424"/>
      <c r="AI761" s="424"/>
      <c r="AM761" s="424"/>
      <c r="AN761" s="424"/>
      <c r="AO761" s="424"/>
      <c r="AP761" s="424"/>
      <c r="AQ761" s="424"/>
      <c r="AR761" s="424"/>
      <c r="AS761" s="424"/>
      <c r="AT761" s="424"/>
      <c r="AU761" s="424"/>
      <c r="AV761" s="424"/>
      <c r="AW761" s="424"/>
      <c r="AX761" s="424"/>
      <c r="AY761" s="424"/>
    </row>
    <row r="762" spans="2:51">
      <c r="B762" s="424"/>
      <c r="C762" s="424"/>
      <c r="D762" s="424"/>
      <c r="E762" s="424"/>
      <c r="F762" s="424"/>
      <c r="G762" s="424"/>
      <c r="H762" s="424"/>
      <c r="I762" s="424"/>
      <c r="J762" s="424"/>
      <c r="K762" s="424"/>
      <c r="L762" s="424"/>
      <c r="M762" s="424"/>
      <c r="N762" s="424"/>
      <c r="O762" s="424"/>
      <c r="P762" s="424"/>
      <c r="Q762" s="424"/>
      <c r="R762" s="424"/>
      <c r="S762" s="424"/>
      <c r="T762" s="424"/>
      <c r="U762" s="424"/>
      <c r="Y762" s="424"/>
      <c r="Z762" s="424"/>
      <c r="AA762" s="424"/>
      <c r="AB762" s="424"/>
      <c r="AC762" s="424"/>
      <c r="AD762" s="424"/>
      <c r="AE762" s="424"/>
      <c r="AF762" s="424"/>
      <c r="AG762" s="424"/>
      <c r="AH762" s="424"/>
      <c r="AI762" s="424"/>
      <c r="AM762" s="424"/>
      <c r="AN762" s="424"/>
      <c r="AO762" s="424"/>
      <c r="AP762" s="424"/>
      <c r="AQ762" s="424"/>
      <c r="AR762" s="424"/>
      <c r="AS762" s="424"/>
      <c r="AT762" s="424"/>
      <c r="AU762" s="424"/>
      <c r="AV762" s="424"/>
      <c r="AW762" s="424"/>
      <c r="AX762" s="424"/>
      <c r="AY762" s="424"/>
    </row>
    <row r="763" spans="2:51">
      <c r="B763" s="424"/>
      <c r="C763" s="424"/>
      <c r="D763" s="424"/>
      <c r="E763" s="424"/>
      <c r="F763" s="424"/>
      <c r="G763" s="424"/>
      <c r="H763" s="424"/>
      <c r="I763" s="424"/>
      <c r="J763" s="424"/>
      <c r="K763" s="424"/>
      <c r="L763" s="424"/>
      <c r="M763" s="424"/>
      <c r="N763" s="424"/>
      <c r="O763" s="424"/>
      <c r="P763" s="424"/>
      <c r="Q763" s="424"/>
      <c r="R763" s="424"/>
      <c r="S763" s="424"/>
      <c r="T763" s="424"/>
      <c r="U763" s="424"/>
      <c r="Y763" s="424"/>
      <c r="Z763" s="424"/>
      <c r="AA763" s="424"/>
      <c r="AB763" s="424"/>
      <c r="AC763" s="424"/>
      <c r="AD763" s="424"/>
      <c r="AE763" s="424"/>
      <c r="AF763" s="424"/>
      <c r="AG763" s="424"/>
      <c r="AH763" s="424"/>
      <c r="AI763" s="424"/>
      <c r="AM763" s="424"/>
      <c r="AN763" s="424"/>
      <c r="AO763" s="424"/>
      <c r="AP763" s="424"/>
      <c r="AQ763" s="424"/>
      <c r="AR763" s="424"/>
      <c r="AS763" s="424"/>
      <c r="AT763" s="424"/>
      <c r="AU763" s="424"/>
      <c r="AV763" s="424"/>
      <c r="AW763" s="424"/>
      <c r="AX763" s="424"/>
      <c r="AY763" s="424"/>
    </row>
    <row r="764" spans="2:51">
      <c r="B764" s="424"/>
      <c r="C764" s="424"/>
      <c r="D764" s="424"/>
      <c r="E764" s="424"/>
      <c r="F764" s="424"/>
      <c r="G764" s="424"/>
      <c r="H764" s="424"/>
      <c r="I764" s="424"/>
      <c r="J764" s="424"/>
      <c r="K764" s="424"/>
      <c r="L764" s="424"/>
      <c r="M764" s="424"/>
      <c r="N764" s="424"/>
      <c r="O764" s="424"/>
      <c r="P764" s="424"/>
      <c r="Q764" s="424"/>
      <c r="R764" s="424"/>
      <c r="S764" s="424"/>
      <c r="T764" s="424"/>
      <c r="U764" s="424"/>
      <c r="Y764" s="424"/>
      <c r="Z764" s="424"/>
      <c r="AA764" s="424"/>
      <c r="AB764" s="424"/>
      <c r="AC764" s="424"/>
      <c r="AD764" s="424"/>
      <c r="AE764" s="424"/>
      <c r="AF764" s="424"/>
      <c r="AG764" s="424"/>
      <c r="AH764" s="424"/>
      <c r="AI764" s="424"/>
      <c r="AM764" s="424"/>
      <c r="AN764" s="424"/>
      <c r="AO764" s="424"/>
      <c r="AP764" s="424"/>
      <c r="AQ764" s="424"/>
      <c r="AR764" s="424"/>
      <c r="AS764" s="424"/>
      <c r="AT764" s="424"/>
      <c r="AU764" s="424"/>
      <c r="AV764" s="424"/>
      <c r="AW764" s="424"/>
      <c r="AX764" s="424"/>
      <c r="AY764" s="424"/>
    </row>
    <row r="765" spans="2:51">
      <c r="B765" s="424"/>
      <c r="C765" s="424"/>
      <c r="D765" s="424"/>
      <c r="E765" s="424"/>
      <c r="F765" s="424"/>
      <c r="G765" s="424"/>
      <c r="H765" s="424"/>
      <c r="I765" s="424"/>
      <c r="J765" s="424"/>
      <c r="K765" s="424"/>
      <c r="L765" s="424"/>
      <c r="M765" s="424"/>
      <c r="N765" s="424"/>
      <c r="O765" s="424"/>
      <c r="P765" s="424"/>
      <c r="Q765" s="424"/>
      <c r="R765" s="424"/>
      <c r="S765" s="424"/>
      <c r="T765" s="424"/>
      <c r="U765" s="424"/>
      <c r="Y765" s="424"/>
      <c r="Z765" s="424"/>
      <c r="AA765" s="424"/>
      <c r="AB765" s="424"/>
      <c r="AC765" s="424"/>
      <c r="AD765" s="424"/>
      <c r="AE765" s="424"/>
      <c r="AF765" s="424"/>
      <c r="AG765" s="424"/>
      <c r="AH765" s="424"/>
      <c r="AI765" s="424"/>
      <c r="AM765" s="424"/>
      <c r="AN765" s="424"/>
      <c r="AO765" s="424"/>
      <c r="AP765" s="424"/>
      <c r="AQ765" s="424"/>
      <c r="AR765" s="424"/>
      <c r="AS765" s="424"/>
      <c r="AT765" s="424"/>
      <c r="AU765" s="424"/>
      <c r="AV765" s="424"/>
      <c r="AW765" s="424"/>
      <c r="AX765" s="424"/>
      <c r="AY765" s="424"/>
    </row>
    <row r="766" spans="2:51">
      <c r="B766" s="424"/>
      <c r="C766" s="424"/>
      <c r="D766" s="424"/>
      <c r="E766" s="424"/>
      <c r="F766" s="424"/>
      <c r="G766" s="424"/>
      <c r="H766" s="424"/>
      <c r="I766" s="424"/>
      <c r="J766" s="424"/>
      <c r="K766" s="424"/>
      <c r="L766" s="424"/>
      <c r="M766" s="424"/>
      <c r="N766" s="424"/>
      <c r="O766" s="424"/>
      <c r="P766" s="424"/>
      <c r="Q766" s="424"/>
      <c r="R766" s="424"/>
      <c r="S766" s="424"/>
      <c r="T766" s="424"/>
      <c r="U766" s="424"/>
      <c r="Y766" s="424"/>
      <c r="Z766" s="424"/>
      <c r="AA766" s="424"/>
      <c r="AB766" s="424"/>
      <c r="AC766" s="424"/>
      <c r="AD766" s="424"/>
      <c r="AE766" s="424"/>
      <c r="AF766" s="424"/>
      <c r="AG766" s="424"/>
      <c r="AH766" s="424"/>
      <c r="AI766" s="424"/>
      <c r="AM766" s="424"/>
      <c r="AN766" s="424"/>
      <c r="AO766" s="424"/>
      <c r="AP766" s="424"/>
      <c r="AQ766" s="424"/>
      <c r="AR766" s="424"/>
      <c r="AS766" s="424"/>
      <c r="AT766" s="424"/>
      <c r="AU766" s="424"/>
      <c r="AV766" s="424"/>
      <c r="AW766" s="424"/>
      <c r="AX766" s="424"/>
      <c r="AY766" s="424"/>
    </row>
    <row r="767" spans="2:51">
      <c r="B767" s="424"/>
      <c r="C767" s="424"/>
      <c r="D767" s="424"/>
      <c r="E767" s="424"/>
      <c r="F767" s="424"/>
      <c r="G767" s="424"/>
      <c r="H767" s="424"/>
      <c r="I767" s="424"/>
      <c r="J767" s="424"/>
      <c r="K767" s="424"/>
      <c r="L767" s="424"/>
      <c r="M767" s="424"/>
      <c r="N767" s="424"/>
      <c r="O767" s="424"/>
      <c r="P767" s="424"/>
      <c r="Q767" s="424"/>
      <c r="R767" s="424"/>
      <c r="S767" s="424"/>
      <c r="T767" s="424"/>
      <c r="U767" s="424"/>
      <c r="Y767" s="424"/>
      <c r="Z767" s="424"/>
      <c r="AA767" s="424"/>
      <c r="AB767" s="424"/>
      <c r="AC767" s="424"/>
      <c r="AD767" s="424"/>
      <c r="AE767" s="424"/>
      <c r="AF767" s="424"/>
      <c r="AG767" s="424"/>
      <c r="AH767" s="424"/>
      <c r="AI767" s="424"/>
      <c r="AM767" s="424"/>
      <c r="AN767" s="424"/>
      <c r="AO767" s="424"/>
      <c r="AP767" s="424"/>
      <c r="AQ767" s="424"/>
      <c r="AR767" s="424"/>
      <c r="AS767" s="424"/>
      <c r="AT767" s="424"/>
      <c r="AU767" s="424"/>
      <c r="AV767" s="424"/>
      <c r="AW767" s="424"/>
      <c r="AX767" s="424"/>
      <c r="AY767" s="424"/>
    </row>
    <row r="768" spans="2:51">
      <c r="B768" s="424"/>
      <c r="C768" s="424"/>
      <c r="D768" s="424"/>
      <c r="E768" s="424"/>
      <c r="F768" s="424"/>
      <c r="G768" s="424"/>
      <c r="H768" s="424"/>
      <c r="I768" s="424"/>
      <c r="J768" s="424"/>
      <c r="K768" s="424"/>
      <c r="L768" s="424"/>
      <c r="M768" s="424"/>
      <c r="N768" s="424"/>
      <c r="O768" s="424"/>
      <c r="P768" s="424"/>
      <c r="Q768" s="424"/>
      <c r="R768" s="424"/>
      <c r="S768" s="424"/>
      <c r="T768" s="424"/>
      <c r="U768" s="424"/>
      <c r="Y768" s="424"/>
      <c r="Z768" s="424"/>
      <c r="AA768" s="424"/>
      <c r="AB768" s="424"/>
      <c r="AC768" s="424"/>
      <c r="AD768" s="424"/>
      <c r="AE768" s="424"/>
      <c r="AF768" s="424"/>
      <c r="AG768" s="424"/>
      <c r="AH768" s="424"/>
      <c r="AI768" s="424"/>
      <c r="AM768" s="424"/>
      <c r="AN768" s="424"/>
      <c r="AO768" s="424"/>
      <c r="AP768" s="424"/>
      <c r="AQ768" s="424"/>
      <c r="AR768" s="424"/>
      <c r="AS768" s="424"/>
      <c r="AT768" s="424"/>
      <c r="AU768" s="424"/>
      <c r="AV768" s="424"/>
      <c r="AW768" s="424"/>
      <c r="AX768" s="424"/>
      <c r="AY768" s="424"/>
    </row>
    <row r="769" spans="2:51">
      <c r="B769" s="424"/>
      <c r="C769" s="424"/>
      <c r="D769" s="424"/>
      <c r="E769" s="424"/>
      <c r="F769" s="424"/>
      <c r="G769" s="424"/>
      <c r="H769" s="424"/>
      <c r="I769" s="424"/>
      <c r="J769" s="424"/>
      <c r="K769" s="424"/>
      <c r="L769" s="424"/>
      <c r="M769" s="424"/>
      <c r="N769" s="424"/>
      <c r="O769" s="424"/>
      <c r="P769" s="424"/>
      <c r="Q769" s="424"/>
      <c r="R769" s="424"/>
      <c r="S769" s="424"/>
      <c r="T769" s="424"/>
      <c r="U769" s="424"/>
      <c r="Y769" s="424"/>
      <c r="Z769" s="424"/>
      <c r="AA769" s="424"/>
      <c r="AB769" s="424"/>
      <c r="AC769" s="424"/>
      <c r="AD769" s="424"/>
      <c r="AE769" s="424"/>
      <c r="AF769" s="424"/>
      <c r="AG769" s="424"/>
      <c r="AH769" s="424"/>
      <c r="AI769" s="424"/>
      <c r="AM769" s="424"/>
      <c r="AN769" s="424"/>
      <c r="AO769" s="424"/>
      <c r="AP769" s="424"/>
      <c r="AQ769" s="424"/>
      <c r="AR769" s="424"/>
      <c r="AS769" s="424"/>
      <c r="AT769" s="424"/>
      <c r="AU769" s="424"/>
      <c r="AV769" s="424"/>
      <c r="AW769" s="424"/>
      <c r="AX769" s="424"/>
      <c r="AY769" s="424"/>
    </row>
    <row r="770" spans="2:51">
      <c r="B770" s="424"/>
      <c r="C770" s="424"/>
      <c r="D770" s="424"/>
      <c r="E770" s="424"/>
      <c r="F770" s="424"/>
      <c r="G770" s="424"/>
      <c r="H770" s="424"/>
      <c r="I770" s="424"/>
      <c r="J770" s="424"/>
      <c r="K770" s="424"/>
      <c r="L770" s="424"/>
      <c r="M770" s="424"/>
      <c r="N770" s="424"/>
      <c r="O770" s="424"/>
      <c r="P770" s="424"/>
      <c r="Q770" s="424"/>
      <c r="R770" s="424"/>
      <c r="S770" s="424"/>
      <c r="T770" s="424"/>
      <c r="U770" s="424"/>
      <c r="Y770" s="424"/>
      <c r="Z770" s="424"/>
      <c r="AA770" s="424"/>
      <c r="AB770" s="424"/>
      <c r="AC770" s="424"/>
      <c r="AD770" s="424"/>
      <c r="AE770" s="424"/>
      <c r="AF770" s="424"/>
      <c r="AG770" s="424"/>
      <c r="AH770" s="424"/>
      <c r="AI770" s="424"/>
      <c r="AM770" s="424"/>
      <c r="AN770" s="424"/>
      <c r="AO770" s="424"/>
      <c r="AP770" s="424"/>
      <c r="AQ770" s="424"/>
      <c r="AR770" s="424"/>
      <c r="AS770" s="424"/>
      <c r="AT770" s="424"/>
      <c r="AU770" s="424"/>
      <c r="AV770" s="424"/>
      <c r="AW770" s="424"/>
      <c r="AX770" s="424"/>
      <c r="AY770" s="424"/>
    </row>
    <row r="771" spans="2:51">
      <c r="B771" s="424"/>
      <c r="C771" s="424"/>
      <c r="D771" s="424"/>
      <c r="E771" s="424"/>
      <c r="F771" s="424"/>
      <c r="G771" s="424"/>
      <c r="H771" s="424"/>
      <c r="I771" s="424"/>
      <c r="J771" s="424"/>
      <c r="K771" s="424"/>
      <c r="L771" s="424"/>
      <c r="M771" s="424"/>
      <c r="N771" s="424"/>
      <c r="O771" s="424"/>
      <c r="P771" s="424"/>
      <c r="Q771" s="424"/>
      <c r="R771" s="424"/>
      <c r="S771" s="424"/>
      <c r="T771" s="424"/>
      <c r="U771" s="424"/>
      <c r="Y771" s="424"/>
      <c r="Z771" s="424"/>
      <c r="AA771" s="424"/>
      <c r="AB771" s="424"/>
      <c r="AC771" s="424"/>
      <c r="AD771" s="424"/>
      <c r="AE771" s="424"/>
      <c r="AF771" s="424"/>
      <c r="AG771" s="424"/>
      <c r="AH771" s="424"/>
      <c r="AI771" s="424"/>
      <c r="AM771" s="424"/>
      <c r="AN771" s="424"/>
      <c r="AO771" s="424"/>
      <c r="AP771" s="424"/>
      <c r="AQ771" s="424"/>
      <c r="AR771" s="424"/>
      <c r="AS771" s="424"/>
      <c r="AT771" s="424"/>
      <c r="AU771" s="424"/>
      <c r="AV771" s="424"/>
      <c r="AW771" s="424"/>
      <c r="AX771" s="424"/>
      <c r="AY771" s="424"/>
    </row>
    <row r="772" spans="2:51">
      <c r="B772" s="424"/>
      <c r="C772" s="424"/>
      <c r="D772" s="424"/>
      <c r="E772" s="424"/>
      <c r="F772" s="424"/>
      <c r="G772" s="424"/>
      <c r="H772" s="424"/>
      <c r="I772" s="424"/>
      <c r="J772" s="424"/>
      <c r="K772" s="424"/>
      <c r="L772" s="424"/>
      <c r="M772" s="424"/>
      <c r="N772" s="424"/>
      <c r="O772" s="424"/>
      <c r="P772" s="424"/>
      <c r="Q772" s="424"/>
      <c r="R772" s="424"/>
      <c r="S772" s="424"/>
      <c r="T772" s="424"/>
      <c r="U772" s="424"/>
      <c r="Y772" s="424"/>
      <c r="Z772" s="424"/>
      <c r="AA772" s="424"/>
      <c r="AB772" s="424"/>
      <c r="AC772" s="424"/>
      <c r="AD772" s="424"/>
      <c r="AE772" s="424"/>
      <c r="AF772" s="424"/>
      <c r="AG772" s="424"/>
      <c r="AH772" s="424"/>
      <c r="AI772" s="424"/>
      <c r="AM772" s="424"/>
      <c r="AN772" s="424"/>
      <c r="AO772" s="424"/>
      <c r="AP772" s="424"/>
      <c r="AQ772" s="424"/>
      <c r="AR772" s="424"/>
      <c r="AS772" s="424"/>
      <c r="AT772" s="424"/>
      <c r="AU772" s="424"/>
      <c r="AV772" s="424"/>
      <c r="AW772" s="424"/>
      <c r="AX772" s="424"/>
      <c r="AY772" s="424"/>
    </row>
    <row r="773" spans="2:51">
      <c r="B773" s="424"/>
      <c r="C773" s="424"/>
      <c r="D773" s="424"/>
      <c r="E773" s="424"/>
      <c r="F773" s="424"/>
      <c r="G773" s="424"/>
      <c r="H773" s="424"/>
      <c r="I773" s="424"/>
      <c r="J773" s="424"/>
      <c r="K773" s="424"/>
      <c r="L773" s="424"/>
      <c r="M773" s="424"/>
      <c r="N773" s="424"/>
      <c r="O773" s="424"/>
      <c r="P773" s="424"/>
      <c r="Q773" s="424"/>
      <c r="R773" s="424"/>
      <c r="S773" s="424"/>
      <c r="T773" s="424"/>
      <c r="U773" s="424"/>
      <c r="Y773" s="424"/>
      <c r="Z773" s="424"/>
      <c r="AA773" s="424"/>
      <c r="AB773" s="424"/>
      <c r="AC773" s="424"/>
      <c r="AD773" s="424"/>
      <c r="AE773" s="424"/>
      <c r="AF773" s="424"/>
      <c r="AG773" s="424"/>
      <c r="AH773" s="424"/>
      <c r="AI773" s="424"/>
      <c r="AM773" s="424"/>
      <c r="AN773" s="424"/>
      <c r="AO773" s="424"/>
      <c r="AP773" s="424"/>
      <c r="AQ773" s="424"/>
      <c r="AR773" s="424"/>
      <c r="AS773" s="424"/>
      <c r="AT773" s="424"/>
      <c r="AU773" s="424"/>
      <c r="AV773" s="424"/>
      <c r="AW773" s="424"/>
      <c r="AX773" s="424"/>
      <c r="AY773" s="424"/>
    </row>
    <row r="774" spans="2:51">
      <c r="B774" s="424"/>
      <c r="C774" s="424"/>
      <c r="D774" s="424"/>
      <c r="E774" s="424"/>
      <c r="F774" s="424"/>
      <c r="G774" s="424"/>
      <c r="H774" s="424"/>
      <c r="I774" s="424"/>
      <c r="J774" s="424"/>
      <c r="K774" s="424"/>
      <c r="L774" s="424"/>
      <c r="M774" s="424"/>
      <c r="N774" s="424"/>
      <c r="O774" s="424"/>
      <c r="P774" s="424"/>
      <c r="Q774" s="424"/>
      <c r="R774" s="424"/>
      <c r="S774" s="424"/>
      <c r="T774" s="424"/>
      <c r="U774" s="424"/>
      <c r="Y774" s="424"/>
      <c r="Z774" s="424"/>
      <c r="AA774" s="424"/>
      <c r="AB774" s="424"/>
      <c r="AC774" s="424"/>
      <c r="AD774" s="424"/>
      <c r="AE774" s="424"/>
      <c r="AF774" s="424"/>
      <c r="AG774" s="424"/>
      <c r="AH774" s="424"/>
      <c r="AI774" s="424"/>
      <c r="AM774" s="424"/>
      <c r="AN774" s="424"/>
      <c r="AO774" s="424"/>
      <c r="AP774" s="424"/>
      <c r="AQ774" s="424"/>
      <c r="AR774" s="424"/>
      <c r="AS774" s="424"/>
      <c r="AT774" s="424"/>
      <c r="AU774" s="424"/>
      <c r="AV774" s="424"/>
      <c r="AW774" s="424"/>
      <c r="AX774" s="424"/>
      <c r="AY774" s="424"/>
    </row>
    <row r="775" spans="2:51">
      <c r="B775" s="424"/>
      <c r="C775" s="424"/>
      <c r="D775" s="424"/>
      <c r="E775" s="424"/>
      <c r="F775" s="424"/>
      <c r="G775" s="424"/>
      <c r="H775" s="424"/>
      <c r="I775" s="424"/>
      <c r="J775" s="424"/>
      <c r="K775" s="424"/>
      <c r="L775" s="424"/>
      <c r="M775" s="424"/>
      <c r="N775" s="424"/>
      <c r="O775" s="424"/>
      <c r="P775" s="424"/>
      <c r="Q775" s="424"/>
      <c r="R775" s="424"/>
      <c r="S775" s="424"/>
      <c r="T775" s="424"/>
      <c r="U775" s="424"/>
      <c r="Y775" s="424"/>
      <c r="Z775" s="424"/>
      <c r="AA775" s="424"/>
      <c r="AB775" s="424"/>
      <c r="AC775" s="424"/>
      <c r="AD775" s="424"/>
      <c r="AE775" s="424"/>
      <c r="AF775" s="424"/>
      <c r="AG775" s="424"/>
      <c r="AH775" s="424"/>
      <c r="AI775" s="424"/>
      <c r="AM775" s="424"/>
      <c r="AN775" s="424"/>
      <c r="AO775" s="424"/>
      <c r="AP775" s="424"/>
      <c r="AQ775" s="424"/>
      <c r="AR775" s="424"/>
      <c r="AS775" s="424"/>
      <c r="AT775" s="424"/>
      <c r="AU775" s="424"/>
      <c r="AV775" s="424"/>
      <c r="AW775" s="424"/>
      <c r="AX775" s="424"/>
      <c r="AY775" s="424"/>
    </row>
    <row r="776" spans="2:51">
      <c r="B776" s="424"/>
      <c r="C776" s="424"/>
      <c r="D776" s="424"/>
      <c r="E776" s="424"/>
      <c r="F776" s="424"/>
      <c r="G776" s="424"/>
      <c r="H776" s="424"/>
      <c r="I776" s="424"/>
      <c r="J776" s="424"/>
      <c r="K776" s="424"/>
      <c r="L776" s="424"/>
      <c r="M776" s="424"/>
      <c r="N776" s="424"/>
      <c r="O776" s="424"/>
      <c r="P776" s="424"/>
      <c r="Q776" s="424"/>
      <c r="R776" s="424"/>
      <c r="S776" s="424"/>
      <c r="T776" s="424"/>
      <c r="U776" s="424"/>
      <c r="Y776" s="424"/>
      <c r="Z776" s="424"/>
      <c r="AA776" s="424"/>
      <c r="AB776" s="424"/>
      <c r="AC776" s="424"/>
      <c r="AD776" s="424"/>
      <c r="AE776" s="424"/>
      <c r="AF776" s="424"/>
      <c r="AG776" s="424"/>
      <c r="AH776" s="424"/>
      <c r="AI776" s="424"/>
      <c r="AM776" s="424"/>
      <c r="AN776" s="424"/>
      <c r="AO776" s="424"/>
      <c r="AP776" s="424"/>
      <c r="AQ776" s="424"/>
      <c r="AR776" s="424"/>
      <c r="AS776" s="424"/>
      <c r="AT776" s="424"/>
      <c r="AU776" s="424"/>
      <c r="AV776" s="424"/>
      <c r="AW776" s="424"/>
      <c r="AX776" s="424"/>
      <c r="AY776" s="424"/>
    </row>
    <row r="777" spans="2:51">
      <c r="B777" s="424"/>
      <c r="C777" s="424"/>
      <c r="D777" s="424"/>
      <c r="E777" s="424"/>
      <c r="F777" s="424"/>
      <c r="G777" s="424"/>
      <c r="H777" s="424"/>
      <c r="I777" s="424"/>
      <c r="J777" s="424"/>
      <c r="K777" s="424"/>
      <c r="L777" s="424"/>
      <c r="M777" s="424"/>
      <c r="N777" s="424"/>
      <c r="O777" s="424"/>
      <c r="P777" s="424"/>
      <c r="Q777" s="424"/>
      <c r="R777" s="424"/>
      <c r="S777" s="424"/>
      <c r="T777" s="424"/>
      <c r="U777" s="424"/>
      <c r="Y777" s="424"/>
      <c r="Z777" s="424"/>
      <c r="AA777" s="424"/>
      <c r="AB777" s="424"/>
      <c r="AC777" s="424"/>
      <c r="AD777" s="424"/>
      <c r="AE777" s="424"/>
      <c r="AF777" s="424"/>
      <c r="AG777" s="424"/>
      <c r="AH777" s="424"/>
      <c r="AI777" s="424"/>
      <c r="AM777" s="424"/>
      <c r="AN777" s="424"/>
      <c r="AO777" s="424"/>
      <c r="AP777" s="424"/>
      <c r="AQ777" s="424"/>
      <c r="AR777" s="424"/>
      <c r="AS777" s="424"/>
      <c r="AT777" s="424"/>
      <c r="AU777" s="424"/>
      <c r="AV777" s="424"/>
      <c r="AW777" s="424"/>
      <c r="AX777" s="424"/>
      <c r="AY777" s="424"/>
    </row>
    <row r="778" spans="2:51">
      <c r="B778" s="424"/>
      <c r="C778" s="424"/>
      <c r="D778" s="424"/>
      <c r="E778" s="424"/>
      <c r="F778" s="424"/>
      <c r="G778" s="424"/>
      <c r="H778" s="424"/>
      <c r="I778" s="424"/>
      <c r="J778" s="424"/>
      <c r="K778" s="424"/>
      <c r="L778" s="424"/>
      <c r="M778" s="424"/>
      <c r="N778" s="424"/>
      <c r="O778" s="424"/>
      <c r="P778" s="424"/>
      <c r="Q778" s="424"/>
      <c r="R778" s="424"/>
      <c r="S778" s="424"/>
      <c r="T778" s="424"/>
      <c r="U778" s="424"/>
      <c r="Y778" s="424"/>
      <c r="Z778" s="424"/>
      <c r="AA778" s="424"/>
      <c r="AB778" s="424"/>
      <c r="AC778" s="424"/>
      <c r="AD778" s="424"/>
      <c r="AE778" s="424"/>
      <c r="AF778" s="424"/>
      <c r="AG778" s="424"/>
      <c r="AH778" s="424"/>
      <c r="AI778" s="424"/>
      <c r="AM778" s="424"/>
      <c r="AN778" s="424"/>
      <c r="AO778" s="424"/>
      <c r="AP778" s="424"/>
      <c r="AQ778" s="424"/>
      <c r="AR778" s="424"/>
      <c r="AS778" s="424"/>
      <c r="AT778" s="424"/>
      <c r="AU778" s="424"/>
      <c r="AV778" s="424"/>
      <c r="AW778" s="424"/>
      <c r="AX778" s="424"/>
      <c r="AY778" s="424"/>
    </row>
    <row r="779" spans="2:51">
      <c r="B779" s="424"/>
      <c r="C779" s="424"/>
      <c r="D779" s="424"/>
      <c r="E779" s="424"/>
      <c r="F779" s="424"/>
      <c r="G779" s="424"/>
      <c r="H779" s="424"/>
      <c r="I779" s="424"/>
      <c r="J779" s="424"/>
      <c r="K779" s="424"/>
      <c r="L779" s="424"/>
      <c r="M779" s="424"/>
      <c r="N779" s="424"/>
      <c r="O779" s="424"/>
      <c r="P779" s="424"/>
      <c r="Q779" s="424"/>
      <c r="R779" s="424"/>
      <c r="S779" s="424"/>
      <c r="T779" s="424"/>
      <c r="U779" s="424"/>
      <c r="Y779" s="424"/>
      <c r="Z779" s="424"/>
      <c r="AA779" s="424"/>
      <c r="AB779" s="424"/>
      <c r="AC779" s="424"/>
      <c r="AD779" s="424"/>
      <c r="AE779" s="424"/>
      <c r="AF779" s="424"/>
      <c r="AG779" s="424"/>
      <c r="AH779" s="424"/>
      <c r="AI779" s="424"/>
      <c r="AM779" s="424"/>
      <c r="AN779" s="424"/>
      <c r="AO779" s="424"/>
      <c r="AP779" s="424"/>
      <c r="AQ779" s="424"/>
      <c r="AR779" s="424"/>
      <c r="AS779" s="424"/>
      <c r="AT779" s="424"/>
      <c r="AU779" s="424"/>
      <c r="AV779" s="424"/>
      <c r="AW779" s="424"/>
      <c r="AX779" s="424"/>
      <c r="AY779" s="424"/>
    </row>
    <row r="780" spans="2:51">
      <c r="B780" s="424"/>
      <c r="C780" s="424"/>
      <c r="D780" s="424"/>
      <c r="E780" s="424"/>
      <c r="F780" s="424"/>
      <c r="G780" s="424"/>
      <c r="H780" s="424"/>
      <c r="I780" s="424"/>
      <c r="J780" s="424"/>
      <c r="K780" s="424"/>
      <c r="L780" s="424"/>
      <c r="M780" s="424"/>
      <c r="N780" s="424"/>
      <c r="O780" s="424"/>
      <c r="P780" s="424"/>
      <c r="Q780" s="424"/>
      <c r="R780" s="424"/>
      <c r="S780" s="424"/>
      <c r="T780" s="424"/>
      <c r="U780" s="424"/>
      <c r="Y780" s="424"/>
      <c r="Z780" s="424"/>
      <c r="AA780" s="424"/>
      <c r="AB780" s="424"/>
      <c r="AC780" s="424"/>
      <c r="AD780" s="424"/>
      <c r="AE780" s="424"/>
      <c r="AF780" s="424"/>
      <c r="AG780" s="424"/>
      <c r="AH780" s="424"/>
      <c r="AI780" s="424"/>
      <c r="AM780" s="424"/>
      <c r="AN780" s="424"/>
      <c r="AO780" s="424"/>
      <c r="AP780" s="424"/>
      <c r="AQ780" s="424"/>
      <c r="AR780" s="424"/>
      <c r="AS780" s="424"/>
      <c r="AT780" s="424"/>
      <c r="AU780" s="424"/>
      <c r="AV780" s="424"/>
      <c r="AW780" s="424"/>
      <c r="AX780" s="424"/>
      <c r="AY780" s="424"/>
    </row>
    <row r="781" spans="2:51">
      <c r="B781" s="424"/>
      <c r="C781" s="424"/>
      <c r="D781" s="424"/>
      <c r="E781" s="424"/>
      <c r="F781" s="424"/>
      <c r="G781" s="424"/>
      <c r="H781" s="424"/>
      <c r="I781" s="424"/>
      <c r="J781" s="424"/>
      <c r="K781" s="424"/>
      <c r="L781" s="424"/>
      <c r="M781" s="424"/>
      <c r="N781" s="424"/>
      <c r="O781" s="424"/>
      <c r="P781" s="424"/>
      <c r="Q781" s="424"/>
      <c r="R781" s="424"/>
      <c r="S781" s="424"/>
      <c r="T781" s="424"/>
      <c r="U781" s="424"/>
      <c r="Y781" s="424"/>
      <c r="Z781" s="424"/>
      <c r="AA781" s="424"/>
      <c r="AB781" s="424"/>
      <c r="AC781" s="424"/>
      <c r="AD781" s="424"/>
      <c r="AE781" s="424"/>
      <c r="AF781" s="424"/>
      <c r="AG781" s="424"/>
      <c r="AH781" s="424"/>
      <c r="AI781" s="424"/>
      <c r="AM781" s="424"/>
      <c r="AN781" s="424"/>
      <c r="AO781" s="424"/>
      <c r="AP781" s="424"/>
      <c r="AQ781" s="424"/>
      <c r="AR781" s="424"/>
      <c r="AS781" s="424"/>
      <c r="AT781" s="424"/>
      <c r="AU781" s="424"/>
      <c r="AV781" s="424"/>
      <c r="AW781" s="424"/>
      <c r="AX781" s="424"/>
      <c r="AY781" s="424"/>
    </row>
    <row r="782" spans="2:51">
      <c r="B782" s="424"/>
      <c r="C782" s="424"/>
      <c r="D782" s="424"/>
      <c r="E782" s="424"/>
      <c r="F782" s="424"/>
      <c r="G782" s="424"/>
      <c r="H782" s="424"/>
      <c r="I782" s="424"/>
      <c r="J782" s="424"/>
      <c r="K782" s="424"/>
      <c r="L782" s="424"/>
      <c r="M782" s="424"/>
      <c r="N782" s="424"/>
      <c r="O782" s="424"/>
      <c r="P782" s="424"/>
      <c r="Q782" s="424"/>
      <c r="R782" s="424"/>
      <c r="S782" s="424"/>
      <c r="T782" s="424"/>
      <c r="U782" s="424"/>
      <c r="Y782" s="424"/>
      <c r="Z782" s="424"/>
      <c r="AA782" s="424"/>
      <c r="AB782" s="424"/>
      <c r="AC782" s="424"/>
      <c r="AD782" s="424"/>
      <c r="AE782" s="424"/>
      <c r="AF782" s="424"/>
      <c r="AG782" s="424"/>
      <c r="AH782" s="424"/>
      <c r="AI782" s="424"/>
      <c r="AM782" s="424"/>
      <c r="AN782" s="424"/>
      <c r="AO782" s="424"/>
      <c r="AP782" s="424"/>
      <c r="AQ782" s="424"/>
      <c r="AR782" s="424"/>
      <c r="AS782" s="424"/>
      <c r="AT782" s="424"/>
      <c r="AU782" s="424"/>
      <c r="AV782" s="424"/>
      <c r="AW782" s="424"/>
      <c r="AX782" s="424"/>
      <c r="AY782" s="424"/>
    </row>
    <row r="783" spans="2:51">
      <c r="B783" s="424"/>
      <c r="C783" s="424"/>
      <c r="D783" s="424"/>
      <c r="E783" s="424"/>
      <c r="F783" s="424"/>
      <c r="G783" s="424"/>
      <c r="H783" s="424"/>
      <c r="I783" s="424"/>
      <c r="J783" s="424"/>
      <c r="K783" s="424"/>
      <c r="L783" s="424"/>
      <c r="M783" s="424"/>
      <c r="N783" s="424"/>
      <c r="O783" s="424"/>
      <c r="P783" s="424"/>
      <c r="Q783" s="424"/>
      <c r="R783" s="424"/>
      <c r="S783" s="424"/>
      <c r="T783" s="424"/>
      <c r="U783" s="424"/>
      <c r="Y783" s="424"/>
      <c r="Z783" s="424"/>
      <c r="AA783" s="424"/>
      <c r="AB783" s="424"/>
      <c r="AC783" s="424"/>
      <c r="AD783" s="424"/>
      <c r="AE783" s="424"/>
      <c r="AF783" s="424"/>
      <c r="AG783" s="424"/>
      <c r="AH783" s="424"/>
      <c r="AI783" s="424"/>
      <c r="AM783" s="424"/>
      <c r="AN783" s="424"/>
      <c r="AO783" s="424"/>
      <c r="AP783" s="424"/>
      <c r="AQ783" s="424"/>
      <c r="AR783" s="424"/>
      <c r="AS783" s="424"/>
      <c r="AT783" s="424"/>
      <c r="AU783" s="424"/>
      <c r="AV783" s="424"/>
      <c r="AW783" s="424"/>
      <c r="AX783" s="424"/>
      <c r="AY783" s="424"/>
    </row>
    <row r="784" spans="2:51">
      <c r="B784" s="424"/>
      <c r="C784" s="424"/>
      <c r="D784" s="424"/>
      <c r="E784" s="424"/>
      <c r="F784" s="424"/>
      <c r="G784" s="424"/>
      <c r="H784" s="424"/>
      <c r="I784" s="424"/>
      <c r="J784" s="424"/>
      <c r="K784" s="424"/>
      <c r="L784" s="424"/>
      <c r="M784" s="424"/>
      <c r="N784" s="424"/>
      <c r="O784" s="424"/>
      <c r="P784" s="424"/>
      <c r="Q784" s="424"/>
      <c r="R784" s="424"/>
      <c r="S784" s="424"/>
      <c r="T784" s="424"/>
      <c r="U784" s="424"/>
      <c r="Y784" s="424"/>
      <c r="Z784" s="424"/>
      <c r="AA784" s="424"/>
      <c r="AB784" s="424"/>
      <c r="AC784" s="424"/>
      <c r="AD784" s="424"/>
      <c r="AE784" s="424"/>
      <c r="AF784" s="424"/>
      <c r="AG784" s="424"/>
      <c r="AH784" s="424"/>
      <c r="AI784" s="424"/>
      <c r="AM784" s="424"/>
      <c r="AN784" s="424"/>
      <c r="AO784" s="424"/>
      <c r="AP784" s="424"/>
      <c r="AQ784" s="424"/>
      <c r="AR784" s="424"/>
      <c r="AS784" s="424"/>
      <c r="AT784" s="424"/>
      <c r="AU784" s="424"/>
      <c r="AV784" s="424"/>
      <c r="AW784" s="424"/>
      <c r="AX784" s="424"/>
      <c r="AY784" s="424"/>
    </row>
    <row r="785" spans="2:51">
      <c r="B785" s="424"/>
      <c r="C785" s="424"/>
      <c r="D785" s="424"/>
      <c r="E785" s="424"/>
      <c r="F785" s="424"/>
      <c r="G785" s="424"/>
      <c r="H785" s="424"/>
      <c r="I785" s="424"/>
      <c r="J785" s="424"/>
      <c r="K785" s="424"/>
      <c r="L785" s="424"/>
      <c r="M785" s="424"/>
      <c r="N785" s="424"/>
      <c r="O785" s="424"/>
      <c r="P785" s="424"/>
      <c r="Q785" s="424"/>
      <c r="R785" s="424"/>
      <c r="S785" s="424"/>
      <c r="T785" s="424"/>
      <c r="U785" s="424"/>
      <c r="Y785" s="424"/>
      <c r="Z785" s="424"/>
      <c r="AA785" s="424"/>
      <c r="AB785" s="424"/>
      <c r="AC785" s="424"/>
      <c r="AD785" s="424"/>
      <c r="AE785" s="424"/>
      <c r="AF785" s="424"/>
      <c r="AG785" s="424"/>
      <c r="AH785" s="424"/>
      <c r="AI785" s="424"/>
      <c r="AM785" s="424"/>
      <c r="AN785" s="424"/>
      <c r="AO785" s="424"/>
      <c r="AP785" s="424"/>
      <c r="AQ785" s="424"/>
      <c r="AR785" s="424"/>
      <c r="AS785" s="424"/>
      <c r="AT785" s="424"/>
      <c r="AU785" s="424"/>
      <c r="AV785" s="424"/>
      <c r="AW785" s="424"/>
      <c r="AX785" s="424"/>
      <c r="AY785" s="424"/>
    </row>
    <row r="786" spans="2:51">
      <c r="B786" s="424"/>
      <c r="C786" s="424"/>
      <c r="D786" s="424"/>
      <c r="E786" s="424"/>
      <c r="F786" s="424"/>
      <c r="G786" s="424"/>
      <c r="H786" s="424"/>
      <c r="I786" s="424"/>
      <c r="J786" s="424"/>
      <c r="K786" s="424"/>
      <c r="L786" s="424"/>
      <c r="M786" s="424"/>
      <c r="N786" s="424"/>
      <c r="O786" s="424"/>
      <c r="P786" s="424"/>
      <c r="Q786" s="424"/>
      <c r="R786" s="424"/>
      <c r="S786" s="424"/>
      <c r="T786" s="424"/>
      <c r="U786" s="424"/>
      <c r="Y786" s="424"/>
      <c r="Z786" s="424"/>
      <c r="AA786" s="424"/>
      <c r="AB786" s="424"/>
      <c r="AC786" s="424"/>
      <c r="AD786" s="424"/>
      <c r="AE786" s="424"/>
      <c r="AF786" s="424"/>
      <c r="AG786" s="424"/>
      <c r="AH786" s="424"/>
      <c r="AI786" s="424"/>
      <c r="AM786" s="424"/>
      <c r="AN786" s="424"/>
      <c r="AO786" s="424"/>
      <c r="AP786" s="424"/>
      <c r="AQ786" s="424"/>
      <c r="AR786" s="424"/>
      <c r="AS786" s="424"/>
      <c r="AT786" s="424"/>
      <c r="AU786" s="424"/>
      <c r="AV786" s="424"/>
      <c r="AW786" s="424"/>
      <c r="AX786" s="424"/>
      <c r="AY786" s="424"/>
    </row>
    <row r="787" spans="2:51">
      <c r="B787" s="424"/>
      <c r="C787" s="424"/>
      <c r="D787" s="424"/>
      <c r="E787" s="424"/>
      <c r="F787" s="424"/>
      <c r="G787" s="424"/>
      <c r="H787" s="424"/>
      <c r="I787" s="424"/>
      <c r="J787" s="424"/>
      <c r="K787" s="424"/>
      <c r="L787" s="424"/>
      <c r="M787" s="424"/>
      <c r="N787" s="424"/>
      <c r="O787" s="424"/>
      <c r="P787" s="424"/>
      <c r="Q787" s="424"/>
      <c r="R787" s="424"/>
      <c r="S787" s="424"/>
      <c r="T787" s="424"/>
      <c r="U787" s="424"/>
      <c r="Y787" s="424"/>
      <c r="Z787" s="424"/>
      <c r="AA787" s="424"/>
      <c r="AB787" s="424"/>
      <c r="AC787" s="424"/>
      <c r="AD787" s="424"/>
      <c r="AE787" s="424"/>
      <c r="AF787" s="424"/>
      <c r="AG787" s="424"/>
      <c r="AH787" s="424"/>
      <c r="AI787" s="424"/>
      <c r="AM787" s="424"/>
      <c r="AN787" s="424"/>
      <c r="AO787" s="424"/>
      <c r="AP787" s="424"/>
      <c r="AQ787" s="424"/>
      <c r="AR787" s="424"/>
      <c r="AS787" s="424"/>
      <c r="AT787" s="424"/>
      <c r="AU787" s="424"/>
      <c r="AV787" s="424"/>
      <c r="AW787" s="424"/>
      <c r="AX787" s="424"/>
      <c r="AY787" s="424"/>
    </row>
    <row r="788" spans="2:51">
      <c r="B788" s="424"/>
      <c r="C788" s="424"/>
      <c r="D788" s="424"/>
      <c r="E788" s="424"/>
      <c r="F788" s="424"/>
      <c r="G788" s="424"/>
      <c r="H788" s="424"/>
      <c r="I788" s="424"/>
      <c r="J788" s="424"/>
      <c r="K788" s="424"/>
      <c r="L788" s="424"/>
      <c r="M788" s="424"/>
      <c r="N788" s="424"/>
      <c r="O788" s="424"/>
      <c r="P788" s="424"/>
      <c r="Q788" s="424"/>
      <c r="R788" s="424"/>
      <c r="S788" s="424"/>
      <c r="T788" s="424"/>
      <c r="U788" s="424"/>
      <c r="Y788" s="424"/>
      <c r="Z788" s="424"/>
      <c r="AA788" s="424"/>
      <c r="AB788" s="424"/>
      <c r="AC788" s="424"/>
      <c r="AD788" s="424"/>
      <c r="AE788" s="424"/>
      <c r="AF788" s="424"/>
      <c r="AG788" s="424"/>
      <c r="AH788" s="424"/>
      <c r="AI788" s="424"/>
      <c r="AM788" s="424"/>
      <c r="AN788" s="424"/>
      <c r="AO788" s="424"/>
      <c r="AP788" s="424"/>
      <c r="AQ788" s="424"/>
      <c r="AR788" s="424"/>
      <c r="AS788" s="424"/>
      <c r="AT788" s="424"/>
      <c r="AU788" s="424"/>
      <c r="AV788" s="424"/>
      <c r="AW788" s="424"/>
      <c r="AX788" s="424"/>
      <c r="AY788" s="424"/>
    </row>
    <row r="789" spans="2:51">
      <c r="B789" s="424"/>
      <c r="C789" s="424"/>
      <c r="D789" s="424"/>
      <c r="E789" s="424"/>
      <c r="F789" s="424"/>
      <c r="G789" s="424"/>
      <c r="H789" s="424"/>
      <c r="I789" s="424"/>
      <c r="J789" s="424"/>
      <c r="K789" s="424"/>
      <c r="L789" s="424"/>
      <c r="M789" s="424"/>
      <c r="N789" s="424"/>
      <c r="O789" s="424"/>
      <c r="P789" s="424"/>
      <c r="Q789" s="424"/>
      <c r="R789" s="424"/>
      <c r="S789" s="424"/>
      <c r="T789" s="424"/>
      <c r="U789" s="424"/>
      <c r="Y789" s="424"/>
      <c r="Z789" s="424"/>
      <c r="AA789" s="424"/>
      <c r="AB789" s="424"/>
      <c r="AC789" s="424"/>
      <c r="AD789" s="424"/>
      <c r="AE789" s="424"/>
      <c r="AF789" s="424"/>
      <c r="AG789" s="424"/>
      <c r="AH789" s="424"/>
      <c r="AI789" s="424"/>
      <c r="AM789" s="424"/>
      <c r="AN789" s="424"/>
      <c r="AO789" s="424"/>
      <c r="AP789" s="424"/>
      <c r="AQ789" s="424"/>
      <c r="AR789" s="424"/>
      <c r="AS789" s="424"/>
      <c r="AT789" s="424"/>
      <c r="AU789" s="424"/>
      <c r="AV789" s="424"/>
      <c r="AW789" s="424"/>
      <c r="AX789" s="424"/>
      <c r="AY789" s="424"/>
    </row>
    <row r="790" spans="2:51">
      <c r="B790" s="424"/>
      <c r="C790" s="424"/>
      <c r="D790" s="424"/>
      <c r="E790" s="424"/>
      <c r="F790" s="424"/>
      <c r="G790" s="424"/>
      <c r="H790" s="424"/>
      <c r="I790" s="424"/>
      <c r="J790" s="424"/>
      <c r="K790" s="424"/>
      <c r="L790" s="424"/>
      <c r="M790" s="424"/>
      <c r="N790" s="424"/>
      <c r="O790" s="424"/>
      <c r="P790" s="424"/>
      <c r="Q790" s="424"/>
      <c r="R790" s="424"/>
      <c r="S790" s="424"/>
      <c r="T790" s="424"/>
      <c r="U790" s="424"/>
      <c r="Y790" s="424"/>
      <c r="Z790" s="424"/>
      <c r="AA790" s="424"/>
      <c r="AB790" s="424"/>
      <c r="AC790" s="424"/>
      <c r="AD790" s="424"/>
      <c r="AE790" s="424"/>
      <c r="AF790" s="424"/>
      <c r="AG790" s="424"/>
      <c r="AH790" s="424"/>
      <c r="AI790" s="424"/>
      <c r="AM790" s="424"/>
      <c r="AN790" s="424"/>
      <c r="AO790" s="424"/>
      <c r="AP790" s="424"/>
      <c r="AQ790" s="424"/>
      <c r="AR790" s="424"/>
      <c r="AS790" s="424"/>
      <c r="AT790" s="424"/>
      <c r="AU790" s="424"/>
      <c r="AV790" s="424"/>
      <c r="AW790" s="424"/>
      <c r="AX790" s="424"/>
      <c r="AY790" s="424"/>
    </row>
    <row r="791" spans="2:51">
      <c r="B791" s="424"/>
      <c r="C791" s="424"/>
      <c r="D791" s="424"/>
      <c r="E791" s="424"/>
      <c r="F791" s="424"/>
      <c r="G791" s="424"/>
      <c r="H791" s="424"/>
      <c r="I791" s="424"/>
      <c r="J791" s="424"/>
      <c r="K791" s="424"/>
      <c r="L791" s="424"/>
      <c r="M791" s="424"/>
      <c r="N791" s="424"/>
      <c r="O791" s="424"/>
      <c r="P791" s="424"/>
      <c r="Q791" s="424"/>
      <c r="R791" s="424"/>
      <c r="S791" s="424"/>
      <c r="T791" s="424"/>
      <c r="U791" s="424"/>
      <c r="Y791" s="424"/>
      <c r="Z791" s="424"/>
      <c r="AA791" s="424"/>
      <c r="AB791" s="424"/>
      <c r="AC791" s="424"/>
      <c r="AD791" s="424"/>
      <c r="AE791" s="424"/>
      <c r="AF791" s="424"/>
      <c r="AG791" s="424"/>
      <c r="AH791" s="424"/>
      <c r="AI791" s="424"/>
      <c r="AM791" s="424"/>
      <c r="AN791" s="424"/>
      <c r="AO791" s="424"/>
      <c r="AP791" s="424"/>
      <c r="AQ791" s="424"/>
      <c r="AR791" s="424"/>
      <c r="AS791" s="424"/>
      <c r="AT791" s="424"/>
      <c r="AU791" s="424"/>
      <c r="AV791" s="424"/>
      <c r="AW791" s="424"/>
      <c r="AX791" s="424"/>
      <c r="AY791" s="424"/>
    </row>
    <row r="792" spans="2:51">
      <c r="B792" s="424"/>
      <c r="C792" s="424"/>
      <c r="D792" s="424"/>
      <c r="E792" s="424"/>
      <c r="F792" s="424"/>
      <c r="G792" s="424"/>
      <c r="H792" s="424"/>
      <c r="I792" s="424"/>
      <c r="J792" s="424"/>
      <c r="K792" s="424"/>
      <c r="L792" s="424"/>
      <c r="M792" s="424"/>
      <c r="N792" s="424"/>
      <c r="O792" s="424"/>
      <c r="P792" s="424"/>
      <c r="Q792" s="424"/>
      <c r="R792" s="424"/>
      <c r="S792" s="424"/>
      <c r="T792" s="424"/>
      <c r="U792" s="424"/>
      <c r="Y792" s="424"/>
      <c r="Z792" s="424"/>
      <c r="AA792" s="424"/>
      <c r="AB792" s="424"/>
      <c r="AC792" s="424"/>
      <c r="AD792" s="424"/>
      <c r="AE792" s="424"/>
      <c r="AF792" s="424"/>
      <c r="AG792" s="424"/>
      <c r="AH792" s="424"/>
      <c r="AI792" s="424"/>
      <c r="AM792" s="424"/>
      <c r="AN792" s="424"/>
      <c r="AO792" s="424"/>
      <c r="AP792" s="424"/>
      <c r="AQ792" s="424"/>
      <c r="AR792" s="424"/>
      <c r="AS792" s="424"/>
      <c r="AT792" s="424"/>
      <c r="AU792" s="424"/>
      <c r="AV792" s="424"/>
      <c r="AW792" s="424"/>
      <c r="AX792" s="424"/>
      <c r="AY792" s="424"/>
    </row>
    <row r="793" spans="2:51">
      <c r="B793" s="424"/>
      <c r="C793" s="424"/>
      <c r="D793" s="424"/>
      <c r="E793" s="424"/>
      <c r="F793" s="424"/>
      <c r="G793" s="424"/>
      <c r="H793" s="424"/>
      <c r="I793" s="424"/>
      <c r="J793" s="424"/>
      <c r="K793" s="424"/>
      <c r="L793" s="424"/>
      <c r="M793" s="424"/>
      <c r="N793" s="424"/>
      <c r="O793" s="424"/>
      <c r="P793" s="424"/>
      <c r="Q793" s="424"/>
      <c r="R793" s="424"/>
      <c r="S793" s="424"/>
      <c r="T793" s="424"/>
      <c r="U793" s="424"/>
      <c r="Y793" s="424"/>
      <c r="Z793" s="424"/>
      <c r="AA793" s="424"/>
      <c r="AB793" s="424"/>
      <c r="AC793" s="424"/>
      <c r="AD793" s="424"/>
      <c r="AE793" s="424"/>
      <c r="AF793" s="424"/>
      <c r="AG793" s="424"/>
      <c r="AH793" s="424"/>
      <c r="AI793" s="424"/>
      <c r="AM793" s="424"/>
      <c r="AN793" s="424"/>
      <c r="AO793" s="424"/>
      <c r="AP793" s="424"/>
      <c r="AQ793" s="424"/>
      <c r="AR793" s="424"/>
      <c r="AS793" s="424"/>
      <c r="AT793" s="424"/>
      <c r="AU793" s="424"/>
      <c r="AV793" s="424"/>
      <c r="AW793" s="424"/>
      <c r="AX793" s="424"/>
      <c r="AY793" s="424"/>
    </row>
    <row r="794" spans="2:51">
      <c r="B794" s="424"/>
      <c r="C794" s="424"/>
      <c r="D794" s="424"/>
      <c r="E794" s="424"/>
      <c r="F794" s="424"/>
      <c r="G794" s="424"/>
      <c r="H794" s="424"/>
      <c r="I794" s="424"/>
      <c r="J794" s="424"/>
      <c r="K794" s="424"/>
      <c r="L794" s="424"/>
      <c r="M794" s="424"/>
      <c r="N794" s="424"/>
      <c r="O794" s="424"/>
      <c r="P794" s="424"/>
      <c r="Q794" s="424"/>
      <c r="R794" s="424"/>
      <c r="S794" s="424"/>
      <c r="T794" s="424"/>
      <c r="U794" s="424"/>
      <c r="Y794" s="424"/>
      <c r="Z794" s="424"/>
      <c r="AA794" s="424"/>
      <c r="AB794" s="424"/>
      <c r="AC794" s="424"/>
      <c r="AD794" s="424"/>
      <c r="AE794" s="424"/>
      <c r="AF794" s="424"/>
      <c r="AG794" s="424"/>
      <c r="AH794" s="424"/>
      <c r="AI794" s="424"/>
      <c r="AM794" s="424"/>
      <c r="AN794" s="424"/>
      <c r="AO794" s="424"/>
      <c r="AP794" s="424"/>
      <c r="AQ794" s="424"/>
      <c r="AR794" s="424"/>
      <c r="AS794" s="424"/>
      <c r="AT794" s="424"/>
      <c r="AU794" s="424"/>
      <c r="AV794" s="424"/>
      <c r="AW794" s="424"/>
      <c r="AX794" s="424"/>
      <c r="AY794" s="424"/>
    </row>
    <row r="795" spans="2:51">
      <c r="B795" s="424"/>
      <c r="C795" s="424"/>
      <c r="D795" s="424"/>
      <c r="E795" s="424"/>
      <c r="F795" s="424"/>
      <c r="G795" s="424"/>
      <c r="H795" s="424"/>
      <c r="I795" s="424"/>
      <c r="J795" s="424"/>
      <c r="K795" s="424"/>
      <c r="L795" s="424"/>
      <c r="M795" s="424"/>
      <c r="N795" s="424"/>
      <c r="O795" s="424"/>
      <c r="P795" s="424"/>
      <c r="Q795" s="424"/>
      <c r="R795" s="424"/>
      <c r="S795" s="424"/>
      <c r="T795" s="424"/>
      <c r="U795" s="424"/>
      <c r="Y795" s="424"/>
      <c r="Z795" s="424"/>
      <c r="AA795" s="424"/>
      <c r="AB795" s="424"/>
      <c r="AC795" s="424"/>
      <c r="AD795" s="424"/>
      <c r="AE795" s="424"/>
      <c r="AF795" s="424"/>
      <c r="AG795" s="424"/>
      <c r="AH795" s="424"/>
      <c r="AI795" s="424"/>
      <c r="AM795" s="424"/>
      <c r="AN795" s="424"/>
      <c r="AO795" s="424"/>
      <c r="AP795" s="424"/>
      <c r="AQ795" s="424"/>
      <c r="AR795" s="424"/>
      <c r="AS795" s="424"/>
      <c r="AT795" s="424"/>
      <c r="AU795" s="424"/>
      <c r="AV795" s="424"/>
      <c r="AW795" s="424"/>
      <c r="AX795" s="424"/>
      <c r="AY795" s="424"/>
    </row>
    <row r="796" spans="2:51">
      <c r="B796" s="424"/>
      <c r="C796" s="424"/>
      <c r="D796" s="424"/>
      <c r="E796" s="424"/>
      <c r="F796" s="424"/>
      <c r="G796" s="424"/>
      <c r="H796" s="424"/>
      <c r="I796" s="424"/>
      <c r="J796" s="424"/>
      <c r="K796" s="424"/>
      <c r="L796" s="424"/>
      <c r="M796" s="424"/>
      <c r="N796" s="424"/>
      <c r="O796" s="424"/>
      <c r="P796" s="424"/>
      <c r="Q796" s="424"/>
      <c r="R796" s="424"/>
      <c r="S796" s="424"/>
      <c r="T796" s="424"/>
      <c r="U796" s="424"/>
      <c r="Y796" s="424"/>
      <c r="Z796" s="424"/>
      <c r="AA796" s="424"/>
      <c r="AB796" s="424"/>
      <c r="AC796" s="424"/>
      <c r="AD796" s="424"/>
      <c r="AE796" s="424"/>
      <c r="AF796" s="424"/>
      <c r="AG796" s="424"/>
      <c r="AH796" s="424"/>
      <c r="AI796" s="424"/>
      <c r="AM796" s="424"/>
      <c r="AN796" s="424"/>
      <c r="AO796" s="424"/>
      <c r="AP796" s="424"/>
      <c r="AQ796" s="424"/>
      <c r="AR796" s="424"/>
      <c r="AS796" s="424"/>
      <c r="AT796" s="424"/>
      <c r="AU796" s="424"/>
      <c r="AV796" s="424"/>
      <c r="AW796" s="424"/>
      <c r="AX796" s="424"/>
      <c r="AY796" s="424"/>
    </row>
    <row r="797" spans="2:51">
      <c r="B797" s="424"/>
      <c r="C797" s="424"/>
      <c r="D797" s="424"/>
      <c r="E797" s="424"/>
      <c r="F797" s="424"/>
      <c r="G797" s="424"/>
      <c r="H797" s="424"/>
      <c r="I797" s="424"/>
      <c r="J797" s="424"/>
      <c r="K797" s="424"/>
      <c r="L797" s="424"/>
      <c r="M797" s="424"/>
      <c r="N797" s="424"/>
      <c r="O797" s="424"/>
      <c r="P797" s="424"/>
      <c r="Q797" s="424"/>
      <c r="R797" s="424"/>
      <c r="S797" s="424"/>
      <c r="T797" s="424"/>
      <c r="U797" s="424"/>
      <c r="Y797" s="424"/>
      <c r="Z797" s="424"/>
      <c r="AA797" s="424"/>
      <c r="AB797" s="424"/>
      <c r="AC797" s="424"/>
      <c r="AD797" s="424"/>
      <c r="AE797" s="424"/>
      <c r="AF797" s="424"/>
      <c r="AG797" s="424"/>
      <c r="AH797" s="424"/>
      <c r="AI797" s="424"/>
      <c r="AM797" s="424"/>
      <c r="AN797" s="424"/>
      <c r="AO797" s="424"/>
      <c r="AP797" s="424"/>
      <c r="AQ797" s="424"/>
      <c r="AR797" s="424"/>
      <c r="AS797" s="424"/>
      <c r="AT797" s="424"/>
      <c r="AU797" s="424"/>
      <c r="AV797" s="424"/>
      <c r="AW797" s="424"/>
      <c r="AX797" s="424"/>
      <c r="AY797" s="424"/>
    </row>
    <row r="798" spans="2:51">
      <c r="B798" s="424"/>
      <c r="C798" s="424"/>
      <c r="D798" s="424"/>
      <c r="E798" s="424"/>
      <c r="F798" s="424"/>
      <c r="G798" s="424"/>
      <c r="H798" s="424"/>
      <c r="I798" s="424"/>
      <c r="J798" s="424"/>
      <c r="K798" s="424"/>
      <c r="L798" s="424"/>
      <c r="M798" s="424"/>
      <c r="N798" s="424"/>
      <c r="O798" s="424"/>
      <c r="P798" s="424"/>
      <c r="Q798" s="424"/>
      <c r="R798" s="424"/>
      <c r="S798" s="424"/>
      <c r="T798" s="424"/>
      <c r="U798" s="424"/>
      <c r="Y798" s="424"/>
      <c r="Z798" s="424"/>
      <c r="AA798" s="424"/>
      <c r="AB798" s="424"/>
      <c r="AC798" s="424"/>
      <c r="AD798" s="424"/>
      <c r="AE798" s="424"/>
      <c r="AF798" s="424"/>
      <c r="AG798" s="424"/>
      <c r="AH798" s="424"/>
      <c r="AI798" s="424"/>
      <c r="AM798" s="424"/>
      <c r="AN798" s="424"/>
      <c r="AO798" s="424"/>
      <c r="AP798" s="424"/>
      <c r="AQ798" s="424"/>
      <c r="AR798" s="424"/>
      <c r="AS798" s="424"/>
      <c r="AT798" s="424"/>
      <c r="AU798" s="424"/>
      <c r="AV798" s="424"/>
      <c r="AW798" s="424"/>
      <c r="AX798" s="424"/>
      <c r="AY798" s="424"/>
    </row>
    <row r="799" spans="2:51">
      <c r="B799" s="424"/>
      <c r="C799" s="424"/>
      <c r="D799" s="424"/>
      <c r="E799" s="424"/>
      <c r="F799" s="424"/>
      <c r="G799" s="424"/>
      <c r="H799" s="424"/>
      <c r="I799" s="424"/>
      <c r="J799" s="424"/>
      <c r="K799" s="424"/>
      <c r="L799" s="424"/>
      <c r="M799" s="424"/>
      <c r="N799" s="424"/>
      <c r="O799" s="424"/>
      <c r="P799" s="424"/>
      <c r="Q799" s="424"/>
      <c r="R799" s="424"/>
      <c r="S799" s="424"/>
      <c r="T799" s="424"/>
      <c r="U799" s="424"/>
      <c r="Y799" s="424"/>
      <c r="Z799" s="424"/>
      <c r="AA799" s="424"/>
      <c r="AB799" s="424"/>
      <c r="AC799" s="424"/>
      <c r="AD799" s="424"/>
      <c r="AE799" s="424"/>
      <c r="AF799" s="424"/>
      <c r="AG799" s="424"/>
      <c r="AH799" s="424"/>
      <c r="AI799" s="424"/>
      <c r="AM799" s="424"/>
      <c r="AN799" s="424"/>
      <c r="AO799" s="424"/>
      <c r="AP799" s="424"/>
      <c r="AQ799" s="424"/>
      <c r="AR799" s="424"/>
      <c r="AS799" s="424"/>
      <c r="AT799" s="424"/>
      <c r="AU799" s="424"/>
      <c r="AV799" s="424"/>
      <c r="AW799" s="424"/>
      <c r="AX799" s="424"/>
      <c r="AY799" s="424"/>
    </row>
    <row r="800" spans="2:51">
      <c r="B800" s="424"/>
      <c r="C800" s="424"/>
      <c r="D800" s="424"/>
      <c r="E800" s="424"/>
      <c r="F800" s="424"/>
      <c r="G800" s="424"/>
      <c r="H800" s="424"/>
      <c r="I800" s="424"/>
      <c r="J800" s="424"/>
      <c r="K800" s="424"/>
      <c r="L800" s="424"/>
      <c r="M800" s="424"/>
      <c r="N800" s="424"/>
      <c r="O800" s="424"/>
      <c r="P800" s="424"/>
      <c r="Q800" s="424"/>
      <c r="R800" s="424"/>
      <c r="S800" s="424"/>
      <c r="T800" s="424"/>
      <c r="U800" s="424"/>
      <c r="Y800" s="424"/>
      <c r="Z800" s="424"/>
      <c r="AA800" s="424"/>
      <c r="AB800" s="424"/>
      <c r="AC800" s="424"/>
      <c r="AD800" s="424"/>
      <c r="AE800" s="424"/>
      <c r="AF800" s="424"/>
      <c r="AG800" s="424"/>
      <c r="AH800" s="424"/>
      <c r="AI800" s="424"/>
      <c r="AM800" s="424"/>
      <c r="AN800" s="424"/>
      <c r="AO800" s="424"/>
      <c r="AP800" s="424"/>
      <c r="AQ800" s="424"/>
      <c r="AR800" s="424"/>
      <c r="AS800" s="424"/>
      <c r="AT800" s="424"/>
      <c r="AU800" s="424"/>
      <c r="AV800" s="424"/>
      <c r="AW800" s="424"/>
      <c r="AX800" s="424"/>
      <c r="AY800" s="424"/>
    </row>
    <row r="801" spans="2:51">
      <c r="B801" s="424"/>
      <c r="C801" s="424"/>
      <c r="D801" s="424"/>
      <c r="E801" s="424"/>
      <c r="F801" s="424"/>
      <c r="G801" s="424"/>
      <c r="H801" s="424"/>
      <c r="I801" s="424"/>
      <c r="J801" s="424"/>
      <c r="K801" s="424"/>
      <c r="L801" s="424"/>
      <c r="M801" s="424"/>
      <c r="N801" s="424"/>
      <c r="O801" s="424"/>
      <c r="P801" s="424"/>
      <c r="Q801" s="424"/>
      <c r="R801" s="424"/>
      <c r="S801" s="424"/>
      <c r="T801" s="424"/>
      <c r="U801" s="424"/>
      <c r="Y801" s="424"/>
      <c r="Z801" s="424"/>
      <c r="AA801" s="424"/>
      <c r="AB801" s="424"/>
      <c r="AC801" s="424"/>
      <c r="AD801" s="424"/>
      <c r="AE801" s="424"/>
      <c r="AF801" s="424"/>
      <c r="AG801" s="424"/>
      <c r="AH801" s="424"/>
      <c r="AI801" s="424"/>
      <c r="AM801" s="424"/>
      <c r="AN801" s="424"/>
      <c r="AO801" s="424"/>
      <c r="AP801" s="424"/>
      <c r="AQ801" s="424"/>
      <c r="AR801" s="424"/>
      <c r="AS801" s="424"/>
      <c r="AT801" s="424"/>
      <c r="AU801" s="424"/>
      <c r="AV801" s="424"/>
      <c r="AW801" s="424"/>
      <c r="AX801" s="424"/>
      <c r="AY801" s="424"/>
    </row>
    <row r="802" spans="2:51">
      <c r="B802" s="424"/>
      <c r="C802" s="424"/>
      <c r="D802" s="424"/>
      <c r="E802" s="424"/>
      <c r="F802" s="424"/>
      <c r="G802" s="424"/>
      <c r="H802" s="424"/>
      <c r="I802" s="424"/>
      <c r="J802" s="424"/>
      <c r="K802" s="424"/>
      <c r="L802" s="424"/>
      <c r="M802" s="424"/>
      <c r="N802" s="424"/>
      <c r="O802" s="424"/>
      <c r="P802" s="424"/>
      <c r="Q802" s="424"/>
      <c r="R802" s="424"/>
      <c r="S802" s="424"/>
      <c r="T802" s="424"/>
      <c r="U802" s="424"/>
      <c r="Y802" s="424"/>
      <c r="Z802" s="424"/>
      <c r="AA802" s="424"/>
      <c r="AB802" s="424"/>
      <c r="AC802" s="424"/>
      <c r="AD802" s="424"/>
      <c r="AE802" s="424"/>
      <c r="AF802" s="424"/>
      <c r="AG802" s="424"/>
      <c r="AH802" s="424"/>
      <c r="AI802" s="424"/>
      <c r="AM802" s="424"/>
      <c r="AN802" s="424"/>
      <c r="AO802" s="424"/>
      <c r="AP802" s="424"/>
      <c r="AQ802" s="424"/>
      <c r="AR802" s="424"/>
      <c r="AS802" s="424"/>
      <c r="AT802" s="424"/>
      <c r="AU802" s="424"/>
      <c r="AV802" s="424"/>
      <c r="AW802" s="424"/>
      <c r="AX802" s="424"/>
      <c r="AY802" s="424"/>
    </row>
    <row r="803" spans="2:51">
      <c r="B803" s="424"/>
      <c r="C803" s="424"/>
      <c r="D803" s="424"/>
      <c r="E803" s="424"/>
      <c r="F803" s="424"/>
      <c r="G803" s="424"/>
      <c r="H803" s="424"/>
      <c r="I803" s="424"/>
      <c r="J803" s="424"/>
      <c r="K803" s="424"/>
      <c r="L803" s="424"/>
      <c r="M803" s="424"/>
      <c r="N803" s="424"/>
      <c r="O803" s="424"/>
      <c r="P803" s="424"/>
      <c r="Q803" s="424"/>
      <c r="R803" s="424"/>
      <c r="S803" s="424"/>
      <c r="T803" s="424"/>
      <c r="U803" s="424"/>
      <c r="Y803" s="424"/>
      <c r="Z803" s="424"/>
      <c r="AA803" s="424"/>
      <c r="AB803" s="424"/>
      <c r="AC803" s="424"/>
      <c r="AD803" s="424"/>
      <c r="AE803" s="424"/>
      <c r="AF803" s="424"/>
      <c r="AG803" s="424"/>
      <c r="AH803" s="424"/>
      <c r="AI803" s="424"/>
      <c r="AM803" s="424"/>
      <c r="AN803" s="424"/>
      <c r="AO803" s="424"/>
      <c r="AP803" s="424"/>
      <c r="AQ803" s="424"/>
      <c r="AR803" s="424"/>
      <c r="AS803" s="424"/>
      <c r="AT803" s="424"/>
      <c r="AU803" s="424"/>
      <c r="AV803" s="424"/>
      <c r="AW803" s="424"/>
      <c r="AX803" s="424"/>
      <c r="AY803" s="424"/>
    </row>
    <row r="804" spans="2:51">
      <c r="B804" s="424"/>
      <c r="C804" s="424"/>
      <c r="D804" s="424"/>
      <c r="E804" s="424"/>
      <c r="F804" s="424"/>
      <c r="G804" s="424"/>
      <c r="H804" s="424"/>
      <c r="I804" s="424"/>
      <c r="J804" s="424"/>
      <c r="K804" s="424"/>
      <c r="L804" s="424"/>
      <c r="M804" s="424"/>
      <c r="N804" s="424"/>
      <c r="O804" s="424"/>
      <c r="P804" s="424"/>
      <c r="Q804" s="424"/>
      <c r="R804" s="424"/>
      <c r="S804" s="424"/>
      <c r="T804" s="424"/>
      <c r="U804" s="424"/>
      <c r="Y804" s="424"/>
      <c r="Z804" s="424"/>
      <c r="AA804" s="424"/>
      <c r="AB804" s="424"/>
      <c r="AC804" s="424"/>
      <c r="AD804" s="424"/>
      <c r="AE804" s="424"/>
      <c r="AF804" s="424"/>
      <c r="AG804" s="424"/>
      <c r="AH804" s="424"/>
      <c r="AI804" s="424"/>
      <c r="AM804" s="424"/>
      <c r="AN804" s="424"/>
      <c r="AO804" s="424"/>
      <c r="AP804" s="424"/>
      <c r="AQ804" s="424"/>
      <c r="AR804" s="424"/>
      <c r="AS804" s="424"/>
      <c r="AT804" s="424"/>
      <c r="AU804" s="424"/>
      <c r="AV804" s="424"/>
      <c r="AW804" s="424"/>
      <c r="AX804" s="424"/>
      <c r="AY804" s="424"/>
    </row>
    <row r="805" spans="2:51">
      <c r="B805" s="424"/>
      <c r="C805" s="424"/>
      <c r="D805" s="424"/>
      <c r="E805" s="424"/>
      <c r="F805" s="424"/>
      <c r="G805" s="424"/>
      <c r="H805" s="424"/>
      <c r="I805" s="424"/>
      <c r="J805" s="424"/>
      <c r="K805" s="424"/>
      <c r="L805" s="424"/>
      <c r="M805" s="424"/>
      <c r="N805" s="424"/>
      <c r="O805" s="424"/>
      <c r="P805" s="424"/>
      <c r="Q805" s="424"/>
      <c r="R805" s="424"/>
      <c r="S805" s="424"/>
      <c r="T805" s="424"/>
      <c r="U805" s="424"/>
      <c r="Y805" s="424"/>
      <c r="Z805" s="424"/>
      <c r="AA805" s="424"/>
      <c r="AB805" s="424"/>
      <c r="AC805" s="424"/>
      <c r="AD805" s="424"/>
      <c r="AE805" s="424"/>
      <c r="AF805" s="424"/>
      <c r="AG805" s="424"/>
      <c r="AH805" s="424"/>
      <c r="AI805" s="424"/>
      <c r="AM805" s="424"/>
      <c r="AN805" s="424"/>
      <c r="AO805" s="424"/>
      <c r="AP805" s="424"/>
      <c r="AQ805" s="424"/>
      <c r="AR805" s="424"/>
      <c r="AS805" s="424"/>
      <c r="AT805" s="424"/>
      <c r="AU805" s="424"/>
      <c r="AV805" s="424"/>
      <c r="AW805" s="424"/>
      <c r="AX805" s="424"/>
      <c r="AY805" s="424"/>
    </row>
    <row r="806" spans="2:51">
      <c r="B806" s="424"/>
      <c r="C806" s="424"/>
      <c r="D806" s="424"/>
      <c r="E806" s="424"/>
      <c r="F806" s="424"/>
      <c r="G806" s="424"/>
      <c r="H806" s="424"/>
      <c r="I806" s="424"/>
      <c r="J806" s="424"/>
      <c r="K806" s="424"/>
      <c r="L806" s="424"/>
      <c r="M806" s="424"/>
      <c r="N806" s="424"/>
      <c r="O806" s="424"/>
      <c r="P806" s="424"/>
      <c r="Q806" s="424"/>
      <c r="R806" s="424"/>
      <c r="S806" s="424"/>
      <c r="T806" s="424"/>
      <c r="U806" s="424"/>
      <c r="Y806" s="424"/>
      <c r="Z806" s="424"/>
      <c r="AA806" s="424"/>
      <c r="AB806" s="424"/>
      <c r="AC806" s="424"/>
      <c r="AD806" s="424"/>
      <c r="AE806" s="424"/>
      <c r="AF806" s="424"/>
      <c r="AG806" s="424"/>
      <c r="AH806" s="424"/>
      <c r="AI806" s="424"/>
      <c r="AM806" s="424"/>
      <c r="AN806" s="424"/>
      <c r="AO806" s="424"/>
      <c r="AP806" s="424"/>
      <c r="AQ806" s="424"/>
      <c r="AR806" s="424"/>
      <c r="AS806" s="424"/>
      <c r="AT806" s="424"/>
      <c r="AU806" s="424"/>
      <c r="AV806" s="424"/>
      <c r="AW806" s="424"/>
      <c r="AX806" s="424"/>
      <c r="AY806" s="424"/>
    </row>
    <row r="807" spans="2:51">
      <c r="B807" s="424"/>
      <c r="C807" s="424"/>
      <c r="D807" s="424"/>
      <c r="E807" s="424"/>
      <c r="F807" s="424"/>
      <c r="G807" s="424"/>
      <c r="H807" s="424"/>
      <c r="I807" s="424"/>
      <c r="J807" s="424"/>
      <c r="K807" s="424"/>
      <c r="L807" s="424"/>
      <c r="M807" s="424"/>
      <c r="N807" s="424"/>
      <c r="O807" s="424"/>
      <c r="P807" s="424"/>
      <c r="Q807" s="424"/>
      <c r="R807" s="424"/>
      <c r="S807" s="424"/>
      <c r="T807" s="424"/>
      <c r="U807" s="424"/>
      <c r="Y807" s="424"/>
      <c r="Z807" s="424"/>
      <c r="AA807" s="424"/>
      <c r="AB807" s="424"/>
      <c r="AC807" s="424"/>
      <c r="AD807" s="424"/>
      <c r="AE807" s="424"/>
      <c r="AF807" s="424"/>
      <c r="AG807" s="424"/>
      <c r="AH807" s="424"/>
      <c r="AI807" s="424"/>
      <c r="AM807" s="424"/>
      <c r="AN807" s="424"/>
      <c r="AO807" s="424"/>
      <c r="AP807" s="424"/>
      <c r="AQ807" s="424"/>
      <c r="AR807" s="424"/>
      <c r="AS807" s="424"/>
      <c r="AT807" s="424"/>
      <c r="AU807" s="424"/>
      <c r="AV807" s="424"/>
      <c r="AW807" s="424"/>
      <c r="AX807" s="424"/>
      <c r="AY807" s="424"/>
    </row>
    <row r="808" spans="2:51">
      <c r="B808" s="424"/>
      <c r="C808" s="424"/>
      <c r="D808" s="424"/>
      <c r="E808" s="424"/>
      <c r="F808" s="424"/>
      <c r="G808" s="424"/>
      <c r="H808" s="424"/>
      <c r="I808" s="424"/>
      <c r="J808" s="424"/>
      <c r="K808" s="424"/>
      <c r="L808" s="424"/>
      <c r="M808" s="424"/>
      <c r="N808" s="424"/>
      <c r="O808" s="424"/>
      <c r="P808" s="424"/>
      <c r="Q808" s="424"/>
      <c r="R808" s="424"/>
      <c r="S808" s="424"/>
      <c r="T808" s="424"/>
      <c r="U808" s="424"/>
      <c r="Y808" s="424"/>
      <c r="Z808" s="424"/>
      <c r="AA808" s="424"/>
      <c r="AB808" s="424"/>
      <c r="AC808" s="424"/>
      <c r="AD808" s="424"/>
      <c r="AE808" s="424"/>
      <c r="AF808" s="424"/>
      <c r="AG808" s="424"/>
      <c r="AH808" s="424"/>
      <c r="AI808" s="424"/>
      <c r="AM808" s="424"/>
      <c r="AN808" s="424"/>
      <c r="AO808" s="424"/>
      <c r="AP808" s="424"/>
      <c r="AQ808" s="424"/>
      <c r="AR808" s="424"/>
      <c r="AS808" s="424"/>
      <c r="AT808" s="424"/>
      <c r="AU808" s="424"/>
      <c r="AV808" s="424"/>
      <c r="AW808" s="424"/>
      <c r="AX808" s="424"/>
      <c r="AY808" s="424"/>
    </row>
    <row r="809" spans="2:51">
      <c r="B809" s="424"/>
      <c r="C809" s="424"/>
      <c r="D809" s="424"/>
      <c r="E809" s="424"/>
      <c r="F809" s="424"/>
      <c r="G809" s="424"/>
      <c r="H809" s="424"/>
      <c r="I809" s="424"/>
      <c r="J809" s="424"/>
      <c r="K809" s="424"/>
      <c r="L809" s="424"/>
      <c r="M809" s="424"/>
      <c r="N809" s="424"/>
      <c r="O809" s="424"/>
      <c r="P809" s="424"/>
      <c r="Q809" s="424"/>
      <c r="R809" s="424"/>
      <c r="S809" s="424"/>
      <c r="T809" s="424"/>
      <c r="U809" s="424"/>
      <c r="Y809" s="424"/>
      <c r="Z809" s="424"/>
      <c r="AA809" s="424"/>
      <c r="AB809" s="424"/>
      <c r="AC809" s="424"/>
      <c r="AD809" s="424"/>
      <c r="AE809" s="424"/>
      <c r="AF809" s="424"/>
      <c r="AG809" s="424"/>
      <c r="AH809" s="424"/>
      <c r="AI809" s="424"/>
      <c r="AM809" s="424"/>
      <c r="AN809" s="424"/>
      <c r="AO809" s="424"/>
      <c r="AP809" s="424"/>
      <c r="AQ809" s="424"/>
      <c r="AR809" s="424"/>
      <c r="AS809" s="424"/>
      <c r="AT809" s="424"/>
      <c r="AU809" s="424"/>
      <c r="AV809" s="424"/>
      <c r="AW809" s="424"/>
      <c r="AX809" s="424"/>
      <c r="AY809" s="424"/>
    </row>
    <row r="810" spans="2:51">
      <c r="B810" s="424"/>
      <c r="C810" s="424"/>
      <c r="D810" s="424"/>
      <c r="E810" s="424"/>
      <c r="F810" s="424"/>
      <c r="G810" s="424"/>
      <c r="H810" s="424"/>
      <c r="I810" s="424"/>
      <c r="J810" s="424"/>
      <c r="K810" s="424"/>
      <c r="L810" s="424"/>
      <c r="M810" s="424"/>
      <c r="N810" s="424"/>
      <c r="O810" s="424"/>
      <c r="P810" s="424"/>
      <c r="Q810" s="424"/>
      <c r="R810" s="424"/>
      <c r="S810" s="424"/>
      <c r="T810" s="424"/>
      <c r="U810" s="424"/>
      <c r="Y810" s="424"/>
      <c r="Z810" s="424"/>
      <c r="AA810" s="424"/>
      <c r="AB810" s="424"/>
      <c r="AC810" s="424"/>
      <c r="AD810" s="424"/>
      <c r="AE810" s="424"/>
      <c r="AF810" s="424"/>
      <c r="AG810" s="424"/>
      <c r="AH810" s="424"/>
      <c r="AI810" s="424"/>
      <c r="AM810" s="424"/>
      <c r="AN810" s="424"/>
      <c r="AO810" s="424"/>
      <c r="AP810" s="424"/>
      <c r="AQ810" s="424"/>
      <c r="AR810" s="424"/>
      <c r="AS810" s="424"/>
      <c r="AT810" s="424"/>
      <c r="AU810" s="424"/>
      <c r="AV810" s="424"/>
      <c r="AW810" s="424"/>
      <c r="AX810" s="424"/>
      <c r="AY810" s="424"/>
    </row>
    <row r="811" spans="2:51">
      <c r="B811" s="424"/>
      <c r="C811" s="424"/>
      <c r="D811" s="424"/>
      <c r="E811" s="424"/>
      <c r="F811" s="424"/>
      <c r="G811" s="424"/>
      <c r="H811" s="424"/>
      <c r="I811" s="424"/>
      <c r="J811" s="424"/>
      <c r="K811" s="424"/>
      <c r="L811" s="424"/>
      <c r="M811" s="424"/>
      <c r="N811" s="424"/>
      <c r="O811" s="424"/>
      <c r="P811" s="424"/>
      <c r="Q811" s="424"/>
      <c r="R811" s="424"/>
      <c r="S811" s="424"/>
      <c r="T811" s="424"/>
      <c r="U811" s="424"/>
      <c r="Y811" s="424"/>
      <c r="Z811" s="424"/>
      <c r="AA811" s="424"/>
      <c r="AB811" s="424"/>
      <c r="AC811" s="424"/>
      <c r="AD811" s="424"/>
      <c r="AE811" s="424"/>
      <c r="AF811" s="424"/>
      <c r="AG811" s="424"/>
      <c r="AH811" s="424"/>
      <c r="AI811" s="424"/>
      <c r="AM811" s="424"/>
      <c r="AN811" s="424"/>
      <c r="AO811" s="424"/>
      <c r="AP811" s="424"/>
      <c r="AQ811" s="424"/>
      <c r="AR811" s="424"/>
      <c r="AS811" s="424"/>
      <c r="AT811" s="424"/>
      <c r="AU811" s="424"/>
      <c r="AV811" s="424"/>
      <c r="AW811" s="424"/>
      <c r="AX811" s="424"/>
      <c r="AY811" s="424"/>
    </row>
    <row r="812" spans="2:51">
      <c r="B812" s="424"/>
      <c r="C812" s="424"/>
      <c r="D812" s="424"/>
      <c r="E812" s="424"/>
      <c r="F812" s="424"/>
      <c r="G812" s="424"/>
      <c r="H812" s="424"/>
      <c r="I812" s="424"/>
      <c r="J812" s="424"/>
      <c r="K812" s="424"/>
      <c r="L812" s="424"/>
      <c r="M812" s="424"/>
      <c r="N812" s="424"/>
      <c r="O812" s="424"/>
      <c r="P812" s="424"/>
      <c r="Q812" s="424"/>
      <c r="R812" s="424"/>
      <c r="S812" s="424"/>
      <c r="T812" s="424"/>
      <c r="U812" s="424"/>
      <c r="Y812" s="424"/>
      <c r="Z812" s="424"/>
      <c r="AA812" s="424"/>
      <c r="AB812" s="424"/>
      <c r="AC812" s="424"/>
      <c r="AD812" s="424"/>
      <c r="AE812" s="424"/>
      <c r="AF812" s="424"/>
      <c r="AG812" s="424"/>
      <c r="AH812" s="424"/>
      <c r="AI812" s="424"/>
      <c r="AM812" s="424"/>
      <c r="AN812" s="424"/>
      <c r="AO812" s="424"/>
      <c r="AP812" s="424"/>
      <c r="AQ812" s="424"/>
      <c r="AR812" s="424"/>
      <c r="AS812" s="424"/>
      <c r="AT812" s="424"/>
      <c r="AU812" s="424"/>
      <c r="AV812" s="424"/>
      <c r="AW812" s="424"/>
      <c r="AX812" s="424"/>
      <c r="AY812" s="424"/>
    </row>
    <row r="813" spans="2:51">
      <c r="B813" s="424"/>
      <c r="C813" s="424"/>
      <c r="D813" s="424"/>
      <c r="E813" s="424"/>
      <c r="F813" s="424"/>
      <c r="G813" s="424"/>
      <c r="H813" s="424"/>
      <c r="I813" s="424"/>
      <c r="J813" s="424"/>
      <c r="K813" s="424"/>
      <c r="L813" s="424"/>
      <c r="M813" s="424"/>
      <c r="N813" s="424"/>
      <c r="O813" s="424"/>
      <c r="P813" s="424"/>
      <c r="Q813" s="424"/>
      <c r="R813" s="424"/>
      <c r="S813" s="424"/>
      <c r="T813" s="424"/>
      <c r="U813" s="424"/>
      <c r="Y813" s="424"/>
      <c r="Z813" s="424"/>
      <c r="AA813" s="424"/>
      <c r="AB813" s="424"/>
      <c r="AC813" s="424"/>
      <c r="AD813" s="424"/>
      <c r="AE813" s="424"/>
      <c r="AF813" s="424"/>
      <c r="AG813" s="424"/>
      <c r="AH813" s="424"/>
      <c r="AI813" s="424"/>
      <c r="AM813" s="424"/>
      <c r="AN813" s="424"/>
      <c r="AO813" s="424"/>
      <c r="AP813" s="424"/>
      <c r="AQ813" s="424"/>
      <c r="AR813" s="424"/>
      <c r="AS813" s="424"/>
      <c r="AT813" s="424"/>
      <c r="AU813" s="424"/>
      <c r="AV813" s="424"/>
      <c r="AW813" s="424"/>
      <c r="AX813" s="424"/>
      <c r="AY813" s="424"/>
    </row>
    <row r="814" spans="2:51">
      <c r="B814" s="424"/>
      <c r="C814" s="424"/>
      <c r="D814" s="424"/>
      <c r="E814" s="424"/>
      <c r="F814" s="424"/>
      <c r="G814" s="424"/>
      <c r="H814" s="424"/>
      <c r="I814" s="424"/>
      <c r="J814" s="424"/>
      <c r="K814" s="424"/>
      <c r="L814" s="424"/>
      <c r="M814" s="424"/>
      <c r="N814" s="424"/>
      <c r="O814" s="424"/>
      <c r="P814" s="424"/>
      <c r="Q814" s="424"/>
      <c r="R814" s="424"/>
      <c r="S814" s="424"/>
      <c r="T814" s="424"/>
      <c r="U814" s="424"/>
      <c r="Y814" s="424"/>
      <c r="Z814" s="424"/>
      <c r="AA814" s="424"/>
      <c r="AB814" s="424"/>
      <c r="AC814" s="424"/>
      <c r="AD814" s="424"/>
      <c r="AE814" s="424"/>
      <c r="AF814" s="424"/>
      <c r="AG814" s="424"/>
      <c r="AH814" s="424"/>
      <c r="AI814" s="424"/>
      <c r="AM814" s="424"/>
      <c r="AN814" s="424"/>
      <c r="AO814" s="424"/>
      <c r="AP814" s="424"/>
      <c r="AQ814" s="424"/>
      <c r="AR814" s="424"/>
      <c r="AS814" s="424"/>
      <c r="AT814" s="424"/>
      <c r="AU814" s="424"/>
      <c r="AV814" s="424"/>
      <c r="AW814" s="424"/>
      <c r="AX814" s="424"/>
      <c r="AY814" s="424"/>
    </row>
    <row r="815" spans="2:51">
      <c r="B815" s="424"/>
      <c r="C815" s="424"/>
      <c r="D815" s="424"/>
      <c r="E815" s="424"/>
      <c r="F815" s="424"/>
      <c r="G815" s="424"/>
      <c r="H815" s="424"/>
      <c r="I815" s="424"/>
      <c r="J815" s="424"/>
      <c r="K815" s="424"/>
      <c r="L815" s="424"/>
      <c r="M815" s="424"/>
      <c r="N815" s="424"/>
      <c r="O815" s="424"/>
      <c r="P815" s="424"/>
      <c r="Q815" s="424"/>
      <c r="R815" s="424"/>
      <c r="S815" s="424"/>
      <c r="T815" s="424"/>
      <c r="U815" s="424"/>
      <c r="Y815" s="424"/>
      <c r="Z815" s="424"/>
      <c r="AA815" s="424"/>
      <c r="AB815" s="424"/>
      <c r="AC815" s="424"/>
      <c r="AD815" s="424"/>
      <c r="AE815" s="424"/>
      <c r="AF815" s="424"/>
      <c r="AG815" s="424"/>
      <c r="AH815" s="424"/>
      <c r="AI815" s="424"/>
      <c r="AM815" s="424"/>
      <c r="AN815" s="424"/>
      <c r="AO815" s="424"/>
      <c r="AP815" s="424"/>
      <c r="AQ815" s="424"/>
      <c r="AR815" s="424"/>
      <c r="AS815" s="424"/>
      <c r="AT815" s="424"/>
      <c r="AU815" s="424"/>
      <c r="AV815" s="424"/>
      <c r="AW815" s="424"/>
      <c r="AX815" s="424"/>
      <c r="AY815" s="424"/>
    </row>
    <row r="816" spans="2:51">
      <c r="B816" s="424"/>
      <c r="C816" s="424"/>
      <c r="D816" s="424"/>
      <c r="E816" s="424"/>
      <c r="F816" s="424"/>
      <c r="G816" s="424"/>
      <c r="H816" s="424"/>
      <c r="I816" s="424"/>
      <c r="J816" s="424"/>
      <c r="K816" s="424"/>
      <c r="L816" s="424"/>
      <c r="M816" s="424"/>
      <c r="N816" s="424"/>
      <c r="O816" s="424"/>
      <c r="P816" s="424"/>
      <c r="Q816" s="424"/>
      <c r="R816" s="424"/>
      <c r="S816" s="424"/>
      <c r="T816" s="424"/>
      <c r="U816" s="424"/>
      <c r="Y816" s="424"/>
      <c r="Z816" s="424"/>
      <c r="AA816" s="424"/>
      <c r="AB816" s="424"/>
      <c r="AC816" s="424"/>
      <c r="AD816" s="424"/>
      <c r="AE816" s="424"/>
      <c r="AF816" s="424"/>
      <c r="AG816" s="424"/>
      <c r="AH816" s="424"/>
      <c r="AI816" s="424"/>
      <c r="AM816" s="424"/>
      <c r="AN816" s="424"/>
      <c r="AO816" s="424"/>
      <c r="AP816" s="424"/>
      <c r="AQ816" s="424"/>
      <c r="AR816" s="424"/>
      <c r="AS816" s="424"/>
      <c r="AT816" s="424"/>
      <c r="AU816" s="424"/>
      <c r="AV816" s="424"/>
      <c r="AW816" s="424"/>
      <c r="AX816" s="424"/>
      <c r="AY816" s="424"/>
    </row>
    <row r="817" spans="2:51">
      <c r="B817" s="424"/>
      <c r="C817" s="424"/>
      <c r="D817" s="424"/>
      <c r="E817" s="424"/>
      <c r="F817" s="424"/>
      <c r="G817" s="424"/>
      <c r="H817" s="424"/>
      <c r="I817" s="424"/>
      <c r="J817" s="424"/>
      <c r="K817" s="424"/>
      <c r="L817" s="424"/>
      <c r="M817" s="424"/>
      <c r="N817" s="424"/>
      <c r="O817" s="424"/>
      <c r="P817" s="424"/>
      <c r="Q817" s="424"/>
      <c r="R817" s="424"/>
      <c r="S817" s="424"/>
      <c r="T817" s="424"/>
      <c r="U817" s="424"/>
      <c r="Y817" s="424"/>
      <c r="Z817" s="424"/>
      <c r="AA817" s="424"/>
      <c r="AB817" s="424"/>
      <c r="AC817" s="424"/>
      <c r="AD817" s="424"/>
      <c r="AE817" s="424"/>
      <c r="AF817" s="424"/>
      <c r="AG817" s="424"/>
      <c r="AH817" s="424"/>
      <c r="AI817" s="424"/>
      <c r="AM817" s="424"/>
      <c r="AN817" s="424"/>
      <c r="AO817" s="424"/>
      <c r="AP817" s="424"/>
      <c r="AQ817" s="424"/>
      <c r="AR817" s="424"/>
      <c r="AS817" s="424"/>
      <c r="AT817" s="424"/>
      <c r="AU817" s="424"/>
      <c r="AV817" s="424"/>
      <c r="AW817" s="424"/>
      <c r="AX817" s="424"/>
      <c r="AY817" s="424"/>
    </row>
    <row r="818" spans="2:51">
      <c r="B818" s="424"/>
      <c r="C818" s="424"/>
      <c r="D818" s="424"/>
      <c r="E818" s="424"/>
      <c r="F818" s="424"/>
      <c r="G818" s="424"/>
      <c r="H818" s="424"/>
      <c r="I818" s="424"/>
      <c r="J818" s="424"/>
      <c r="K818" s="424"/>
      <c r="L818" s="424"/>
      <c r="M818" s="424"/>
      <c r="N818" s="424"/>
      <c r="O818" s="424"/>
      <c r="P818" s="424"/>
      <c r="Q818" s="424"/>
      <c r="R818" s="424"/>
      <c r="S818" s="424"/>
      <c r="T818" s="424"/>
      <c r="U818" s="424"/>
      <c r="Y818" s="424"/>
      <c r="Z818" s="424"/>
      <c r="AA818" s="424"/>
      <c r="AB818" s="424"/>
      <c r="AC818" s="424"/>
      <c r="AD818" s="424"/>
      <c r="AE818" s="424"/>
      <c r="AF818" s="424"/>
      <c r="AG818" s="424"/>
      <c r="AH818" s="424"/>
      <c r="AI818" s="424"/>
      <c r="AM818" s="424"/>
      <c r="AN818" s="424"/>
      <c r="AO818" s="424"/>
      <c r="AP818" s="424"/>
      <c r="AQ818" s="424"/>
      <c r="AR818" s="424"/>
      <c r="AS818" s="424"/>
      <c r="AT818" s="424"/>
      <c r="AU818" s="424"/>
      <c r="AV818" s="424"/>
      <c r="AW818" s="424"/>
      <c r="AX818" s="424"/>
      <c r="AY818" s="424"/>
    </row>
    <row r="819" spans="2:51">
      <c r="B819" s="424"/>
      <c r="C819" s="424"/>
      <c r="D819" s="424"/>
      <c r="E819" s="424"/>
      <c r="F819" s="424"/>
      <c r="G819" s="424"/>
      <c r="H819" s="424"/>
      <c r="I819" s="424"/>
      <c r="J819" s="424"/>
      <c r="K819" s="424"/>
      <c r="L819" s="424"/>
      <c r="M819" s="424"/>
      <c r="N819" s="424"/>
      <c r="O819" s="424"/>
      <c r="P819" s="424"/>
      <c r="Q819" s="424"/>
      <c r="R819" s="424"/>
      <c r="S819" s="424"/>
      <c r="T819" s="424"/>
      <c r="U819" s="424"/>
      <c r="Y819" s="424"/>
      <c r="Z819" s="424"/>
      <c r="AA819" s="424"/>
      <c r="AB819" s="424"/>
      <c r="AC819" s="424"/>
      <c r="AD819" s="424"/>
      <c r="AE819" s="424"/>
      <c r="AF819" s="424"/>
      <c r="AG819" s="424"/>
      <c r="AH819" s="424"/>
      <c r="AI819" s="424"/>
      <c r="AM819" s="424"/>
      <c r="AN819" s="424"/>
      <c r="AO819" s="424"/>
      <c r="AP819" s="424"/>
      <c r="AQ819" s="424"/>
      <c r="AR819" s="424"/>
      <c r="AS819" s="424"/>
      <c r="AT819" s="424"/>
      <c r="AU819" s="424"/>
      <c r="AV819" s="424"/>
      <c r="AW819" s="424"/>
      <c r="AX819" s="424"/>
      <c r="AY819" s="424"/>
    </row>
    <row r="820" spans="2:51">
      <c r="B820" s="424"/>
      <c r="C820" s="424"/>
      <c r="D820" s="424"/>
      <c r="E820" s="424"/>
      <c r="F820" s="424"/>
      <c r="G820" s="424"/>
      <c r="H820" s="424"/>
      <c r="I820" s="424"/>
      <c r="J820" s="424"/>
      <c r="K820" s="424"/>
      <c r="L820" s="424"/>
      <c r="M820" s="424"/>
      <c r="N820" s="424"/>
      <c r="O820" s="424"/>
      <c r="P820" s="424"/>
      <c r="Q820" s="424"/>
      <c r="R820" s="424"/>
      <c r="S820" s="424"/>
      <c r="T820" s="424"/>
      <c r="U820" s="424"/>
      <c r="Y820" s="424"/>
      <c r="Z820" s="424"/>
      <c r="AA820" s="424"/>
      <c r="AB820" s="424"/>
      <c r="AC820" s="424"/>
      <c r="AD820" s="424"/>
      <c r="AE820" s="424"/>
      <c r="AF820" s="424"/>
      <c r="AG820" s="424"/>
      <c r="AH820" s="424"/>
      <c r="AI820" s="424"/>
      <c r="AM820" s="424"/>
      <c r="AN820" s="424"/>
      <c r="AO820" s="424"/>
      <c r="AP820" s="424"/>
      <c r="AQ820" s="424"/>
      <c r="AR820" s="424"/>
      <c r="AS820" s="424"/>
      <c r="AT820" s="424"/>
      <c r="AU820" s="424"/>
      <c r="AV820" s="424"/>
      <c r="AW820" s="424"/>
      <c r="AX820" s="424"/>
      <c r="AY820" s="424"/>
    </row>
    <row r="821" spans="2:51">
      <c r="B821" s="424"/>
      <c r="C821" s="424"/>
      <c r="D821" s="424"/>
      <c r="E821" s="424"/>
      <c r="F821" s="424"/>
      <c r="G821" s="424"/>
      <c r="H821" s="424"/>
      <c r="I821" s="424"/>
      <c r="J821" s="424"/>
      <c r="K821" s="424"/>
      <c r="L821" s="424"/>
      <c r="M821" s="424"/>
      <c r="N821" s="424"/>
      <c r="O821" s="424"/>
      <c r="P821" s="424"/>
      <c r="Q821" s="424"/>
      <c r="R821" s="424"/>
      <c r="S821" s="424"/>
      <c r="T821" s="424"/>
      <c r="U821" s="424"/>
      <c r="Y821" s="424"/>
      <c r="Z821" s="424"/>
      <c r="AA821" s="424"/>
      <c r="AB821" s="424"/>
      <c r="AC821" s="424"/>
      <c r="AD821" s="424"/>
      <c r="AE821" s="424"/>
      <c r="AF821" s="424"/>
      <c r="AG821" s="424"/>
      <c r="AH821" s="424"/>
      <c r="AI821" s="424"/>
      <c r="AM821" s="424"/>
      <c r="AN821" s="424"/>
      <c r="AO821" s="424"/>
      <c r="AP821" s="424"/>
      <c r="AQ821" s="424"/>
      <c r="AR821" s="424"/>
      <c r="AS821" s="424"/>
      <c r="AT821" s="424"/>
      <c r="AU821" s="424"/>
      <c r="AV821" s="424"/>
      <c r="AW821" s="424"/>
      <c r="AX821" s="424"/>
      <c r="AY821" s="424"/>
    </row>
    <row r="822" spans="2:51">
      <c r="B822" s="424"/>
      <c r="C822" s="424"/>
      <c r="D822" s="424"/>
      <c r="E822" s="424"/>
      <c r="F822" s="424"/>
      <c r="G822" s="424"/>
      <c r="H822" s="424"/>
      <c r="I822" s="424"/>
      <c r="J822" s="424"/>
      <c r="K822" s="424"/>
      <c r="L822" s="424"/>
      <c r="M822" s="424"/>
      <c r="N822" s="424"/>
      <c r="O822" s="424"/>
      <c r="P822" s="424"/>
      <c r="Q822" s="424"/>
      <c r="R822" s="424"/>
      <c r="S822" s="424"/>
      <c r="T822" s="424"/>
      <c r="U822" s="424"/>
      <c r="Y822" s="424"/>
      <c r="Z822" s="424"/>
      <c r="AA822" s="424"/>
      <c r="AB822" s="424"/>
      <c r="AC822" s="424"/>
      <c r="AD822" s="424"/>
      <c r="AE822" s="424"/>
      <c r="AF822" s="424"/>
      <c r="AG822" s="424"/>
      <c r="AH822" s="424"/>
      <c r="AI822" s="424"/>
      <c r="AM822" s="424"/>
      <c r="AN822" s="424"/>
      <c r="AO822" s="424"/>
      <c r="AP822" s="424"/>
      <c r="AQ822" s="424"/>
      <c r="AR822" s="424"/>
      <c r="AS822" s="424"/>
      <c r="AT822" s="424"/>
      <c r="AU822" s="424"/>
      <c r="AV822" s="424"/>
      <c r="AW822" s="424"/>
      <c r="AX822" s="424"/>
      <c r="AY822" s="424"/>
    </row>
    <row r="823" spans="2:51">
      <c r="B823" s="424"/>
      <c r="C823" s="424"/>
      <c r="D823" s="424"/>
      <c r="E823" s="424"/>
      <c r="F823" s="424"/>
      <c r="G823" s="424"/>
      <c r="H823" s="424"/>
      <c r="I823" s="424"/>
      <c r="J823" s="424"/>
      <c r="K823" s="424"/>
      <c r="L823" s="424"/>
      <c r="M823" s="424"/>
      <c r="N823" s="424"/>
      <c r="O823" s="424"/>
      <c r="P823" s="424"/>
      <c r="Q823" s="424"/>
      <c r="R823" s="424"/>
      <c r="S823" s="424"/>
      <c r="T823" s="424"/>
      <c r="U823" s="424"/>
      <c r="Y823" s="424"/>
      <c r="Z823" s="424"/>
      <c r="AA823" s="424"/>
      <c r="AB823" s="424"/>
      <c r="AC823" s="424"/>
      <c r="AD823" s="424"/>
      <c r="AE823" s="424"/>
      <c r="AF823" s="424"/>
      <c r="AG823" s="424"/>
      <c r="AH823" s="424"/>
      <c r="AI823" s="424"/>
      <c r="AM823" s="424"/>
      <c r="AN823" s="424"/>
      <c r="AO823" s="424"/>
      <c r="AP823" s="424"/>
      <c r="AQ823" s="424"/>
      <c r="AR823" s="424"/>
      <c r="AS823" s="424"/>
      <c r="AT823" s="424"/>
      <c r="AU823" s="424"/>
      <c r="AV823" s="424"/>
      <c r="AW823" s="424"/>
      <c r="AX823" s="424"/>
      <c r="AY823" s="424"/>
    </row>
    <row r="824" spans="2:51">
      <c r="B824" s="424"/>
      <c r="C824" s="424"/>
      <c r="D824" s="424"/>
      <c r="E824" s="424"/>
      <c r="F824" s="424"/>
      <c r="G824" s="424"/>
      <c r="H824" s="424"/>
      <c r="I824" s="424"/>
      <c r="J824" s="424"/>
      <c r="K824" s="424"/>
      <c r="L824" s="424"/>
      <c r="M824" s="424"/>
      <c r="N824" s="424"/>
      <c r="O824" s="424"/>
      <c r="P824" s="424"/>
      <c r="Q824" s="424"/>
      <c r="R824" s="424"/>
      <c r="S824" s="424"/>
      <c r="T824" s="424"/>
      <c r="U824" s="424"/>
      <c r="Y824" s="424"/>
      <c r="Z824" s="424"/>
      <c r="AA824" s="424"/>
      <c r="AB824" s="424"/>
      <c r="AC824" s="424"/>
      <c r="AD824" s="424"/>
      <c r="AE824" s="424"/>
      <c r="AF824" s="424"/>
      <c r="AG824" s="424"/>
      <c r="AH824" s="424"/>
      <c r="AI824" s="424"/>
      <c r="AM824" s="424"/>
      <c r="AN824" s="424"/>
      <c r="AO824" s="424"/>
      <c r="AP824" s="424"/>
      <c r="AQ824" s="424"/>
      <c r="AR824" s="424"/>
      <c r="AS824" s="424"/>
      <c r="AT824" s="424"/>
      <c r="AU824" s="424"/>
      <c r="AV824" s="424"/>
      <c r="AW824" s="424"/>
      <c r="AX824" s="424"/>
      <c r="AY824" s="424"/>
    </row>
    <row r="825" spans="2:51">
      <c r="B825" s="424"/>
      <c r="C825" s="424"/>
      <c r="D825" s="424"/>
      <c r="E825" s="424"/>
      <c r="F825" s="424"/>
      <c r="G825" s="424"/>
      <c r="H825" s="424"/>
      <c r="I825" s="424"/>
      <c r="J825" s="424"/>
      <c r="K825" s="424"/>
      <c r="L825" s="424"/>
      <c r="M825" s="424"/>
      <c r="N825" s="424"/>
      <c r="O825" s="424"/>
      <c r="P825" s="424"/>
      <c r="Q825" s="424"/>
      <c r="R825" s="424"/>
      <c r="S825" s="424"/>
      <c r="T825" s="424"/>
      <c r="U825" s="424"/>
      <c r="Y825" s="424"/>
      <c r="Z825" s="424"/>
      <c r="AA825" s="424"/>
      <c r="AB825" s="424"/>
      <c r="AC825" s="424"/>
      <c r="AD825" s="424"/>
      <c r="AE825" s="424"/>
      <c r="AF825" s="424"/>
      <c r="AG825" s="424"/>
      <c r="AH825" s="424"/>
      <c r="AI825" s="424"/>
      <c r="AM825" s="424"/>
      <c r="AN825" s="424"/>
      <c r="AO825" s="424"/>
      <c r="AP825" s="424"/>
      <c r="AQ825" s="424"/>
      <c r="AR825" s="424"/>
      <c r="AS825" s="424"/>
      <c r="AT825" s="424"/>
      <c r="AU825" s="424"/>
      <c r="AV825" s="424"/>
      <c r="AW825" s="424"/>
      <c r="AX825" s="424"/>
      <c r="AY825" s="424"/>
    </row>
    <row r="826" spans="2:51">
      <c r="B826" s="424"/>
      <c r="C826" s="424"/>
      <c r="D826" s="424"/>
      <c r="E826" s="424"/>
      <c r="F826" s="424"/>
      <c r="G826" s="424"/>
      <c r="H826" s="424"/>
      <c r="I826" s="424"/>
      <c r="J826" s="424"/>
      <c r="K826" s="424"/>
      <c r="L826" s="424"/>
      <c r="M826" s="424"/>
      <c r="N826" s="424"/>
      <c r="O826" s="424"/>
      <c r="P826" s="424"/>
      <c r="Q826" s="424"/>
      <c r="R826" s="424"/>
      <c r="S826" s="424"/>
      <c r="T826" s="424"/>
      <c r="U826" s="424"/>
      <c r="Y826" s="424"/>
      <c r="Z826" s="424"/>
      <c r="AA826" s="424"/>
      <c r="AB826" s="424"/>
      <c r="AC826" s="424"/>
      <c r="AD826" s="424"/>
      <c r="AE826" s="424"/>
      <c r="AF826" s="424"/>
      <c r="AG826" s="424"/>
      <c r="AH826" s="424"/>
      <c r="AI826" s="424"/>
      <c r="AM826" s="424"/>
      <c r="AN826" s="424"/>
      <c r="AO826" s="424"/>
      <c r="AP826" s="424"/>
      <c r="AQ826" s="424"/>
      <c r="AR826" s="424"/>
      <c r="AS826" s="424"/>
      <c r="AT826" s="424"/>
      <c r="AU826" s="424"/>
      <c r="AV826" s="424"/>
      <c r="AW826" s="424"/>
      <c r="AX826" s="424"/>
      <c r="AY826" s="424"/>
    </row>
    <row r="827" spans="2:51">
      <c r="B827" s="424"/>
      <c r="C827" s="424"/>
      <c r="D827" s="424"/>
      <c r="E827" s="424"/>
      <c r="F827" s="424"/>
      <c r="G827" s="424"/>
      <c r="H827" s="424"/>
      <c r="I827" s="424"/>
      <c r="J827" s="424"/>
      <c r="K827" s="424"/>
      <c r="L827" s="424"/>
      <c r="M827" s="424"/>
      <c r="N827" s="424"/>
      <c r="O827" s="424"/>
      <c r="P827" s="424"/>
      <c r="Q827" s="424"/>
      <c r="R827" s="424"/>
      <c r="S827" s="424"/>
      <c r="T827" s="424"/>
      <c r="U827" s="424"/>
      <c r="Y827" s="424"/>
      <c r="Z827" s="424"/>
      <c r="AA827" s="424"/>
      <c r="AB827" s="424"/>
      <c r="AC827" s="424"/>
      <c r="AD827" s="424"/>
      <c r="AE827" s="424"/>
      <c r="AF827" s="424"/>
      <c r="AG827" s="424"/>
      <c r="AH827" s="424"/>
      <c r="AI827" s="424"/>
      <c r="AM827" s="424"/>
      <c r="AN827" s="424"/>
      <c r="AO827" s="424"/>
      <c r="AP827" s="424"/>
      <c r="AQ827" s="424"/>
      <c r="AR827" s="424"/>
      <c r="AS827" s="424"/>
      <c r="AT827" s="424"/>
      <c r="AU827" s="424"/>
      <c r="AV827" s="424"/>
      <c r="AW827" s="424"/>
      <c r="AX827" s="424"/>
      <c r="AY827" s="424"/>
    </row>
    <row r="828" spans="2:51">
      <c r="B828" s="424"/>
      <c r="C828" s="424"/>
      <c r="D828" s="424"/>
      <c r="E828" s="424"/>
      <c r="F828" s="424"/>
      <c r="G828" s="424"/>
      <c r="H828" s="424"/>
      <c r="I828" s="424"/>
      <c r="J828" s="424"/>
      <c r="K828" s="424"/>
      <c r="L828" s="424"/>
      <c r="M828" s="424"/>
      <c r="N828" s="424"/>
      <c r="O828" s="424"/>
      <c r="P828" s="424"/>
      <c r="Q828" s="424"/>
      <c r="R828" s="424"/>
      <c r="S828" s="424"/>
      <c r="T828" s="424"/>
      <c r="U828" s="424"/>
      <c r="Y828" s="424"/>
      <c r="Z828" s="424"/>
      <c r="AA828" s="424"/>
      <c r="AB828" s="424"/>
      <c r="AC828" s="424"/>
      <c r="AD828" s="424"/>
      <c r="AE828" s="424"/>
      <c r="AF828" s="424"/>
      <c r="AG828" s="424"/>
      <c r="AH828" s="424"/>
      <c r="AI828" s="424"/>
      <c r="AM828" s="424"/>
      <c r="AN828" s="424"/>
      <c r="AO828" s="424"/>
      <c r="AP828" s="424"/>
      <c r="AQ828" s="424"/>
      <c r="AR828" s="424"/>
      <c r="AS828" s="424"/>
      <c r="AT828" s="424"/>
      <c r="AU828" s="424"/>
      <c r="AV828" s="424"/>
      <c r="AW828" s="424"/>
      <c r="AX828" s="424"/>
      <c r="AY828" s="424"/>
    </row>
    <row r="829" spans="2:51">
      <c r="B829" s="424"/>
      <c r="C829" s="424"/>
      <c r="D829" s="424"/>
      <c r="E829" s="424"/>
      <c r="F829" s="424"/>
      <c r="G829" s="424"/>
      <c r="H829" s="424"/>
      <c r="I829" s="424"/>
      <c r="J829" s="424"/>
      <c r="K829" s="424"/>
      <c r="L829" s="424"/>
      <c r="M829" s="424"/>
      <c r="N829" s="424"/>
      <c r="O829" s="424"/>
      <c r="P829" s="424"/>
      <c r="Q829" s="424"/>
      <c r="R829" s="424"/>
      <c r="S829" s="424"/>
      <c r="T829" s="424"/>
      <c r="U829" s="424"/>
      <c r="Y829" s="424"/>
      <c r="Z829" s="424"/>
      <c r="AA829" s="424"/>
      <c r="AB829" s="424"/>
      <c r="AC829" s="424"/>
      <c r="AD829" s="424"/>
      <c r="AE829" s="424"/>
      <c r="AF829" s="424"/>
      <c r="AG829" s="424"/>
      <c r="AH829" s="424"/>
      <c r="AI829" s="424"/>
      <c r="AM829" s="424"/>
      <c r="AN829" s="424"/>
      <c r="AO829" s="424"/>
      <c r="AP829" s="424"/>
      <c r="AQ829" s="424"/>
      <c r="AR829" s="424"/>
      <c r="AS829" s="424"/>
      <c r="AT829" s="424"/>
      <c r="AU829" s="424"/>
      <c r="AV829" s="424"/>
      <c r="AW829" s="424"/>
      <c r="AX829" s="424"/>
      <c r="AY829" s="424"/>
    </row>
    <row r="830" spans="2:51">
      <c r="B830" s="424"/>
      <c r="C830" s="424"/>
      <c r="D830" s="424"/>
      <c r="E830" s="424"/>
      <c r="F830" s="424"/>
      <c r="G830" s="424"/>
      <c r="H830" s="424"/>
      <c r="I830" s="424"/>
      <c r="J830" s="424"/>
      <c r="K830" s="424"/>
      <c r="L830" s="424"/>
      <c r="M830" s="424"/>
      <c r="N830" s="424"/>
      <c r="O830" s="424"/>
      <c r="P830" s="424"/>
      <c r="Q830" s="424"/>
      <c r="R830" s="424"/>
      <c r="S830" s="424"/>
      <c r="T830" s="424"/>
      <c r="U830" s="424"/>
      <c r="Y830" s="424"/>
      <c r="Z830" s="424"/>
      <c r="AA830" s="424"/>
      <c r="AB830" s="424"/>
      <c r="AC830" s="424"/>
      <c r="AD830" s="424"/>
      <c r="AE830" s="424"/>
      <c r="AF830" s="424"/>
      <c r="AG830" s="424"/>
      <c r="AH830" s="424"/>
      <c r="AI830" s="424"/>
      <c r="AM830" s="424"/>
      <c r="AN830" s="424"/>
      <c r="AO830" s="424"/>
      <c r="AP830" s="424"/>
      <c r="AQ830" s="424"/>
      <c r="AR830" s="424"/>
      <c r="AS830" s="424"/>
      <c r="AT830" s="424"/>
      <c r="AU830" s="424"/>
      <c r="AV830" s="424"/>
      <c r="AW830" s="424"/>
      <c r="AX830" s="424"/>
      <c r="AY830" s="424"/>
    </row>
    <row r="831" spans="2:51">
      <c r="B831" s="424"/>
      <c r="C831" s="424"/>
      <c r="D831" s="424"/>
      <c r="E831" s="424"/>
      <c r="F831" s="424"/>
      <c r="G831" s="424"/>
      <c r="H831" s="424"/>
      <c r="I831" s="424"/>
      <c r="J831" s="424"/>
      <c r="K831" s="424"/>
      <c r="L831" s="424"/>
      <c r="M831" s="424"/>
      <c r="N831" s="424"/>
      <c r="O831" s="424"/>
      <c r="P831" s="424"/>
      <c r="Q831" s="424"/>
      <c r="R831" s="424"/>
      <c r="S831" s="424"/>
      <c r="T831" s="424"/>
      <c r="U831" s="424"/>
      <c r="Y831" s="424"/>
      <c r="Z831" s="424"/>
      <c r="AA831" s="424"/>
      <c r="AB831" s="424"/>
      <c r="AC831" s="424"/>
      <c r="AD831" s="424"/>
      <c r="AE831" s="424"/>
      <c r="AF831" s="424"/>
      <c r="AG831" s="424"/>
      <c r="AH831" s="424"/>
      <c r="AI831" s="424"/>
      <c r="AM831" s="424"/>
      <c r="AN831" s="424"/>
      <c r="AO831" s="424"/>
      <c r="AP831" s="424"/>
      <c r="AQ831" s="424"/>
      <c r="AR831" s="424"/>
      <c r="AS831" s="424"/>
      <c r="AT831" s="424"/>
      <c r="AU831" s="424"/>
      <c r="AV831" s="424"/>
      <c r="AW831" s="424"/>
      <c r="AX831" s="424"/>
      <c r="AY831" s="424"/>
    </row>
    <row r="832" spans="2:51">
      <c r="B832" s="424"/>
      <c r="C832" s="424"/>
      <c r="D832" s="424"/>
      <c r="E832" s="424"/>
      <c r="F832" s="424"/>
      <c r="G832" s="424"/>
      <c r="H832" s="424"/>
      <c r="I832" s="424"/>
      <c r="J832" s="424"/>
      <c r="K832" s="424"/>
      <c r="L832" s="424"/>
      <c r="M832" s="424"/>
      <c r="N832" s="424"/>
      <c r="O832" s="424"/>
      <c r="P832" s="424"/>
      <c r="Q832" s="424"/>
      <c r="R832" s="424"/>
      <c r="S832" s="424"/>
      <c r="T832" s="424"/>
      <c r="U832" s="424"/>
      <c r="Y832" s="424"/>
      <c r="Z832" s="424"/>
      <c r="AA832" s="424"/>
      <c r="AB832" s="424"/>
      <c r="AC832" s="424"/>
      <c r="AD832" s="424"/>
      <c r="AE832" s="424"/>
      <c r="AF832" s="424"/>
      <c r="AG832" s="424"/>
      <c r="AH832" s="424"/>
      <c r="AI832" s="424"/>
      <c r="AM832" s="424"/>
      <c r="AN832" s="424"/>
      <c r="AO832" s="424"/>
      <c r="AP832" s="424"/>
      <c r="AQ832" s="424"/>
      <c r="AR832" s="424"/>
      <c r="AS832" s="424"/>
      <c r="AT832" s="424"/>
      <c r="AU832" s="424"/>
      <c r="AV832" s="424"/>
      <c r="AW832" s="424"/>
      <c r="AX832" s="424"/>
      <c r="AY832" s="424"/>
    </row>
    <row r="833" spans="2:51">
      <c r="B833" s="424"/>
      <c r="C833" s="424"/>
      <c r="D833" s="424"/>
      <c r="E833" s="424"/>
      <c r="F833" s="424"/>
      <c r="G833" s="424"/>
      <c r="H833" s="424"/>
      <c r="I833" s="424"/>
      <c r="J833" s="424"/>
      <c r="K833" s="424"/>
      <c r="L833" s="424"/>
      <c r="M833" s="424"/>
      <c r="N833" s="424"/>
      <c r="O833" s="424"/>
      <c r="P833" s="424"/>
      <c r="Q833" s="424"/>
      <c r="R833" s="424"/>
      <c r="S833" s="424"/>
      <c r="T833" s="424"/>
      <c r="U833" s="424"/>
      <c r="Y833" s="424"/>
      <c r="Z833" s="424"/>
      <c r="AA833" s="424"/>
      <c r="AB833" s="424"/>
      <c r="AC833" s="424"/>
      <c r="AD833" s="424"/>
      <c r="AE833" s="424"/>
      <c r="AF833" s="424"/>
      <c r="AG833" s="424"/>
      <c r="AH833" s="424"/>
      <c r="AI833" s="424"/>
      <c r="AM833" s="424"/>
      <c r="AN833" s="424"/>
      <c r="AO833" s="424"/>
      <c r="AP833" s="424"/>
      <c r="AQ833" s="424"/>
      <c r="AR833" s="424"/>
      <c r="AS833" s="424"/>
      <c r="AT833" s="424"/>
      <c r="AU833" s="424"/>
      <c r="AV833" s="424"/>
      <c r="AW833" s="424"/>
      <c r="AX833" s="424"/>
      <c r="AY833" s="424"/>
    </row>
    <row r="834" spans="2:51">
      <c r="B834" s="424"/>
      <c r="C834" s="424"/>
      <c r="D834" s="424"/>
      <c r="E834" s="424"/>
      <c r="F834" s="424"/>
      <c r="G834" s="424"/>
      <c r="H834" s="424"/>
      <c r="I834" s="424"/>
      <c r="J834" s="424"/>
      <c r="K834" s="424"/>
      <c r="L834" s="424"/>
      <c r="M834" s="424"/>
      <c r="N834" s="424"/>
      <c r="O834" s="424"/>
      <c r="P834" s="424"/>
      <c r="Q834" s="424"/>
      <c r="R834" s="424"/>
      <c r="S834" s="424"/>
      <c r="T834" s="424"/>
      <c r="U834" s="424"/>
      <c r="Y834" s="424"/>
      <c r="Z834" s="424"/>
      <c r="AA834" s="424"/>
      <c r="AB834" s="424"/>
      <c r="AC834" s="424"/>
      <c r="AD834" s="424"/>
      <c r="AE834" s="424"/>
      <c r="AF834" s="424"/>
      <c r="AG834" s="424"/>
      <c r="AH834" s="424"/>
      <c r="AI834" s="424"/>
      <c r="AM834" s="424"/>
      <c r="AN834" s="424"/>
      <c r="AO834" s="424"/>
      <c r="AP834" s="424"/>
      <c r="AQ834" s="424"/>
      <c r="AR834" s="424"/>
      <c r="AS834" s="424"/>
      <c r="AT834" s="424"/>
      <c r="AU834" s="424"/>
      <c r="AV834" s="424"/>
      <c r="AW834" s="424"/>
      <c r="AX834" s="424"/>
      <c r="AY834" s="424"/>
    </row>
    <row r="835" spans="2:51">
      <c r="B835" s="424"/>
      <c r="C835" s="424"/>
      <c r="D835" s="424"/>
      <c r="E835" s="424"/>
      <c r="F835" s="424"/>
      <c r="G835" s="424"/>
      <c r="H835" s="424"/>
      <c r="I835" s="424"/>
      <c r="J835" s="424"/>
      <c r="K835" s="424"/>
      <c r="L835" s="424"/>
      <c r="M835" s="424"/>
      <c r="N835" s="424"/>
      <c r="O835" s="424"/>
      <c r="P835" s="424"/>
      <c r="Q835" s="424"/>
      <c r="R835" s="424"/>
      <c r="S835" s="424"/>
      <c r="T835" s="424"/>
      <c r="U835" s="424"/>
      <c r="Y835" s="424"/>
      <c r="Z835" s="424"/>
      <c r="AA835" s="424"/>
      <c r="AB835" s="424"/>
      <c r="AC835" s="424"/>
      <c r="AD835" s="424"/>
      <c r="AE835" s="424"/>
      <c r="AF835" s="424"/>
      <c r="AG835" s="424"/>
      <c r="AH835" s="424"/>
      <c r="AI835" s="424"/>
      <c r="AM835" s="424"/>
      <c r="AN835" s="424"/>
      <c r="AO835" s="424"/>
      <c r="AP835" s="424"/>
      <c r="AQ835" s="424"/>
      <c r="AR835" s="424"/>
      <c r="AS835" s="424"/>
      <c r="AT835" s="424"/>
      <c r="AU835" s="424"/>
      <c r="AV835" s="424"/>
      <c r="AW835" s="424"/>
      <c r="AX835" s="424"/>
      <c r="AY835" s="424"/>
    </row>
    <row r="836" spans="2:51">
      <c r="B836" s="424"/>
      <c r="C836" s="424"/>
      <c r="D836" s="424"/>
      <c r="E836" s="424"/>
      <c r="F836" s="424"/>
      <c r="G836" s="424"/>
      <c r="H836" s="424"/>
      <c r="I836" s="424"/>
      <c r="J836" s="424"/>
      <c r="K836" s="424"/>
      <c r="L836" s="424"/>
      <c r="M836" s="424"/>
      <c r="N836" s="424"/>
      <c r="O836" s="424"/>
      <c r="P836" s="424"/>
      <c r="Q836" s="424"/>
      <c r="R836" s="424"/>
      <c r="S836" s="424"/>
      <c r="T836" s="424"/>
      <c r="U836" s="424"/>
      <c r="Y836" s="424"/>
      <c r="Z836" s="424"/>
      <c r="AA836" s="424"/>
      <c r="AB836" s="424"/>
      <c r="AC836" s="424"/>
      <c r="AD836" s="424"/>
      <c r="AE836" s="424"/>
      <c r="AF836" s="424"/>
      <c r="AG836" s="424"/>
      <c r="AH836" s="424"/>
      <c r="AI836" s="424"/>
      <c r="AM836" s="424"/>
      <c r="AN836" s="424"/>
      <c r="AO836" s="424"/>
      <c r="AP836" s="424"/>
      <c r="AQ836" s="424"/>
      <c r="AR836" s="424"/>
      <c r="AS836" s="424"/>
      <c r="AT836" s="424"/>
      <c r="AU836" s="424"/>
      <c r="AV836" s="424"/>
      <c r="AW836" s="424"/>
      <c r="AX836" s="424"/>
      <c r="AY836" s="424"/>
    </row>
    <row r="837" spans="2:51">
      <c r="B837" s="424"/>
      <c r="C837" s="424"/>
      <c r="D837" s="424"/>
      <c r="E837" s="424"/>
      <c r="F837" s="424"/>
      <c r="G837" s="424"/>
      <c r="H837" s="424"/>
      <c r="I837" s="424"/>
      <c r="J837" s="424"/>
      <c r="K837" s="424"/>
      <c r="L837" s="424"/>
      <c r="M837" s="424"/>
      <c r="N837" s="424"/>
      <c r="O837" s="424"/>
      <c r="P837" s="424"/>
      <c r="Q837" s="424"/>
      <c r="R837" s="424"/>
      <c r="S837" s="424"/>
      <c r="T837" s="424"/>
      <c r="U837" s="424"/>
      <c r="Y837" s="424"/>
      <c r="Z837" s="424"/>
      <c r="AA837" s="424"/>
      <c r="AB837" s="424"/>
      <c r="AC837" s="424"/>
      <c r="AD837" s="424"/>
      <c r="AE837" s="424"/>
      <c r="AF837" s="424"/>
      <c r="AG837" s="424"/>
      <c r="AH837" s="424"/>
      <c r="AI837" s="424"/>
      <c r="AM837" s="424"/>
      <c r="AN837" s="424"/>
      <c r="AO837" s="424"/>
      <c r="AP837" s="424"/>
      <c r="AQ837" s="424"/>
      <c r="AR837" s="424"/>
      <c r="AS837" s="424"/>
      <c r="AT837" s="424"/>
      <c r="AU837" s="424"/>
      <c r="AV837" s="424"/>
      <c r="AW837" s="424"/>
      <c r="AX837" s="424"/>
      <c r="AY837" s="424"/>
    </row>
    <row r="838" spans="2:51">
      <c r="B838" s="424"/>
      <c r="C838" s="424"/>
      <c r="D838" s="424"/>
      <c r="E838" s="424"/>
      <c r="F838" s="424"/>
      <c r="G838" s="424"/>
      <c r="H838" s="424"/>
      <c r="I838" s="424"/>
      <c r="J838" s="424"/>
      <c r="K838" s="424"/>
      <c r="L838" s="424"/>
      <c r="M838" s="424"/>
      <c r="N838" s="424"/>
      <c r="O838" s="424"/>
      <c r="P838" s="424"/>
      <c r="Q838" s="424"/>
      <c r="R838" s="424"/>
      <c r="S838" s="424"/>
      <c r="T838" s="424"/>
      <c r="U838" s="424"/>
      <c r="Y838" s="424"/>
      <c r="Z838" s="424"/>
      <c r="AA838" s="424"/>
      <c r="AB838" s="424"/>
      <c r="AC838" s="424"/>
      <c r="AD838" s="424"/>
      <c r="AE838" s="424"/>
      <c r="AF838" s="424"/>
      <c r="AG838" s="424"/>
      <c r="AH838" s="424"/>
      <c r="AI838" s="424"/>
      <c r="AM838" s="424"/>
      <c r="AN838" s="424"/>
      <c r="AO838" s="424"/>
      <c r="AP838" s="424"/>
      <c r="AQ838" s="424"/>
      <c r="AR838" s="424"/>
      <c r="AS838" s="424"/>
      <c r="AT838" s="424"/>
      <c r="AU838" s="424"/>
      <c r="AV838" s="424"/>
      <c r="AW838" s="424"/>
      <c r="AX838" s="424"/>
      <c r="AY838" s="424"/>
    </row>
    <row r="839" spans="2:51">
      <c r="B839" s="424"/>
      <c r="C839" s="424"/>
      <c r="D839" s="424"/>
      <c r="E839" s="424"/>
      <c r="F839" s="424"/>
      <c r="G839" s="424"/>
      <c r="H839" s="424"/>
      <c r="I839" s="424"/>
      <c r="J839" s="424"/>
      <c r="K839" s="424"/>
      <c r="L839" s="424"/>
      <c r="M839" s="424"/>
      <c r="N839" s="424"/>
      <c r="O839" s="424"/>
      <c r="P839" s="424"/>
      <c r="Q839" s="424"/>
      <c r="R839" s="424"/>
      <c r="S839" s="424"/>
      <c r="T839" s="424"/>
      <c r="U839" s="424"/>
      <c r="Y839" s="424"/>
      <c r="Z839" s="424"/>
      <c r="AA839" s="424"/>
      <c r="AB839" s="424"/>
      <c r="AC839" s="424"/>
      <c r="AD839" s="424"/>
      <c r="AE839" s="424"/>
      <c r="AF839" s="424"/>
      <c r="AG839" s="424"/>
      <c r="AH839" s="424"/>
      <c r="AI839" s="424"/>
      <c r="AM839" s="424"/>
      <c r="AN839" s="424"/>
      <c r="AO839" s="424"/>
      <c r="AP839" s="424"/>
      <c r="AQ839" s="424"/>
      <c r="AR839" s="424"/>
      <c r="AS839" s="424"/>
      <c r="AT839" s="424"/>
      <c r="AU839" s="424"/>
      <c r="AV839" s="424"/>
      <c r="AW839" s="424"/>
      <c r="AX839" s="424"/>
      <c r="AY839" s="424"/>
    </row>
    <row r="840" spans="2:51">
      <c r="B840" s="424"/>
      <c r="C840" s="424"/>
      <c r="D840" s="424"/>
      <c r="E840" s="424"/>
      <c r="F840" s="424"/>
      <c r="G840" s="424"/>
      <c r="H840" s="424"/>
      <c r="I840" s="424"/>
      <c r="J840" s="424"/>
      <c r="K840" s="424"/>
      <c r="L840" s="424"/>
      <c r="M840" s="424"/>
      <c r="N840" s="424"/>
      <c r="O840" s="424"/>
      <c r="P840" s="424"/>
      <c r="Q840" s="424"/>
      <c r="R840" s="424"/>
      <c r="S840" s="424"/>
      <c r="T840" s="424"/>
      <c r="U840" s="424"/>
      <c r="Y840" s="424"/>
      <c r="Z840" s="424"/>
      <c r="AA840" s="424"/>
      <c r="AB840" s="424"/>
      <c r="AC840" s="424"/>
      <c r="AD840" s="424"/>
      <c r="AE840" s="424"/>
      <c r="AF840" s="424"/>
      <c r="AG840" s="424"/>
      <c r="AH840" s="424"/>
      <c r="AI840" s="424"/>
      <c r="AM840" s="424"/>
      <c r="AN840" s="424"/>
      <c r="AO840" s="424"/>
      <c r="AP840" s="424"/>
      <c r="AQ840" s="424"/>
      <c r="AR840" s="424"/>
      <c r="AS840" s="424"/>
      <c r="AT840" s="424"/>
      <c r="AU840" s="424"/>
      <c r="AV840" s="424"/>
      <c r="AW840" s="424"/>
      <c r="AX840" s="424"/>
      <c r="AY840" s="424"/>
    </row>
    <row r="841" spans="2:51">
      <c r="B841" s="424"/>
      <c r="C841" s="424"/>
      <c r="D841" s="424"/>
      <c r="E841" s="424"/>
      <c r="F841" s="424"/>
      <c r="G841" s="424"/>
      <c r="H841" s="424"/>
      <c r="I841" s="424"/>
      <c r="J841" s="424"/>
      <c r="K841" s="424"/>
      <c r="L841" s="424"/>
      <c r="M841" s="424"/>
      <c r="N841" s="424"/>
      <c r="O841" s="424"/>
      <c r="P841" s="424"/>
      <c r="Q841" s="424"/>
      <c r="R841" s="424"/>
      <c r="S841" s="424"/>
      <c r="T841" s="424"/>
      <c r="U841" s="424"/>
      <c r="Y841" s="424"/>
      <c r="Z841" s="424"/>
      <c r="AA841" s="424"/>
      <c r="AB841" s="424"/>
      <c r="AC841" s="424"/>
      <c r="AD841" s="424"/>
      <c r="AE841" s="424"/>
      <c r="AF841" s="424"/>
      <c r="AG841" s="424"/>
      <c r="AH841" s="424"/>
      <c r="AI841" s="424"/>
      <c r="AM841" s="424"/>
      <c r="AN841" s="424"/>
      <c r="AO841" s="424"/>
      <c r="AP841" s="424"/>
      <c r="AQ841" s="424"/>
      <c r="AR841" s="424"/>
      <c r="AS841" s="424"/>
      <c r="AT841" s="424"/>
      <c r="AU841" s="424"/>
      <c r="AV841" s="424"/>
      <c r="AW841" s="424"/>
      <c r="AX841" s="424"/>
      <c r="AY841" s="424"/>
    </row>
    <row r="842" spans="2:51">
      <c r="B842" s="424"/>
      <c r="C842" s="424"/>
      <c r="D842" s="424"/>
      <c r="E842" s="424"/>
      <c r="F842" s="424"/>
      <c r="G842" s="424"/>
      <c r="H842" s="424"/>
      <c r="I842" s="424"/>
      <c r="J842" s="424"/>
      <c r="K842" s="424"/>
      <c r="L842" s="424"/>
      <c r="M842" s="424"/>
      <c r="N842" s="424"/>
      <c r="O842" s="424"/>
      <c r="P842" s="424"/>
      <c r="Q842" s="424"/>
      <c r="R842" s="424"/>
      <c r="S842" s="424"/>
      <c r="T842" s="424"/>
      <c r="U842" s="424"/>
      <c r="Y842" s="424"/>
      <c r="Z842" s="424"/>
      <c r="AA842" s="424"/>
      <c r="AB842" s="424"/>
      <c r="AC842" s="424"/>
      <c r="AD842" s="424"/>
      <c r="AE842" s="424"/>
      <c r="AF842" s="424"/>
      <c r="AG842" s="424"/>
      <c r="AH842" s="424"/>
      <c r="AI842" s="424"/>
      <c r="AM842" s="424"/>
      <c r="AN842" s="424"/>
      <c r="AO842" s="424"/>
      <c r="AP842" s="424"/>
      <c r="AQ842" s="424"/>
      <c r="AR842" s="424"/>
      <c r="AS842" s="424"/>
      <c r="AT842" s="424"/>
      <c r="AU842" s="424"/>
      <c r="AV842" s="424"/>
      <c r="AW842" s="424"/>
      <c r="AX842" s="424"/>
      <c r="AY842" s="424"/>
    </row>
    <row r="843" spans="2:51">
      <c r="B843" s="424"/>
      <c r="C843" s="424"/>
      <c r="D843" s="424"/>
      <c r="E843" s="424"/>
      <c r="F843" s="424"/>
      <c r="G843" s="424"/>
      <c r="H843" s="424"/>
      <c r="I843" s="424"/>
      <c r="J843" s="424"/>
      <c r="K843" s="424"/>
      <c r="L843" s="424"/>
      <c r="M843" s="424"/>
      <c r="N843" s="424"/>
      <c r="O843" s="424"/>
      <c r="P843" s="424"/>
      <c r="Q843" s="424"/>
      <c r="R843" s="424"/>
      <c r="S843" s="424"/>
      <c r="T843" s="424"/>
      <c r="U843" s="424"/>
      <c r="Y843" s="424"/>
      <c r="Z843" s="424"/>
      <c r="AA843" s="424"/>
      <c r="AB843" s="424"/>
      <c r="AC843" s="424"/>
      <c r="AD843" s="424"/>
      <c r="AE843" s="424"/>
      <c r="AF843" s="424"/>
      <c r="AG843" s="424"/>
      <c r="AH843" s="424"/>
      <c r="AI843" s="424"/>
      <c r="AM843" s="424"/>
      <c r="AN843" s="424"/>
      <c r="AO843" s="424"/>
      <c r="AP843" s="424"/>
      <c r="AQ843" s="424"/>
      <c r="AR843" s="424"/>
      <c r="AS843" s="424"/>
      <c r="AT843" s="424"/>
      <c r="AU843" s="424"/>
      <c r="AV843" s="424"/>
      <c r="AW843" s="424"/>
      <c r="AX843" s="424"/>
      <c r="AY843" s="424"/>
    </row>
    <row r="844" spans="2:51">
      <c r="B844" s="424"/>
      <c r="C844" s="424"/>
      <c r="D844" s="424"/>
      <c r="E844" s="424"/>
      <c r="F844" s="424"/>
      <c r="G844" s="424"/>
      <c r="H844" s="424"/>
      <c r="I844" s="424"/>
      <c r="J844" s="424"/>
      <c r="K844" s="424"/>
      <c r="L844" s="424"/>
      <c r="M844" s="424"/>
      <c r="N844" s="424"/>
      <c r="O844" s="424"/>
      <c r="P844" s="424"/>
      <c r="Q844" s="424"/>
      <c r="R844" s="424"/>
      <c r="S844" s="424"/>
      <c r="T844" s="424"/>
      <c r="U844" s="424"/>
      <c r="Y844" s="424"/>
      <c r="Z844" s="424"/>
      <c r="AA844" s="424"/>
      <c r="AB844" s="424"/>
      <c r="AC844" s="424"/>
      <c r="AD844" s="424"/>
      <c r="AE844" s="424"/>
      <c r="AF844" s="424"/>
      <c r="AG844" s="424"/>
      <c r="AH844" s="424"/>
      <c r="AI844" s="424"/>
      <c r="AM844" s="424"/>
      <c r="AN844" s="424"/>
      <c r="AO844" s="424"/>
      <c r="AP844" s="424"/>
      <c r="AQ844" s="424"/>
      <c r="AR844" s="424"/>
      <c r="AS844" s="424"/>
      <c r="AT844" s="424"/>
      <c r="AU844" s="424"/>
      <c r="AV844" s="424"/>
      <c r="AW844" s="424"/>
      <c r="AX844" s="424"/>
      <c r="AY844" s="424"/>
    </row>
    <row r="845" spans="2:51">
      <c r="B845" s="424"/>
      <c r="C845" s="424"/>
      <c r="D845" s="424"/>
      <c r="E845" s="424"/>
      <c r="F845" s="424"/>
      <c r="G845" s="424"/>
      <c r="H845" s="424"/>
      <c r="I845" s="424"/>
      <c r="J845" s="424"/>
      <c r="K845" s="424"/>
      <c r="L845" s="424"/>
      <c r="M845" s="424"/>
      <c r="N845" s="424"/>
      <c r="O845" s="424"/>
      <c r="P845" s="424"/>
      <c r="Q845" s="424"/>
      <c r="R845" s="424"/>
      <c r="S845" s="424"/>
      <c r="T845" s="424"/>
      <c r="U845" s="424"/>
      <c r="Y845" s="424"/>
      <c r="Z845" s="424"/>
      <c r="AA845" s="424"/>
      <c r="AB845" s="424"/>
      <c r="AC845" s="424"/>
      <c r="AD845" s="424"/>
      <c r="AE845" s="424"/>
      <c r="AF845" s="424"/>
      <c r="AG845" s="424"/>
      <c r="AH845" s="424"/>
      <c r="AI845" s="424"/>
      <c r="AM845" s="424"/>
      <c r="AN845" s="424"/>
      <c r="AO845" s="424"/>
      <c r="AP845" s="424"/>
      <c r="AQ845" s="424"/>
      <c r="AR845" s="424"/>
      <c r="AS845" s="424"/>
      <c r="AT845" s="424"/>
      <c r="AU845" s="424"/>
      <c r="AV845" s="424"/>
      <c r="AW845" s="424"/>
      <c r="AX845" s="424"/>
      <c r="AY845" s="424"/>
    </row>
    <row r="846" spans="2:51">
      <c r="B846" s="424"/>
      <c r="C846" s="424"/>
      <c r="D846" s="424"/>
      <c r="E846" s="424"/>
      <c r="F846" s="424"/>
      <c r="G846" s="424"/>
      <c r="H846" s="424"/>
      <c r="I846" s="424"/>
      <c r="J846" s="424"/>
      <c r="K846" s="424"/>
      <c r="L846" s="424"/>
      <c r="M846" s="424"/>
      <c r="N846" s="424"/>
      <c r="O846" s="424"/>
      <c r="P846" s="424"/>
      <c r="Q846" s="424"/>
      <c r="R846" s="424"/>
      <c r="S846" s="424"/>
      <c r="T846" s="424"/>
      <c r="U846" s="424"/>
      <c r="Y846" s="424"/>
      <c r="Z846" s="424"/>
      <c r="AA846" s="424"/>
      <c r="AB846" s="424"/>
      <c r="AC846" s="424"/>
      <c r="AD846" s="424"/>
      <c r="AE846" s="424"/>
      <c r="AF846" s="424"/>
      <c r="AG846" s="424"/>
      <c r="AH846" s="424"/>
      <c r="AI846" s="424"/>
      <c r="AM846" s="424"/>
      <c r="AN846" s="424"/>
      <c r="AO846" s="424"/>
      <c r="AP846" s="424"/>
      <c r="AQ846" s="424"/>
      <c r="AR846" s="424"/>
      <c r="AS846" s="424"/>
      <c r="AT846" s="424"/>
      <c r="AU846" s="424"/>
      <c r="AV846" s="424"/>
      <c r="AW846" s="424"/>
      <c r="AX846" s="424"/>
      <c r="AY846" s="424"/>
    </row>
    <row r="847" spans="2:51">
      <c r="B847" s="424"/>
      <c r="C847" s="424"/>
      <c r="D847" s="424"/>
      <c r="E847" s="424"/>
      <c r="F847" s="424"/>
      <c r="G847" s="424"/>
      <c r="H847" s="424"/>
      <c r="I847" s="424"/>
      <c r="J847" s="424"/>
      <c r="K847" s="424"/>
      <c r="L847" s="424"/>
      <c r="M847" s="424"/>
      <c r="N847" s="424"/>
      <c r="O847" s="424"/>
      <c r="P847" s="424"/>
      <c r="Q847" s="424"/>
      <c r="R847" s="424"/>
      <c r="S847" s="424"/>
      <c r="T847" s="424"/>
      <c r="U847" s="424"/>
      <c r="Y847" s="424"/>
      <c r="Z847" s="424"/>
      <c r="AA847" s="424"/>
      <c r="AB847" s="424"/>
      <c r="AC847" s="424"/>
      <c r="AD847" s="424"/>
      <c r="AE847" s="424"/>
      <c r="AF847" s="424"/>
      <c r="AG847" s="424"/>
      <c r="AH847" s="424"/>
      <c r="AI847" s="424"/>
      <c r="AM847" s="424"/>
      <c r="AN847" s="424"/>
      <c r="AO847" s="424"/>
      <c r="AP847" s="424"/>
      <c r="AQ847" s="424"/>
      <c r="AR847" s="424"/>
      <c r="AS847" s="424"/>
      <c r="AT847" s="424"/>
      <c r="AU847" s="424"/>
      <c r="AV847" s="424"/>
      <c r="AW847" s="424"/>
      <c r="AX847" s="424"/>
      <c r="AY847" s="424"/>
    </row>
    <row r="848" spans="2:51">
      <c r="B848" s="424"/>
      <c r="C848" s="424"/>
      <c r="D848" s="424"/>
      <c r="E848" s="424"/>
      <c r="F848" s="424"/>
      <c r="G848" s="424"/>
      <c r="H848" s="424"/>
      <c r="I848" s="424"/>
      <c r="J848" s="424"/>
      <c r="K848" s="424"/>
      <c r="L848" s="424"/>
      <c r="M848" s="424"/>
      <c r="N848" s="424"/>
      <c r="O848" s="424"/>
      <c r="P848" s="424"/>
      <c r="Q848" s="424"/>
      <c r="R848" s="424"/>
      <c r="S848" s="424"/>
      <c r="T848" s="424"/>
      <c r="U848" s="424"/>
      <c r="Y848" s="424"/>
      <c r="Z848" s="424"/>
      <c r="AA848" s="424"/>
      <c r="AB848" s="424"/>
      <c r="AC848" s="424"/>
      <c r="AD848" s="424"/>
      <c r="AE848" s="424"/>
      <c r="AF848" s="424"/>
      <c r="AG848" s="424"/>
      <c r="AH848" s="424"/>
      <c r="AI848" s="424"/>
      <c r="AM848" s="424"/>
      <c r="AN848" s="424"/>
      <c r="AO848" s="424"/>
      <c r="AP848" s="424"/>
      <c r="AQ848" s="424"/>
      <c r="AR848" s="424"/>
      <c r="AS848" s="424"/>
      <c r="AT848" s="424"/>
      <c r="AU848" s="424"/>
      <c r="AV848" s="424"/>
      <c r="AW848" s="424"/>
      <c r="AX848" s="424"/>
      <c r="AY848" s="424"/>
    </row>
    <row r="849" spans="2:51">
      <c r="B849" s="424"/>
      <c r="C849" s="424"/>
      <c r="D849" s="424"/>
      <c r="E849" s="424"/>
      <c r="F849" s="424"/>
      <c r="G849" s="424"/>
      <c r="H849" s="424"/>
      <c r="I849" s="424"/>
      <c r="J849" s="424"/>
      <c r="K849" s="424"/>
      <c r="L849" s="424"/>
      <c r="M849" s="424"/>
      <c r="N849" s="424"/>
      <c r="O849" s="424"/>
      <c r="P849" s="424"/>
      <c r="Q849" s="424"/>
      <c r="R849" s="424"/>
      <c r="S849" s="424"/>
      <c r="T849" s="424"/>
      <c r="U849" s="424"/>
      <c r="Y849" s="424"/>
      <c r="Z849" s="424"/>
      <c r="AA849" s="424"/>
      <c r="AB849" s="424"/>
      <c r="AC849" s="424"/>
      <c r="AD849" s="424"/>
      <c r="AE849" s="424"/>
      <c r="AF849" s="424"/>
      <c r="AG849" s="424"/>
      <c r="AH849" s="424"/>
      <c r="AI849" s="424"/>
      <c r="AM849" s="424"/>
      <c r="AN849" s="424"/>
      <c r="AO849" s="424"/>
      <c r="AP849" s="424"/>
      <c r="AQ849" s="424"/>
      <c r="AR849" s="424"/>
      <c r="AS849" s="424"/>
      <c r="AT849" s="424"/>
      <c r="AU849" s="424"/>
      <c r="AV849" s="424"/>
      <c r="AW849" s="424"/>
      <c r="AX849" s="424"/>
      <c r="AY849" s="424"/>
    </row>
    <row r="850" spans="2:51">
      <c r="B850" s="424"/>
      <c r="C850" s="424"/>
      <c r="D850" s="424"/>
      <c r="E850" s="424"/>
      <c r="F850" s="424"/>
      <c r="G850" s="424"/>
      <c r="H850" s="424"/>
      <c r="I850" s="424"/>
      <c r="J850" s="424"/>
      <c r="K850" s="424"/>
      <c r="L850" s="424"/>
      <c r="M850" s="424"/>
      <c r="N850" s="424"/>
      <c r="O850" s="424"/>
      <c r="P850" s="424"/>
      <c r="Q850" s="424"/>
      <c r="R850" s="424"/>
      <c r="S850" s="424"/>
      <c r="T850" s="424"/>
      <c r="U850" s="424"/>
      <c r="Y850" s="424"/>
      <c r="Z850" s="424"/>
      <c r="AA850" s="424"/>
      <c r="AB850" s="424"/>
      <c r="AC850" s="424"/>
      <c r="AD850" s="424"/>
      <c r="AE850" s="424"/>
      <c r="AF850" s="424"/>
      <c r="AG850" s="424"/>
      <c r="AH850" s="424"/>
      <c r="AI850" s="424"/>
      <c r="AM850" s="424"/>
      <c r="AN850" s="424"/>
      <c r="AO850" s="424"/>
      <c r="AP850" s="424"/>
      <c r="AQ850" s="424"/>
      <c r="AR850" s="424"/>
      <c r="AS850" s="424"/>
      <c r="AT850" s="424"/>
      <c r="AU850" s="424"/>
      <c r="AV850" s="424"/>
      <c r="AW850" s="424"/>
      <c r="AX850" s="424"/>
      <c r="AY850" s="424"/>
    </row>
    <row r="851" spans="2:51">
      <c r="B851" s="424"/>
      <c r="C851" s="424"/>
      <c r="D851" s="424"/>
      <c r="E851" s="424"/>
      <c r="F851" s="424"/>
      <c r="G851" s="424"/>
      <c r="H851" s="424"/>
      <c r="I851" s="424"/>
      <c r="J851" s="424"/>
      <c r="K851" s="424"/>
      <c r="L851" s="424"/>
      <c r="M851" s="424"/>
      <c r="N851" s="424"/>
      <c r="O851" s="424"/>
      <c r="P851" s="424"/>
      <c r="Q851" s="424"/>
      <c r="R851" s="424"/>
      <c r="S851" s="424"/>
      <c r="T851" s="424"/>
      <c r="U851" s="424"/>
      <c r="Y851" s="424"/>
      <c r="Z851" s="424"/>
      <c r="AA851" s="424"/>
      <c r="AB851" s="424"/>
      <c r="AC851" s="424"/>
      <c r="AD851" s="424"/>
      <c r="AE851" s="424"/>
      <c r="AF851" s="424"/>
      <c r="AG851" s="424"/>
      <c r="AH851" s="424"/>
      <c r="AI851" s="424"/>
      <c r="AM851" s="424"/>
      <c r="AN851" s="424"/>
      <c r="AO851" s="424"/>
      <c r="AP851" s="424"/>
      <c r="AQ851" s="424"/>
      <c r="AR851" s="424"/>
      <c r="AS851" s="424"/>
      <c r="AT851" s="424"/>
      <c r="AU851" s="424"/>
      <c r="AV851" s="424"/>
      <c r="AW851" s="424"/>
      <c r="AX851" s="424"/>
      <c r="AY851" s="424"/>
    </row>
    <row r="852" spans="2:51">
      <c r="B852" s="424"/>
      <c r="C852" s="424"/>
      <c r="D852" s="424"/>
      <c r="E852" s="424"/>
      <c r="F852" s="424"/>
      <c r="G852" s="424"/>
      <c r="H852" s="424"/>
      <c r="I852" s="424"/>
      <c r="J852" s="424"/>
      <c r="K852" s="424"/>
      <c r="L852" s="424"/>
      <c r="M852" s="424"/>
      <c r="N852" s="424"/>
      <c r="O852" s="424"/>
      <c r="P852" s="424"/>
      <c r="Q852" s="424"/>
      <c r="R852" s="424"/>
      <c r="S852" s="424"/>
      <c r="T852" s="424"/>
      <c r="U852" s="424"/>
      <c r="Y852" s="424"/>
      <c r="Z852" s="424"/>
      <c r="AA852" s="424"/>
      <c r="AB852" s="424"/>
      <c r="AC852" s="424"/>
      <c r="AD852" s="424"/>
      <c r="AE852" s="424"/>
      <c r="AF852" s="424"/>
      <c r="AG852" s="424"/>
      <c r="AH852" s="424"/>
      <c r="AI852" s="424"/>
      <c r="AM852" s="424"/>
      <c r="AN852" s="424"/>
      <c r="AO852" s="424"/>
      <c r="AP852" s="424"/>
      <c r="AQ852" s="424"/>
      <c r="AR852" s="424"/>
      <c r="AS852" s="424"/>
      <c r="AT852" s="424"/>
      <c r="AU852" s="424"/>
      <c r="AV852" s="424"/>
      <c r="AW852" s="424"/>
      <c r="AX852" s="424"/>
      <c r="AY852" s="424"/>
    </row>
    <row r="853" spans="2:51">
      <c r="B853" s="424"/>
      <c r="C853" s="424"/>
      <c r="D853" s="424"/>
      <c r="E853" s="424"/>
      <c r="F853" s="424"/>
      <c r="G853" s="424"/>
      <c r="H853" s="424"/>
      <c r="I853" s="424"/>
      <c r="J853" s="424"/>
      <c r="K853" s="424"/>
      <c r="L853" s="424"/>
      <c r="M853" s="424"/>
      <c r="N853" s="424"/>
      <c r="O853" s="424"/>
      <c r="P853" s="424"/>
      <c r="Q853" s="424"/>
      <c r="R853" s="424"/>
      <c r="S853" s="424"/>
      <c r="T853" s="424"/>
      <c r="U853" s="424"/>
      <c r="Y853" s="424"/>
      <c r="Z853" s="424"/>
      <c r="AA853" s="424"/>
      <c r="AB853" s="424"/>
      <c r="AC853" s="424"/>
      <c r="AD853" s="424"/>
      <c r="AE853" s="424"/>
      <c r="AF853" s="424"/>
      <c r="AG853" s="424"/>
      <c r="AH853" s="424"/>
      <c r="AI853" s="424"/>
      <c r="AM853" s="424"/>
      <c r="AN853" s="424"/>
      <c r="AO853" s="424"/>
      <c r="AP853" s="424"/>
      <c r="AQ853" s="424"/>
      <c r="AR853" s="424"/>
      <c r="AS853" s="424"/>
      <c r="AT853" s="424"/>
      <c r="AU853" s="424"/>
      <c r="AV853" s="424"/>
      <c r="AW853" s="424"/>
      <c r="AX853" s="424"/>
      <c r="AY853" s="424"/>
    </row>
    <row r="854" spans="2:51">
      <c r="B854" s="424"/>
      <c r="C854" s="424"/>
      <c r="D854" s="424"/>
      <c r="E854" s="424"/>
      <c r="F854" s="424"/>
      <c r="G854" s="424"/>
      <c r="H854" s="424"/>
      <c r="I854" s="424"/>
      <c r="J854" s="424"/>
      <c r="K854" s="424"/>
      <c r="L854" s="424"/>
      <c r="M854" s="424"/>
      <c r="N854" s="424"/>
      <c r="O854" s="424"/>
      <c r="P854" s="424"/>
      <c r="Q854" s="424"/>
      <c r="R854" s="424"/>
      <c r="S854" s="424"/>
      <c r="T854" s="424"/>
      <c r="U854" s="424"/>
      <c r="Y854" s="424"/>
      <c r="Z854" s="424"/>
      <c r="AA854" s="424"/>
      <c r="AB854" s="424"/>
      <c r="AC854" s="424"/>
      <c r="AD854" s="424"/>
      <c r="AE854" s="424"/>
      <c r="AF854" s="424"/>
      <c r="AG854" s="424"/>
      <c r="AH854" s="424"/>
      <c r="AI854" s="424"/>
      <c r="AM854" s="424"/>
      <c r="AN854" s="424"/>
      <c r="AO854" s="424"/>
      <c r="AP854" s="424"/>
      <c r="AQ854" s="424"/>
      <c r="AR854" s="424"/>
      <c r="AS854" s="424"/>
      <c r="AT854" s="424"/>
      <c r="AU854" s="424"/>
      <c r="AV854" s="424"/>
      <c r="AW854" s="424"/>
      <c r="AX854" s="424"/>
      <c r="AY854" s="424"/>
    </row>
    <row r="855" spans="2:51">
      <c r="B855" s="424"/>
      <c r="C855" s="424"/>
      <c r="D855" s="424"/>
      <c r="E855" s="424"/>
      <c r="F855" s="424"/>
      <c r="G855" s="424"/>
      <c r="H855" s="424"/>
      <c r="I855" s="424"/>
      <c r="J855" s="424"/>
      <c r="K855" s="424"/>
      <c r="L855" s="424"/>
      <c r="M855" s="424"/>
      <c r="N855" s="424"/>
      <c r="O855" s="424"/>
      <c r="P855" s="424"/>
      <c r="Q855" s="424"/>
      <c r="R855" s="424"/>
      <c r="S855" s="424"/>
      <c r="T855" s="424"/>
      <c r="U855" s="424"/>
      <c r="Y855" s="424"/>
      <c r="Z855" s="424"/>
      <c r="AA855" s="424"/>
      <c r="AB855" s="424"/>
      <c r="AC855" s="424"/>
      <c r="AD855" s="424"/>
      <c r="AE855" s="424"/>
      <c r="AF855" s="424"/>
      <c r="AG855" s="424"/>
      <c r="AH855" s="424"/>
      <c r="AI855" s="424"/>
      <c r="AM855" s="424"/>
      <c r="AN855" s="424"/>
      <c r="AO855" s="424"/>
      <c r="AP855" s="424"/>
      <c r="AQ855" s="424"/>
      <c r="AR855" s="424"/>
      <c r="AS855" s="424"/>
      <c r="AT855" s="424"/>
      <c r="AU855" s="424"/>
      <c r="AV855" s="424"/>
      <c r="AW855" s="424"/>
      <c r="AX855" s="424"/>
      <c r="AY855" s="424"/>
    </row>
    <row r="856" spans="2:51">
      <c r="B856" s="424"/>
      <c r="C856" s="424"/>
      <c r="D856" s="424"/>
      <c r="E856" s="424"/>
      <c r="F856" s="424"/>
      <c r="G856" s="424"/>
      <c r="H856" s="424"/>
      <c r="I856" s="424"/>
      <c r="J856" s="424"/>
      <c r="K856" s="424"/>
      <c r="L856" s="424"/>
      <c r="M856" s="424"/>
      <c r="N856" s="424"/>
      <c r="O856" s="424"/>
      <c r="P856" s="424"/>
      <c r="Q856" s="424"/>
      <c r="R856" s="424"/>
      <c r="S856" s="424"/>
      <c r="T856" s="424"/>
      <c r="U856" s="424"/>
      <c r="Y856" s="424"/>
      <c r="Z856" s="424"/>
      <c r="AA856" s="424"/>
      <c r="AB856" s="424"/>
      <c r="AC856" s="424"/>
      <c r="AD856" s="424"/>
      <c r="AE856" s="424"/>
      <c r="AF856" s="424"/>
      <c r="AG856" s="424"/>
      <c r="AH856" s="424"/>
      <c r="AI856" s="424"/>
      <c r="AM856" s="424"/>
      <c r="AN856" s="424"/>
      <c r="AO856" s="424"/>
      <c r="AP856" s="424"/>
      <c r="AQ856" s="424"/>
      <c r="AR856" s="424"/>
      <c r="AS856" s="424"/>
      <c r="AT856" s="424"/>
      <c r="AU856" s="424"/>
      <c r="AV856" s="424"/>
      <c r="AW856" s="424"/>
      <c r="AX856" s="424"/>
      <c r="AY856" s="424"/>
    </row>
    <row r="857" spans="2:51">
      <c r="B857" s="424"/>
      <c r="C857" s="424"/>
      <c r="D857" s="424"/>
      <c r="E857" s="424"/>
      <c r="F857" s="424"/>
      <c r="G857" s="424"/>
      <c r="H857" s="424"/>
      <c r="I857" s="424"/>
      <c r="J857" s="424"/>
      <c r="K857" s="424"/>
      <c r="L857" s="424"/>
      <c r="M857" s="424"/>
      <c r="N857" s="424"/>
      <c r="O857" s="424"/>
      <c r="P857" s="424"/>
      <c r="Q857" s="424"/>
      <c r="R857" s="424"/>
      <c r="S857" s="424"/>
      <c r="T857" s="424"/>
      <c r="U857" s="424"/>
      <c r="Y857" s="424"/>
      <c r="Z857" s="424"/>
      <c r="AA857" s="424"/>
      <c r="AB857" s="424"/>
      <c r="AC857" s="424"/>
      <c r="AD857" s="424"/>
      <c r="AE857" s="424"/>
      <c r="AF857" s="424"/>
      <c r="AG857" s="424"/>
      <c r="AH857" s="424"/>
      <c r="AI857" s="424"/>
      <c r="AM857" s="424"/>
      <c r="AN857" s="424"/>
      <c r="AO857" s="424"/>
      <c r="AP857" s="424"/>
      <c r="AQ857" s="424"/>
      <c r="AR857" s="424"/>
      <c r="AS857" s="424"/>
      <c r="AT857" s="424"/>
      <c r="AU857" s="424"/>
      <c r="AV857" s="424"/>
      <c r="AW857" s="424"/>
      <c r="AX857" s="424"/>
      <c r="AY857" s="424"/>
    </row>
    <row r="858" spans="2:51">
      <c r="B858" s="424"/>
      <c r="C858" s="424"/>
      <c r="D858" s="424"/>
      <c r="E858" s="424"/>
      <c r="F858" s="424"/>
      <c r="G858" s="424"/>
      <c r="H858" s="424"/>
      <c r="I858" s="424"/>
      <c r="J858" s="424"/>
      <c r="K858" s="424"/>
      <c r="L858" s="424"/>
      <c r="M858" s="424"/>
      <c r="N858" s="424"/>
      <c r="O858" s="424"/>
      <c r="P858" s="424"/>
      <c r="Q858" s="424"/>
      <c r="R858" s="424"/>
      <c r="S858" s="424"/>
      <c r="T858" s="424"/>
      <c r="U858" s="424"/>
      <c r="Y858" s="424"/>
      <c r="Z858" s="424"/>
      <c r="AA858" s="424"/>
      <c r="AB858" s="424"/>
      <c r="AC858" s="424"/>
      <c r="AD858" s="424"/>
      <c r="AE858" s="424"/>
      <c r="AF858" s="424"/>
      <c r="AG858" s="424"/>
      <c r="AH858" s="424"/>
      <c r="AI858" s="424"/>
      <c r="AM858" s="424"/>
      <c r="AN858" s="424"/>
      <c r="AO858" s="424"/>
      <c r="AP858" s="424"/>
      <c r="AQ858" s="424"/>
      <c r="AR858" s="424"/>
      <c r="AS858" s="424"/>
      <c r="AT858" s="424"/>
      <c r="AU858" s="424"/>
      <c r="AV858" s="424"/>
      <c r="AW858" s="424"/>
      <c r="AX858" s="424"/>
      <c r="AY858" s="424"/>
    </row>
    <row r="859" spans="2:51">
      <c r="B859" s="424"/>
      <c r="C859" s="424"/>
      <c r="D859" s="424"/>
      <c r="E859" s="424"/>
      <c r="F859" s="424"/>
      <c r="G859" s="424"/>
      <c r="H859" s="424"/>
      <c r="I859" s="424"/>
      <c r="J859" s="424"/>
      <c r="K859" s="424"/>
      <c r="L859" s="424"/>
      <c r="M859" s="424"/>
      <c r="N859" s="424"/>
      <c r="O859" s="424"/>
      <c r="P859" s="424"/>
      <c r="Q859" s="424"/>
      <c r="R859" s="424"/>
      <c r="S859" s="424"/>
      <c r="T859" s="424"/>
      <c r="U859" s="424"/>
      <c r="Y859" s="424"/>
      <c r="Z859" s="424"/>
      <c r="AA859" s="424"/>
      <c r="AB859" s="424"/>
      <c r="AC859" s="424"/>
      <c r="AD859" s="424"/>
      <c r="AE859" s="424"/>
      <c r="AF859" s="424"/>
      <c r="AG859" s="424"/>
      <c r="AH859" s="424"/>
      <c r="AI859" s="424"/>
      <c r="AM859" s="424"/>
      <c r="AN859" s="424"/>
      <c r="AO859" s="424"/>
      <c r="AP859" s="424"/>
      <c r="AQ859" s="424"/>
      <c r="AR859" s="424"/>
      <c r="AS859" s="424"/>
      <c r="AT859" s="424"/>
      <c r="AU859" s="424"/>
      <c r="AV859" s="424"/>
      <c r="AW859" s="424"/>
      <c r="AX859" s="424"/>
      <c r="AY859" s="424"/>
    </row>
    <row r="860" spans="2:51">
      <c r="B860" s="424"/>
      <c r="C860" s="424"/>
      <c r="D860" s="424"/>
      <c r="E860" s="424"/>
      <c r="F860" s="424"/>
      <c r="G860" s="424"/>
      <c r="H860" s="424"/>
      <c r="I860" s="424"/>
      <c r="J860" s="424"/>
      <c r="K860" s="424"/>
      <c r="L860" s="424"/>
      <c r="M860" s="424"/>
      <c r="N860" s="424"/>
      <c r="O860" s="424"/>
      <c r="P860" s="424"/>
      <c r="Q860" s="424"/>
      <c r="R860" s="424"/>
      <c r="S860" s="424"/>
      <c r="T860" s="424"/>
      <c r="U860" s="424"/>
      <c r="Y860" s="424"/>
      <c r="Z860" s="424"/>
      <c r="AA860" s="424"/>
      <c r="AB860" s="424"/>
      <c r="AC860" s="424"/>
      <c r="AD860" s="424"/>
      <c r="AE860" s="424"/>
      <c r="AF860" s="424"/>
      <c r="AG860" s="424"/>
      <c r="AH860" s="424"/>
      <c r="AI860" s="424"/>
      <c r="AM860" s="424"/>
      <c r="AN860" s="424"/>
      <c r="AO860" s="424"/>
      <c r="AP860" s="424"/>
      <c r="AQ860" s="424"/>
      <c r="AR860" s="424"/>
      <c r="AS860" s="424"/>
      <c r="AT860" s="424"/>
      <c r="AU860" s="424"/>
      <c r="AV860" s="424"/>
      <c r="AW860" s="424"/>
      <c r="AX860" s="424"/>
      <c r="AY860" s="424"/>
    </row>
    <row r="861" spans="2:51">
      <c r="B861" s="424"/>
      <c r="C861" s="424"/>
      <c r="D861" s="424"/>
      <c r="E861" s="424"/>
      <c r="F861" s="424"/>
      <c r="G861" s="424"/>
      <c r="H861" s="424"/>
      <c r="I861" s="424"/>
      <c r="J861" s="424"/>
      <c r="K861" s="424"/>
      <c r="L861" s="424"/>
      <c r="M861" s="424"/>
      <c r="N861" s="424"/>
      <c r="O861" s="424"/>
      <c r="P861" s="424"/>
      <c r="Q861" s="424"/>
      <c r="R861" s="424"/>
      <c r="S861" s="424"/>
      <c r="T861" s="424"/>
      <c r="U861" s="424"/>
      <c r="Y861" s="424"/>
      <c r="Z861" s="424"/>
      <c r="AA861" s="424"/>
      <c r="AB861" s="424"/>
      <c r="AC861" s="424"/>
      <c r="AD861" s="424"/>
      <c r="AE861" s="424"/>
      <c r="AF861" s="424"/>
      <c r="AG861" s="424"/>
      <c r="AH861" s="424"/>
      <c r="AI861" s="424"/>
      <c r="AM861" s="424"/>
      <c r="AN861" s="424"/>
      <c r="AO861" s="424"/>
      <c r="AP861" s="424"/>
      <c r="AQ861" s="424"/>
      <c r="AR861" s="424"/>
      <c r="AS861" s="424"/>
      <c r="AT861" s="424"/>
      <c r="AU861" s="424"/>
      <c r="AV861" s="424"/>
      <c r="AW861" s="424"/>
      <c r="AX861" s="424"/>
      <c r="AY861" s="424"/>
    </row>
    <row r="862" spans="2:51">
      <c r="B862" s="424"/>
      <c r="C862" s="424"/>
      <c r="D862" s="424"/>
      <c r="E862" s="424"/>
      <c r="F862" s="424"/>
      <c r="G862" s="424"/>
      <c r="H862" s="424"/>
      <c r="I862" s="424"/>
      <c r="J862" s="424"/>
      <c r="K862" s="424"/>
      <c r="L862" s="424"/>
      <c r="M862" s="424"/>
      <c r="N862" s="424"/>
      <c r="O862" s="424"/>
      <c r="P862" s="424"/>
      <c r="Q862" s="424"/>
      <c r="R862" s="424"/>
      <c r="S862" s="424"/>
      <c r="T862" s="424"/>
      <c r="U862" s="424"/>
      <c r="Y862" s="424"/>
      <c r="Z862" s="424"/>
      <c r="AA862" s="424"/>
      <c r="AB862" s="424"/>
      <c r="AC862" s="424"/>
      <c r="AD862" s="424"/>
      <c r="AE862" s="424"/>
      <c r="AF862" s="424"/>
      <c r="AG862" s="424"/>
      <c r="AH862" s="424"/>
      <c r="AI862" s="424"/>
      <c r="AM862" s="424"/>
      <c r="AN862" s="424"/>
      <c r="AO862" s="424"/>
      <c r="AP862" s="424"/>
      <c r="AQ862" s="424"/>
      <c r="AR862" s="424"/>
      <c r="AS862" s="424"/>
      <c r="AT862" s="424"/>
      <c r="AU862" s="424"/>
      <c r="AV862" s="424"/>
      <c r="AW862" s="424"/>
      <c r="AX862" s="424"/>
      <c r="AY862" s="424"/>
    </row>
    <row r="863" spans="2:51">
      <c r="B863" s="424"/>
      <c r="C863" s="424"/>
      <c r="D863" s="424"/>
      <c r="E863" s="424"/>
      <c r="F863" s="424"/>
      <c r="G863" s="424"/>
      <c r="H863" s="424"/>
      <c r="I863" s="424"/>
      <c r="J863" s="424"/>
      <c r="K863" s="424"/>
      <c r="L863" s="424"/>
      <c r="M863" s="424"/>
      <c r="N863" s="424"/>
      <c r="O863" s="424"/>
      <c r="P863" s="424"/>
      <c r="Q863" s="424"/>
      <c r="R863" s="424"/>
      <c r="S863" s="424"/>
      <c r="T863" s="424"/>
      <c r="U863" s="424"/>
      <c r="Y863" s="424"/>
      <c r="Z863" s="424"/>
      <c r="AA863" s="424"/>
      <c r="AB863" s="424"/>
      <c r="AC863" s="424"/>
      <c r="AD863" s="424"/>
      <c r="AE863" s="424"/>
      <c r="AF863" s="424"/>
      <c r="AG863" s="424"/>
      <c r="AH863" s="424"/>
      <c r="AI863" s="424"/>
      <c r="AM863" s="424"/>
      <c r="AN863" s="424"/>
      <c r="AO863" s="424"/>
      <c r="AP863" s="424"/>
      <c r="AQ863" s="424"/>
      <c r="AR863" s="424"/>
      <c r="AS863" s="424"/>
      <c r="AT863" s="424"/>
      <c r="AU863" s="424"/>
      <c r="AV863" s="424"/>
      <c r="AW863" s="424"/>
      <c r="AX863" s="424"/>
      <c r="AY863" s="424"/>
    </row>
    <row r="864" spans="2:51">
      <c r="B864" s="424"/>
      <c r="C864" s="424"/>
      <c r="D864" s="424"/>
      <c r="E864" s="424"/>
      <c r="F864" s="424"/>
      <c r="G864" s="424"/>
      <c r="H864" s="424"/>
      <c r="I864" s="424"/>
      <c r="J864" s="424"/>
      <c r="K864" s="424"/>
      <c r="L864" s="424"/>
      <c r="M864" s="424"/>
      <c r="N864" s="424"/>
      <c r="O864" s="424"/>
      <c r="P864" s="424"/>
      <c r="Q864" s="424"/>
      <c r="R864" s="424"/>
      <c r="S864" s="424"/>
      <c r="T864" s="424"/>
      <c r="U864" s="424"/>
      <c r="Y864" s="424"/>
      <c r="Z864" s="424"/>
      <c r="AA864" s="424"/>
      <c r="AB864" s="424"/>
      <c r="AC864" s="424"/>
      <c r="AD864" s="424"/>
      <c r="AE864" s="424"/>
      <c r="AF864" s="424"/>
      <c r="AG864" s="424"/>
      <c r="AH864" s="424"/>
      <c r="AI864" s="424"/>
      <c r="AM864" s="424"/>
      <c r="AN864" s="424"/>
      <c r="AO864" s="424"/>
      <c r="AP864" s="424"/>
      <c r="AQ864" s="424"/>
      <c r="AR864" s="424"/>
      <c r="AS864" s="424"/>
      <c r="AT864" s="424"/>
      <c r="AU864" s="424"/>
      <c r="AV864" s="424"/>
      <c r="AW864" s="424"/>
      <c r="AX864" s="424"/>
      <c r="AY864" s="424"/>
    </row>
    <row r="865" spans="2:51">
      <c r="B865" s="424"/>
      <c r="C865" s="424"/>
      <c r="D865" s="424"/>
      <c r="E865" s="424"/>
      <c r="F865" s="424"/>
      <c r="G865" s="424"/>
      <c r="H865" s="424"/>
      <c r="I865" s="424"/>
      <c r="J865" s="424"/>
      <c r="K865" s="424"/>
      <c r="L865" s="424"/>
      <c r="M865" s="424"/>
      <c r="N865" s="424"/>
      <c r="O865" s="424"/>
      <c r="P865" s="424"/>
      <c r="Q865" s="424"/>
      <c r="R865" s="424"/>
      <c r="S865" s="424"/>
      <c r="T865" s="424"/>
      <c r="U865" s="424"/>
      <c r="Y865" s="424"/>
      <c r="Z865" s="424"/>
      <c r="AA865" s="424"/>
      <c r="AB865" s="424"/>
      <c r="AC865" s="424"/>
      <c r="AD865" s="424"/>
      <c r="AE865" s="424"/>
      <c r="AF865" s="424"/>
      <c r="AG865" s="424"/>
      <c r="AH865" s="424"/>
      <c r="AI865" s="424"/>
      <c r="AM865" s="424"/>
      <c r="AN865" s="424"/>
      <c r="AO865" s="424"/>
      <c r="AP865" s="424"/>
      <c r="AQ865" s="424"/>
      <c r="AR865" s="424"/>
      <c r="AS865" s="424"/>
      <c r="AT865" s="424"/>
      <c r="AU865" s="424"/>
      <c r="AV865" s="424"/>
      <c r="AW865" s="424"/>
      <c r="AX865" s="424"/>
      <c r="AY865" s="424"/>
    </row>
    <row r="866" spans="2:51">
      <c r="B866" s="424"/>
      <c r="C866" s="424"/>
      <c r="D866" s="424"/>
      <c r="E866" s="424"/>
      <c r="F866" s="424"/>
      <c r="G866" s="424"/>
      <c r="H866" s="424"/>
      <c r="I866" s="424"/>
      <c r="J866" s="424"/>
      <c r="K866" s="424"/>
      <c r="L866" s="424"/>
      <c r="M866" s="424"/>
      <c r="N866" s="424"/>
      <c r="O866" s="424"/>
      <c r="P866" s="424"/>
      <c r="Q866" s="424"/>
      <c r="R866" s="424"/>
      <c r="S866" s="424"/>
      <c r="T866" s="424"/>
      <c r="U866" s="424"/>
      <c r="Y866" s="424"/>
      <c r="Z866" s="424"/>
      <c r="AA866" s="424"/>
      <c r="AB866" s="424"/>
      <c r="AC866" s="424"/>
      <c r="AD866" s="424"/>
      <c r="AE866" s="424"/>
      <c r="AF866" s="424"/>
      <c r="AG866" s="424"/>
      <c r="AH866" s="424"/>
      <c r="AI866" s="424"/>
      <c r="AM866" s="424"/>
      <c r="AN866" s="424"/>
      <c r="AO866" s="424"/>
      <c r="AP866" s="424"/>
      <c r="AQ866" s="424"/>
      <c r="AR866" s="424"/>
      <c r="AS866" s="424"/>
      <c r="AT866" s="424"/>
      <c r="AU866" s="424"/>
      <c r="AV866" s="424"/>
      <c r="AW866" s="424"/>
      <c r="AX866" s="424"/>
      <c r="AY866" s="424"/>
    </row>
    <row r="867" spans="2:51">
      <c r="B867" s="424"/>
      <c r="C867" s="424"/>
      <c r="D867" s="424"/>
      <c r="E867" s="424"/>
      <c r="F867" s="424"/>
      <c r="G867" s="424"/>
      <c r="H867" s="424"/>
      <c r="I867" s="424"/>
      <c r="J867" s="424"/>
      <c r="K867" s="424"/>
      <c r="L867" s="424"/>
      <c r="M867" s="424"/>
      <c r="N867" s="424"/>
      <c r="O867" s="424"/>
      <c r="P867" s="424"/>
      <c r="Q867" s="424"/>
      <c r="R867" s="424"/>
      <c r="S867" s="424"/>
      <c r="T867" s="424"/>
      <c r="U867" s="424"/>
      <c r="Y867" s="424"/>
      <c r="Z867" s="424"/>
      <c r="AA867" s="424"/>
      <c r="AB867" s="424"/>
      <c r="AC867" s="424"/>
      <c r="AD867" s="424"/>
      <c r="AE867" s="424"/>
      <c r="AF867" s="424"/>
      <c r="AG867" s="424"/>
      <c r="AH867" s="424"/>
      <c r="AI867" s="424"/>
      <c r="AM867" s="424"/>
      <c r="AN867" s="424"/>
      <c r="AO867" s="424"/>
      <c r="AP867" s="424"/>
      <c r="AQ867" s="424"/>
      <c r="AR867" s="424"/>
      <c r="AS867" s="424"/>
      <c r="AT867" s="424"/>
      <c r="AU867" s="424"/>
      <c r="AV867" s="424"/>
      <c r="AW867" s="424"/>
      <c r="AX867" s="424"/>
      <c r="AY867" s="424"/>
    </row>
    <row r="868" spans="2:51">
      <c r="B868" s="424"/>
      <c r="C868" s="424"/>
      <c r="D868" s="424"/>
      <c r="E868" s="424"/>
      <c r="F868" s="424"/>
      <c r="G868" s="424"/>
      <c r="H868" s="424"/>
      <c r="I868" s="424"/>
      <c r="J868" s="424"/>
      <c r="K868" s="424"/>
      <c r="L868" s="424"/>
      <c r="M868" s="424"/>
      <c r="N868" s="424"/>
      <c r="O868" s="424"/>
      <c r="P868" s="424"/>
      <c r="Q868" s="424"/>
      <c r="R868" s="424"/>
      <c r="S868" s="424"/>
      <c r="T868" s="424"/>
      <c r="U868" s="424"/>
      <c r="Y868" s="424"/>
      <c r="Z868" s="424"/>
      <c r="AA868" s="424"/>
      <c r="AB868" s="424"/>
      <c r="AC868" s="424"/>
      <c r="AD868" s="424"/>
      <c r="AE868" s="424"/>
      <c r="AF868" s="424"/>
      <c r="AG868" s="424"/>
      <c r="AH868" s="424"/>
      <c r="AI868" s="424"/>
      <c r="AM868" s="424"/>
      <c r="AN868" s="424"/>
      <c r="AO868" s="424"/>
      <c r="AP868" s="424"/>
      <c r="AQ868" s="424"/>
      <c r="AR868" s="424"/>
      <c r="AS868" s="424"/>
      <c r="AT868" s="424"/>
      <c r="AU868" s="424"/>
      <c r="AV868" s="424"/>
      <c r="AW868" s="424"/>
      <c r="AX868" s="424"/>
      <c r="AY868" s="424"/>
    </row>
    <row r="869" spans="2:51">
      <c r="B869" s="424"/>
      <c r="C869" s="424"/>
      <c r="D869" s="424"/>
      <c r="E869" s="424"/>
      <c r="F869" s="424"/>
      <c r="G869" s="424"/>
      <c r="H869" s="424"/>
      <c r="I869" s="424"/>
      <c r="J869" s="424"/>
      <c r="K869" s="424"/>
      <c r="L869" s="424"/>
      <c r="M869" s="424"/>
      <c r="N869" s="424"/>
      <c r="O869" s="424"/>
      <c r="P869" s="424"/>
      <c r="Q869" s="424"/>
      <c r="R869" s="424"/>
      <c r="S869" s="424"/>
      <c r="T869" s="424"/>
      <c r="U869" s="424"/>
      <c r="Y869" s="424"/>
      <c r="Z869" s="424"/>
      <c r="AA869" s="424"/>
      <c r="AB869" s="424"/>
      <c r="AC869" s="424"/>
      <c r="AD869" s="424"/>
      <c r="AE869" s="424"/>
      <c r="AF869" s="424"/>
      <c r="AG869" s="424"/>
      <c r="AH869" s="424"/>
      <c r="AI869" s="424"/>
      <c r="AM869" s="424"/>
      <c r="AN869" s="424"/>
      <c r="AO869" s="424"/>
      <c r="AP869" s="424"/>
      <c r="AQ869" s="424"/>
      <c r="AR869" s="424"/>
      <c r="AS869" s="424"/>
      <c r="AT869" s="424"/>
      <c r="AU869" s="424"/>
      <c r="AV869" s="424"/>
      <c r="AW869" s="424"/>
      <c r="AX869" s="424"/>
      <c r="AY869" s="424"/>
    </row>
    <row r="870" spans="2:51">
      <c r="B870" s="424"/>
      <c r="C870" s="424"/>
      <c r="D870" s="424"/>
      <c r="E870" s="424"/>
      <c r="F870" s="424"/>
      <c r="G870" s="424"/>
      <c r="H870" s="424"/>
      <c r="I870" s="424"/>
      <c r="J870" s="424"/>
      <c r="K870" s="424"/>
      <c r="L870" s="424"/>
      <c r="M870" s="424"/>
      <c r="N870" s="424"/>
      <c r="O870" s="424"/>
      <c r="P870" s="424"/>
      <c r="Q870" s="424"/>
      <c r="R870" s="424"/>
      <c r="S870" s="424"/>
      <c r="T870" s="424"/>
      <c r="U870" s="424"/>
      <c r="Y870" s="424"/>
      <c r="Z870" s="424"/>
      <c r="AA870" s="424"/>
      <c r="AB870" s="424"/>
      <c r="AC870" s="424"/>
      <c r="AD870" s="424"/>
      <c r="AE870" s="424"/>
      <c r="AF870" s="424"/>
      <c r="AG870" s="424"/>
      <c r="AH870" s="424"/>
      <c r="AI870" s="424"/>
      <c r="AM870" s="424"/>
      <c r="AN870" s="424"/>
      <c r="AO870" s="424"/>
      <c r="AP870" s="424"/>
      <c r="AQ870" s="424"/>
      <c r="AR870" s="424"/>
      <c r="AS870" s="424"/>
      <c r="AT870" s="424"/>
      <c r="AU870" s="424"/>
      <c r="AV870" s="424"/>
      <c r="AW870" s="424"/>
      <c r="AX870" s="424"/>
      <c r="AY870" s="424"/>
    </row>
    <row r="871" spans="2:51">
      <c r="B871" s="424"/>
      <c r="C871" s="424"/>
      <c r="D871" s="424"/>
      <c r="E871" s="424"/>
      <c r="F871" s="424"/>
      <c r="G871" s="424"/>
      <c r="H871" s="424"/>
      <c r="I871" s="424"/>
      <c r="J871" s="424"/>
      <c r="K871" s="424"/>
      <c r="L871" s="424"/>
      <c r="M871" s="424"/>
      <c r="N871" s="424"/>
      <c r="O871" s="424"/>
      <c r="P871" s="424"/>
      <c r="Q871" s="424"/>
      <c r="R871" s="424"/>
      <c r="S871" s="424"/>
      <c r="T871" s="424"/>
      <c r="U871" s="424"/>
      <c r="Y871" s="424"/>
      <c r="Z871" s="424"/>
      <c r="AA871" s="424"/>
      <c r="AB871" s="424"/>
      <c r="AC871" s="424"/>
      <c r="AD871" s="424"/>
      <c r="AE871" s="424"/>
      <c r="AF871" s="424"/>
      <c r="AG871" s="424"/>
      <c r="AH871" s="424"/>
      <c r="AI871" s="424"/>
      <c r="AM871" s="424"/>
      <c r="AN871" s="424"/>
      <c r="AO871" s="424"/>
      <c r="AP871" s="424"/>
      <c r="AQ871" s="424"/>
      <c r="AR871" s="424"/>
      <c r="AS871" s="424"/>
      <c r="AT871" s="424"/>
      <c r="AU871" s="424"/>
      <c r="AV871" s="424"/>
      <c r="AW871" s="424"/>
      <c r="AX871" s="424"/>
      <c r="AY871" s="424"/>
    </row>
    <row r="872" spans="2:51">
      <c r="B872" s="424"/>
      <c r="C872" s="424"/>
      <c r="D872" s="424"/>
      <c r="E872" s="424"/>
      <c r="F872" s="424"/>
      <c r="G872" s="424"/>
      <c r="H872" s="424"/>
      <c r="I872" s="424"/>
      <c r="J872" s="424"/>
      <c r="K872" s="424"/>
      <c r="L872" s="424"/>
      <c r="M872" s="424"/>
      <c r="N872" s="424"/>
      <c r="O872" s="424"/>
      <c r="P872" s="424"/>
      <c r="Q872" s="424"/>
      <c r="R872" s="424"/>
      <c r="S872" s="424"/>
      <c r="T872" s="424"/>
      <c r="U872" s="424"/>
      <c r="Y872" s="424"/>
      <c r="Z872" s="424"/>
      <c r="AA872" s="424"/>
      <c r="AB872" s="424"/>
      <c r="AC872" s="424"/>
      <c r="AD872" s="424"/>
      <c r="AE872" s="424"/>
      <c r="AF872" s="424"/>
      <c r="AG872" s="424"/>
      <c r="AH872" s="424"/>
      <c r="AI872" s="424"/>
      <c r="AM872" s="424"/>
      <c r="AN872" s="424"/>
      <c r="AO872" s="424"/>
      <c r="AP872" s="424"/>
      <c r="AQ872" s="424"/>
      <c r="AR872" s="424"/>
      <c r="AS872" s="424"/>
      <c r="AT872" s="424"/>
      <c r="AU872" s="424"/>
      <c r="AV872" s="424"/>
      <c r="AW872" s="424"/>
      <c r="AX872" s="424"/>
      <c r="AY872" s="424"/>
    </row>
    <row r="873" spans="2:51">
      <c r="B873" s="424"/>
      <c r="C873" s="424"/>
      <c r="D873" s="424"/>
      <c r="E873" s="424"/>
      <c r="F873" s="424"/>
      <c r="G873" s="424"/>
      <c r="H873" s="424"/>
      <c r="I873" s="424"/>
      <c r="J873" s="424"/>
      <c r="K873" s="424"/>
      <c r="L873" s="424"/>
      <c r="M873" s="424"/>
      <c r="N873" s="424"/>
      <c r="O873" s="424"/>
      <c r="P873" s="424"/>
      <c r="Q873" s="424"/>
      <c r="R873" s="424"/>
      <c r="S873" s="424"/>
      <c r="T873" s="424"/>
      <c r="U873" s="424"/>
      <c r="Y873" s="424"/>
      <c r="Z873" s="424"/>
      <c r="AA873" s="424"/>
      <c r="AB873" s="424"/>
      <c r="AC873" s="424"/>
      <c r="AD873" s="424"/>
      <c r="AE873" s="424"/>
      <c r="AF873" s="424"/>
      <c r="AG873" s="424"/>
      <c r="AH873" s="424"/>
      <c r="AI873" s="424"/>
      <c r="AM873" s="424"/>
      <c r="AN873" s="424"/>
      <c r="AO873" s="424"/>
      <c r="AP873" s="424"/>
      <c r="AQ873" s="424"/>
      <c r="AR873" s="424"/>
      <c r="AS873" s="424"/>
      <c r="AT873" s="424"/>
      <c r="AU873" s="424"/>
      <c r="AV873" s="424"/>
      <c r="AW873" s="424"/>
      <c r="AX873" s="424"/>
      <c r="AY873" s="424"/>
    </row>
    <row r="874" spans="2:51">
      <c r="B874" s="424"/>
      <c r="C874" s="424"/>
      <c r="D874" s="424"/>
      <c r="E874" s="424"/>
      <c r="F874" s="424"/>
      <c r="G874" s="424"/>
      <c r="H874" s="424"/>
      <c r="I874" s="424"/>
      <c r="J874" s="424"/>
      <c r="K874" s="424"/>
      <c r="L874" s="424"/>
      <c r="M874" s="424"/>
      <c r="N874" s="424"/>
      <c r="O874" s="424"/>
      <c r="P874" s="424"/>
      <c r="Q874" s="424"/>
      <c r="R874" s="424"/>
      <c r="S874" s="424"/>
      <c r="T874" s="424"/>
      <c r="U874" s="424"/>
      <c r="Y874" s="424"/>
      <c r="Z874" s="424"/>
      <c r="AA874" s="424"/>
      <c r="AB874" s="424"/>
      <c r="AC874" s="424"/>
      <c r="AD874" s="424"/>
      <c r="AE874" s="424"/>
      <c r="AF874" s="424"/>
      <c r="AG874" s="424"/>
      <c r="AH874" s="424"/>
      <c r="AI874" s="424"/>
      <c r="AM874" s="424"/>
      <c r="AN874" s="424"/>
      <c r="AO874" s="424"/>
      <c r="AP874" s="424"/>
      <c r="AQ874" s="424"/>
      <c r="AR874" s="424"/>
      <c r="AS874" s="424"/>
      <c r="AT874" s="424"/>
      <c r="AU874" s="424"/>
      <c r="AV874" s="424"/>
      <c r="AW874" s="424"/>
      <c r="AX874" s="424"/>
      <c r="AY874" s="424"/>
    </row>
    <row r="875" spans="2:51">
      <c r="B875" s="424"/>
      <c r="C875" s="424"/>
      <c r="D875" s="424"/>
      <c r="E875" s="424"/>
      <c r="F875" s="424"/>
      <c r="G875" s="424"/>
      <c r="H875" s="424"/>
      <c r="I875" s="424"/>
      <c r="J875" s="424"/>
      <c r="K875" s="424"/>
      <c r="L875" s="424"/>
      <c r="M875" s="424"/>
      <c r="N875" s="424"/>
      <c r="O875" s="424"/>
      <c r="P875" s="424"/>
      <c r="Q875" s="424"/>
      <c r="R875" s="424"/>
      <c r="S875" s="424"/>
      <c r="T875" s="424"/>
      <c r="U875" s="424"/>
      <c r="Y875" s="424"/>
      <c r="Z875" s="424"/>
      <c r="AA875" s="424"/>
      <c r="AB875" s="424"/>
      <c r="AC875" s="424"/>
      <c r="AD875" s="424"/>
      <c r="AE875" s="424"/>
      <c r="AF875" s="424"/>
      <c r="AG875" s="424"/>
      <c r="AH875" s="424"/>
      <c r="AI875" s="424"/>
      <c r="AM875" s="424"/>
      <c r="AN875" s="424"/>
      <c r="AO875" s="424"/>
      <c r="AP875" s="424"/>
      <c r="AQ875" s="424"/>
      <c r="AR875" s="424"/>
      <c r="AS875" s="424"/>
      <c r="AT875" s="424"/>
      <c r="AU875" s="424"/>
      <c r="AV875" s="424"/>
      <c r="AW875" s="424"/>
      <c r="AX875" s="424"/>
      <c r="AY875" s="424"/>
    </row>
    <row r="876" spans="2:51">
      <c r="B876" s="424"/>
      <c r="C876" s="424"/>
      <c r="D876" s="424"/>
      <c r="E876" s="424"/>
      <c r="F876" s="424"/>
      <c r="G876" s="424"/>
      <c r="H876" s="424"/>
      <c r="I876" s="424"/>
      <c r="J876" s="424"/>
      <c r="K876" s="424"/>
      <c r="L876" s="424"/>
      <c r="M876" s="424"/>
      <c r="N876" s="424"/>
      <c r="O876" s="424"/>
      <c r="P876" s="424"/>
      <c r="Q876" s="424"/>
      <c r="R876" s="424"/>
      <c r="S876" s="424"/>
      <c r="T876" s="424"/>
      <c r="U876" s="424"/>
      <c r="Y876" s="424"/>
      <c r="Z876" s="424"/>
      <c r="AA876" s="424"/>
      <c r="AB876" s="424"/>
      <c r="AC876" s="424"/>
      <c r="AD876" s="424"/>
      <c r="AE876" s="424"/>
      <c r="AF876" s="424"/>
      <c r="AG876" s="424"/>
      <c r="AH876" s="424"/>
      <c r="AI876" s="424"/>
      <c r="AM876" s="424"/>
      <c r="AN876" s="424"/>
      <c r="AO876" s="424"/>
      <c r="AP876" s="424"/>
      <c r="AQ876" s="424"/>
      <c r="AR876" s="424"/>
      <c r="AS876" s="424"/>
      <c r="AT876" s="424"/>
      <c r="AU876" s="424"/>
      <c r="AV876" s="424"/>
      <c r="AW876" s="424"/>
      <c r="AX876" s="424"/>
      <c r="AY876" s="424"/>
    </row>
    <row r="877" spans="2:51">
      <c r="B877" s="424"/>
      <c r="C877" s="424"/>
      <c r="D877" s="424"/>
      <c r="E877" s="424"/>
      <c r="F877" s="424"/>
      <c r="G877" s="424"/>
      <c r="H877" s="424"/>
      <c r="I877" s="424"/>
      <c r="J877" s="424"/>
      <c r="K877" s="424"/>
      <c r="L877" s="424"/>
      <c r="M877" s="424"/>
      <c r="N877" s="424"/>
      <c r="O877" s="424"/>
      <c r="P877" s="424"/>
      <c r="Q877" s="424"/>
      <c r="R877" s="424"/>
      <c r="S877" s="424"/>
      <c r="T877" s="424"/>
      <c r="U877" s="424"/>
      <c r="Y877" s="424"/>
      <c r="Z877" s="424"/>
      <c r="AA877" s="424"/>
      <c r="AB877" s="424"/>
      <c r="AC877" s="424"/>
      <c r="AD877" s="424"/>
      <c r="AE877" s="424"/>
      <c r="AF877" s="424"/>
      <c r="AG877" s="424"/>
      <c r="AH877" s="424"/>
      <c r="AI877" s="424"/>
      <c r="AM877" s="424"/>
      <c r="AN877" s="424"/>
      <c r="AO877" s="424"/>
      <c r="AP877" s="424"/>
      <c r="AQ877" s="424"/>
      <c r="AR877" s="424"/>
      <c r="AS877" s="424"/>
      <c r="AT877" s="424"/>
      <c r="AU877" s="424"/>
      <c r="AV877" s="424"/>
      <c r="AW877" s="424"/>
      <c r="AX877" s="424"/>
      <c r="AY877" s="424"/>
    </row>
    <row r="878" spans="2:51">
      <c r="B878" s="424"/>
      <c r="C878" s="424"/>
      <c r="D878" s="424"/>
      <c r="E878" s="424"/>
      <c r="F878" s="424"/>
      <c r="G878" s="424"/>
      <c r="H878" s="424"/>
      <c r="I878" s="424"/>
      <c r="J878" s="424"/>
      <c r="K878" s="424"/>
      <c r="L878" s="424"/>
      <c r="M878" s="424"/>
      <c r="N878" s="424"/>
      <c r="O878" s="424"/>
      <c r="P878" s="424"/>
      <c r="Q878" s="424"/>
      <c r="R878" s="424"/>
      <c r="S878" s="424"/>
      <c r="T878" s="424"/>
      <c r="U878" s="424"/>
      <c r="Y878" s="424"/>
      <c r="Z878" s="424"/>
      <c r="AA878" s="424"/>
      <c r="AB878" s="424"/>
      <c r="AC878" s="424"/>
      <c r="AD878" s="424"/>
      <c r="AE878" s="424"/>
      <c r="AF878" s="424"/>
      <c r="AG878" s="424"/>
      <c r="AH878" s="424"/>
      <c r="AI878" s="424"/>
      <c r="AM878" s="424"/>
      <c r="AN878" s="424"/>
      <c r="AO878" s="424"/>
      <c r="AP878" s="424"/>
      <c r="AQ878" s="424"/>
      <c r="AR878" s="424"/>
      <c r="AS878" s="424"/>
      <c r="AT878" s="424"/>
      <c r="AU878" s="424"/>
      <c r="AV878" s="424"/>
      <c r="AW878" s="424"/>
      <c r="AX878" s="424"/>
      <c r="AY878" s="424"/>
    </row>
    <row r="879" spans="2:51">
      <c r="B879" s="424"/>
      <c r="C879" s="424"/>
      <c r="D879" s="424"/>
      <c r="E879" s="424"/>
      <c r="F879" s="424"/>
      <c r="G879" s="424"/>
      <c r="H879" s="424"/>
      <c r="I879" s="424"/>
      <c r="J879" s="424"/>
      <c r="K879" s="424"/>
      <c r="L879" s="424"/>
      <c r="M879" s="424"/>
      <c r="N879" s="424"/>
      <c r="O879" s="424"/>
      <c r="P879" s="424"/>
      <c r="Q879" s="424"/>
      <c r="R879" s="424"/>
      <c r="S879" s="424"/>
      <c r="T879" s="424"/>
      <c r="U879" s="424"/>
      <c r="Y879" s="424"/>
      <c r="Z879" s="424"/>
      <c r="AA879" s="424"/>
      <c r="AB879" s="424"/>
      <c r="AC879" s="424"/>
      <c r="AD879" s="424"/>
      <c r="AE879" s="424"/>
      <c r="AF879" s="424"/>
      <c r="AG879" s="424"/>
      <c r="AH879" s="424"/>
      <c r="AI879" s="424"/>
      <c r="AM879" s="424"/>
      <c r="AN879" s="424"/>
      <c r="AO879" s="424"/>
      <c r="AP879" s="424"/>
      <c r="AQ879" s="424"/>
      <c r="AR879" s="424"/>
      <c r="AS879" s="424"/>
      <c r="AT879" s="424"/>
      <c r="AU879" s="424"/>
      <c r="AV879" s="424"/>
      <c r="AW879" s="424"/>
      <c r="AX879" s="424"/>
      <c r="AY879" s="424"/>
    </row>
    <row r="880" spans="2:51">
      <c r="B880" s="424"/>
      <c r="C880" s="424"/>
      <c r="D880" s="424"/>
      <c r="E880" s="424"/>
      <c r="F880" s="424"/>
      <c r="G880" s="424"/>
      <c r="H880" s="424"/>
      <c r="I880" s="424"/>
      <c r="J880" s="424"/>
      <c r="K880" s="424"/>
      <c r="L880" s="424"/>
      <c r="M880" s="424"/>
      <c r="N880" s="424"/>
      <c r="O880" s="424"/>
      <c r="P880" s="424"/>
      <c r="Q880" s="424"/>
      <c r="R880" s="424"/>
      <c r="S880" s="424"/>
      <c r="T880" s="424"/>
      <c r="U880" s="424"/>
      <c r="Y880" s="424"/>
      <c r="Z880" s="424"/>
      <c r="AA880" s="424"/>
      <c r="AB880" s="424"/>
      <c r="AC880" s="424"/>
      <c r="AD880" s="424"/>
      <c r="AE880" s="424"/>
      <c r="AF880" s="424"/>
      <c r="AG880" s="424"/>
      <c r="AH880" s="424"/>
      <c r="AI880" s="424"/>
      <c r="AM880" s="424"/>
      <c r="AN880" s="424"/>
      <c r="AO880" s="424"/>
      <c r="AP880" s="424"/>
      <c r="AQ880" s="424"/>
      <c r="AR880" s="424"/>
      <c r="AS880" s="424"/>
      <c r="AT880" s="424"/>
      <c r="AU880" s="424"/>
      <c r="AV880" s="424"/>
      <c r="AW880" s="424"/>
      <c r="AX880" s="424"/>
      <c r="AY880" s="424"/>
    </row>
    <row r="881" spans="2:51">
      <c r="B881" s="424"/>
      <c r="C881" s="424"/>
      <c r="D881" s="424"/>
      <c r="E881" s="424"/>
      <c r="F881" s="424"/>
      <c r="G881" s="424"/>
      <c r="H881" s="424"/>
      <c r="I881" s="424"/>
      <c r="J881" s="424"/>
      <c r="K881" s="424"/>
      <c r="L881" s="424"/>
      <c r="M881" s="424"/>
      <c r="N881" s="424"/>
      <c r="O881" s="424"/>
      <c r="P881" s="424"/>
      <c r="Q881" s="424"/>
      <c r="R881" s="424"/>
      <c r="S881" s="424"/>
      <c r="T881" s="424"/>
      <c r="U881" s="424"/>
      <c r="Y881" s="424"/>
      <c r="Z881" s="424"/>
      <c r="AA881" s="424"/>
      <c r="AB881" s="424"/>
      <c r="AC881" s="424"/>
      <c r="AD881" s="424"/>
      <c r="AE881" s="424"/>
      <c r="AF881" s="424"/>
      <c r="AG881" s="424"/>
      <c r="AH881" s="424"/>
      <c r="AI881" s="424"/>
      <c r="AM881" s="424"/>
      <c r="AN881" s="424"/>
      <c r="AO881" s="424"/>
      <c r="AP881" s="424"/>
      <c r="AQ881" s="424"/>
      <c r="AR881" s="424"/>
      <c r="AS881" s="424"/>
      <c r="AT881" s="424"/>
      <c r="AU881" s="424"/>
      <c r="AV881" s="424"/>
      <c r="AW881" s="424"/>
      <c r="AX881" s="424"/>
      <c r="AY881" s="424"/>
    </row>
    <row r="882" spans="2:51">
      <c r="B882" s="424"/>
      <c r="C882" s="424"/>
      <c r="D882" s="424"/>
      <c r="E882" s="424"/>
      <c r="F882" s="424"/>
      <c r="G882" s="424"/>
      <c r="H882" s="424"/>
      <c r="I882" s="424"/>
      <c r="J882" s="424"/>
      <c r="K882" s="424"/>
      <c r="L882" s="424"/>
      <c r="M882" s="424"/>
      <c r="N882" s="424"/>
      <c r="O882" s="424"/>
      <c r="P882" s="424"/>
      <c r="Q882" s="424"/>
      <c r="R882" s="424"/>
      <c r="S882" s="424"/>
      <c r="T882" s="424"/>
      <c r="U882" s="424"/>
      <c r="Y882" s="424"/>
      <c r="Z882" s="424"/>
      <c r="AA882" s="424"/>
      <c r="AB882" s="424"/>
      <c r="AC882" s="424"/>
      <c r="AD882" s="424"/>
      <c r="AE882" s="424"/>
      <c r="AF882" s="424"/>
      <c r="AG882" s="424"/>
      <c r="AH882" s="424"/>
      <c r="AI882" s="424"/>
      <c r="AM882" s="424"/>
      <c r="AN882" s="424"/>
      <c r="AO882" s="424"/>
      <c r="AP882" s="424"/>
      <c r="AQ882" s="424"/>
      <c r="AR882" s="424"/>
      <c r="AS882" s="424"/>
      <c r="AT882" s="424"/>
      <c r="AU882" s="424"/>
      <c r="AV882" s="424"/>
      <c r="AW882" s="424"/>
      <c r="AX882" s="424"/>
      <c r="AY882" s="424"/>
    </row>
    <row r="883" spans="2:51">
      <c r="B883" s="424"/>
      <c r="C883" s="424"/>
      <c r="D883" s="424"/>
      <c r="E883" s="424"/>
      <c r="F883" s="424"/>
      <c r="G883" s="424"/>
      <c r="H883" s="424"/>
      <c r="I883" s="424"/>
      <c r="J883" s="424"/>
      <c r="K883" s="424"/>
      <c r="L883" s="424"/>
      <c r="M883" s="424"/>
      <c r="N883" s="424"/>
      <c r="O883" s="424"/>
      <c r="P883" s="424"/>
      <c r="Q883" s="424"/>
      <c r="R883" s="424"/>
      <c r="S883" s="424"/>
      <c r="T883" s="424"/>
      <c r="U883" s="424"/>
      <c r="Y883" s="424"/>
      <c r="Z883" s="424"/>
      <c r="AA883" s="424"/>
      <c r="AB883" s="424"/>
      <c r="AC883" s="424"/>
      <c r="AD883" s="424"/>
      <c r="AE883" s="424"/>
      <c r="AF883" s="424"/>
      <c r="AG883" s="424"/>
      <c r="AH883" s="424"/>
      <c r="AI883" s="424"/>
      <c r="AM883" s="424"/>
      <c r="AN883" s="424"/>
      <c r="AO883" s="424"/>
      <c r="AP883" s="424"/>
      <c r="AQ883" s="424"/>
      <c r="AR883" s="424"/>
      <c r="AS883" s="424"/>
      <c r="AT883" s="424"/>
      <c r="AU883" s="424"/>
      <c r="AV883" s="424"/>
      <c r="AW883" s="424"/>
      <c r="AX883" s="424"/>
      <c r="AY883" s="424"/>
    </row>
    <row r="884" spans="2:51">
      <c r="B884" s="424"/>
      <c r="C884" s="424"/>
      <c r="D884" s="424"/>
      <c r="E884" s="424"/>
      <c r="F884" s="424"/>
      <c r="G884" s="424"/>
      <c r="H884" s="424"/>
      <c r="I884" s="424"/>
      <c r="J884" s="424"/>
      <c r="K884" s="424"/>
      <c r="L884" s="424"/>
      <c r="M884" s="424"/>
      <c r="N884" s="424"/>
      <c r="O884" s="424"/>
      <c r="P884" s="424"/>
      <c r="Q884" s="424"/>
      <c r="R884" s="424"/>
      <c r="S884" s="424"/>
      <c r="T884" s="424"/>
      <c r="U884" s="424"/>
      <c r="Y884" s="424"/>
      <c r="Z884" s="424"/>
      <c r="AA884" s="424"/>
      <c r="AB884" s="424"/>
      <c r="AC884" s="424"/>
      <c r="AD884" s="424"/>
      <c r="AE884" s="424"/>
      <c r="AF884" s="424"/>
      <c r="AG884" s="424"/>
      <c r="AH884" s="424"/>
      <c r="AI884" s="424"/>
      <c r="AM884" s="424"/>
      <c r="AN884" s="424"/>
      <c r="AO884" s="424"/>
      <c r="AP884" s="424"/>
      <c r="AQ884" s="424"/>
      <c r="AR884" s="424"/>
      <c r="AS884" s="424"/>
      <c r="AT884" s="424"/>
      <c r="AU884" s="424"/>
      <c r="AV884" s="424"/>
      <c r="AW884" s="424"/>
      <c r="AX884" s="424"/>
      <c r="AY884" s="424"/>
    </row>
    <row r="885" spans="2:51">
      <c r="B885" s="424"/>
      <c r="C885" s="424"/>
      <c r="D885" s="424"/>
      <c r="E885" s="424"/>
      <c r="F885" s="424"/>
      <c r="G885" s="424"/>
      <c r="H885" s="424"/>
      <c r="I885" s="424"/>
      <c r="J885" s="424"/>
      <c r="K885" s="424"/>
      <c r="L885" s="424"/>
      <c r="M885" s="424"/>
      <c r="N885" s="424"/>
      <c r="O885" s="424"/>
      <c r="P885" s="424"/>
      <c r="Q885" s="424"/>
      <c r="R885" s="424"/>
      <c r="S885" s="424"/>
      <c r="T885" s="424"/>
      <c r="U885" s="424"/>
      <c r="Y885" s="424"/>
      <c r="Z885" s="424"/>
      <c r="AA885" s="424"/>
      <c r="AB885" s="424"/>
      <c r="AC885" s="424"/>
      <c r="AD885" s="424"/>
      <c r="AE885" s="424"/>
      <c r="AF885" s="424"/>
      <c r="AG885" s="424"/>
      <c r="AH885" s="424"/>
      <c r="AI885" s="424"/>
      <c r="AM885" s="424"/>
      <c r="AN885" s="424"/>
      <c r="AO885" s="424"/>
      <c r="AP885" s="424"/>
      <c r="AQ885" s="424"/>
      <c r="AR885" s="424"/>
      <c r="AS885" s="424"/>
      <c r="AT885" s="424"/>
      <c r="AU885" s="424"/>
      <c r="AV885" s="424"/>
      <c r="AW885" s="424"/>
      <c r="AX885" s="424"/>
      <c r="AY885" s="424"/>
    </row>
    <row r="886" spans="2:51">
      <c r="B886" s="424"/>
      <c r="C886" s="424"/>
      <c r="D886" s="424"/>
      <c r="E886" s="424"/>
      <c r="F886" s="424"/>
      <c r="G886" s="424"/>
      <c r="H886" s="424"/>
      <c r="I886" s="424"/>
      <c r="J886" s="424"/>
      <c r="K886" s="424"/>
      <c r="L886" s="424"/>
      <c r="M886" s="424"/>
      <c r="N886" s="424"/>
      <c r="O886" s="424"/>
      <c r="P886" s="424"/>
      <c r="Q886" s="424"/>
      <c r="R886" s="424"/>
      <c r="S886" s="424"/>
      <c r="T886" s="424"/>
      <c r="U886" s="424"/>
      <c r="Y886" s="424"/>
      <c r="Z886" s="424"/>
      <c r="AA886" s="424"/>
      <c r="AB886" s="424"/>
      <c r="AC886" s="424"/>
      <c r="AD886" s="424"/>
      <c r="AE886" s="424"/>
      <c r="AF886" s="424"/>
      <c r="AG886" s="424"/>
      <c r="AH886" s="424"/>
      <c r="AI886" s="424"/>
      <c r="AM886" s="424"/>
      <c r="AN886" s="424"/>
      <c r="AO886" s="424"/>
      <c r="AP886" s="424"/>
      <c r="AQ886" s="424"/>
      <c r="AR886" s="424"/>
      <c r="AS886" s="424"/>
      <c r="AT886" s="424"/>
      <c r="AU886" s="424"/>
      <c r="AV886" s="424"/>
      <c r="AW886" s="424"/>
      <c r="AX886" s="424"/>
      <c r="AY886" s="424"/>
    </row>
    <row r="887" spans="2:51">
      <c r="B887" s="424"/>
      <c r="C887" s="424"/>
      <c r="D887" s="424"/>
      <c r="E887" s="424"/>
      <c r="F887" s="424"/>
      <c r="G887" s="424"/>
      <c r="H887" s="424"/>
      <c r="I887" s="424"/>
      <c r="J887" s="424"/>
      <c r="K887" s="424"/>
      <c r="L887" s="424"/>
      <c r="M887" s="424"/>
      <c r="N887" s="424"/>
      <c r="O887" s="424"/>
      <c r="P887" s="424"/>
      <c r="Q887" s="424"/>
      <c r="R887" s="424"/>
      <c r="S887" s="424"/>
      <c r="T887" s="424"/>
      <c r="U887" s="424"/>
      <c r="Y887" s="424"/>
      <c r="Z887" s="424"/>
      <c r="AA887" s="424"/>
      <c r="AB887" s="424"/>
      <c r="AC887" s="424"/>
      <c r="AD887" s="424"/>
      <c r="AE887" s="424"/>
      <c r="AF887" s="424"/>
      <c r="AG887" s="424"/>
      <c r="AH887" s="424"/>
      <c r="AI887" s="424"/>
      <c r="AM887" s="424"/>
      <c r="AN887" s="424"/>
      <c r="AO887" s="424"/>
      <c r="AP887" s="424"/>
      <c r="AQ887" s="424"/>
      <c r="AR887" s="424"/>
      <c r="AS887" s="424"/>
      <c r="AT887" s="424"/>
      <c r="AU887" s="424"/>
      <c r="AV887" s="424"/>
      <c r="AW887" s="424"/>
      <c r="AX887" s="424"/>
      <c r="AY887" s="424"/>
    </row>
    <row r="888" spans="2:51">
      <c r="B888" s="424"/>
      <c r="C888" s="424"/>
      <c r="D888" s="424"/>
      <c r="E888" s="424"/>
      <c r="F888" s="424"/>
      <c r="G888" s="424"/>
      <c r="H888" s="424"/>
      <c r="I888" s="424"/>
      <c r="J888" s="424"/>
      <c r="K888" s="424"/>
      <c r="L888" s="424"/>
      <c r="M888" s="424"/>
      <c r="N888" s="424"/>
      <c r="O888" s="424"/>
      <c r="P888" s="424"/>
      <c r="Q888" s="424"/>
      <c r="R888" s="424"/>
      <c r="S888" s="424"/>
      <c r="T888" s="424"/>
      <c r="U888" s="424"/>
      <c r="Y888" s="424"/>
      <c r="Z888" s="424"/>
      <c r="AA888" s="424"/>
      <c r="AB888" s="424"/>
      <c r="AC888" s="424"/>
      <c r="AD888" s="424"/>
      <c r="AE888" s="424"/>
      <c r="AF888" s="424"/>
      <c r="AG888" s="424"/>
      <c r="AH888" s="424"/>
      <c r="AI888" s="424"/>
      <c r="AM888" s="424"/>
      <c r="AN888" s="424"/>
      <c r="AO888" s="424"/>
      <c r="AP888" s="424"/>
      <c r="AQ888" s="424"/>
      <c r="AR888" s="424"/>
      <c r="AS888" s="424"/>
      <c r="AT888" s="424"/>
      <c r="AU888" s="424"/>
      <c r="AV888" s="424"/>
      <c r="AW888" s="424"/>
      <c r="AX888" s="424"/>
      <c r="AY888" s="424"/>
    </row>
    <row r="889" spans="2:51">
      <c r="B889" s="424"/>
      <c r="C889" s="424"/>
      <c r="D889" s="424"/>
      <c r="E889" s="424"/>
      <c r="F889" s="424"/>
      <c r="G889" s="424"/>
      <c r="H889" s="424"/>
      <c r="I889" s="424"/>
      <c r="J889" s="424"/>
      <c r="K889" s="424"/>
      <c r="L889" s="424"/>
      <c r="M889" s="424"/>
      <c r="N889" s="424"/>
      <c r="O889" s="424"/>
      <c r="P889" s="424"/>
      <c r="Q889" s="424"/>
      <c r="R889" s="424"/>
      <c r="S889" s="424"/>
      <c r="T889" s="424"/>
      <c r="U889" s="424"/>
      <c r="Y889" s="424"/>
      <c r="Z889" s="424"/>
      <c r="AA889" s="424"/>
      <c r="AB889" s="424"/>
      <c r="AC889" s="424"/>
      <c r="AD889" s="424"/>
      <c r="AE889" s="424"/>
      <c r="AF889" s="424"/>
      <c r="AG889" s="424"/>
      <c r="AH889" s="424"/>
      <c r="AI889" s="424"/>
      <c r="AM889" s="424"/>
      <c r="AN889" s="424"/>
      <c r="AO889" s="424"/>
      <c r="AP889" s="424"/>
      <c r="AQ889" s="424"/>
      <c r="AR889" s="424"/>
      <c r="AS889" s="424"/>
      <c r="AT889" s="424"/>
      <c r="AU889" s="424"/>
      <c r="AV889" s="424"/>
      <c r="AW889" s="424"/>
      <c r="AX889" s="424"/>
      <c r="AY889" s="424"/>
    </row>
    <row r="890" spans="2:51">
      <c r="B890" s="424"/>
      <c r="C890" s="424"/>
      <c r="D890" s="424"/>
      <c r="E890" s="424"/>
      <c r="F890" s="424"/>
      <c r="G890" s="424"/>
      <c r="H890" s="424"/>
      <c r="I890" s="424"/>
      <c r="J890" s="424"/>
      <c r="K890" s="424"/>
      <c r="L890" s="424"/>
      <c r="M890" s="424"/>
      <c r="N890" s="424"/>
      <c r="O890" s="424"/>
      <c r="P890" s="424"/>
      <c r="Q890" s="424"/>
      <c r="R890" s="424"/>
      <c r="S890" s="424"/>
      <c r="T890" s="424"/>
      <c r="U890" s="424"/>
      <c r="Y890" s="424"/>
      <c r="Z890" s="424"/>
      <c r="AA890" s="424"/>
      <c r="AB890" s="424"/>
      <c r="AC890" s="424"/>
      <c r="AD890" s="424"/>
      <c r="AE890" s="424"/>
      <c r="AF890" s="424"/>
      <c r="AG890" s="424"/>
      <c r="AH890" s="424"/>
      <c r="AI890" s="424"/>
      <c r="AM890" s="424"/>
      <c r="AN890" s="424"/>
      <c r="AO890" s="424"/>
      <c r="AP890" s="424"/>
      <c r="AQ890" s="424"/>
      <c r="AR890" s="424"/>
      <c r="AS890" s="424"/>
      <c r="AT890" s="424"/>
      <c r="AU890" s="424"/>
      <c r="AV890" s="424"/>
      <c r="AW890" s="424"/>
      <c r="AX890" s="424"/>
      <c r="AY890" s="424"/>
    </row>
    <row r="891" spans="2:51">
      <c r="B891" s="424"/>
      <c r="C891" s="424"/>
      <c r="D891" s="424"/>
      <c r="E891" s="424"/>
      <c r="F891" s="424"/>
      <c r="G891" s="424"/>
      <c r="H891" s="424"/>
      <c r="I891" s="424"/>
      <c r="J891" s="424"/>
      <c r="K891" s="424"/>
      <c r="L891" s="424"/>
      <c r="M891" s="424"/>
      <c r="N891" s="424"/>
      <c r="O891" s="424"/>
      <c r="P891" s="424"/>
      <c r="Q891" s="424"/>
      <c r="R891" s="424"/>
      <c r="S891" s="424"/>
      <c r="T891" s="424"/>
      <c r="U891" s="424"/>
      <c r="Y891" s="424"/>
      <c r="Z891" s="424"/>
      <c r="AA891" s="424"/>
      <c r="AB891" s="424"/>
      <c r="AC891" s="424"/>
      <c r="AD891" s="424"/>
      <c r="AE891" s="424"/>
      <c r="AF891" s="424"/>
      <c r="AG891" s="424"/>
      <c r="AH891" s="424"/>
      <c r="AI891" s="424"/>
      <c r="AM891" s="424"/>
      <c r="AN891" s="424"/>
      <c r="AO891" s="424"/>
      <c r="AP891" s="424"/>
      <c r="AQ891" s="424"/>
      <c r="AR891" s="424"/>
      <c r="AS891" s="424"/>
      <c r="AT891" s="424"/>
      <c r="AU891" s="424"/>
      <c r="AV891" s="424"/>
      <c r="AW891" s="424"/>
      <c r="AX891" s="424"/>
      <c r="AY891" s="424"/>
    </row>
    <row r="892" spans="2:51">
      <c r="B892" s="424"/>
      <c r="C892" s="424"/>
      <c r="D892" s="424"/>
      <c r="E892" s="424"/>
      <c r="F892" s="424"/>
      <c r="G892" s="424"/>
      <c r="H892" s="424"/>
      <c r="I892" s="424"/>
      <c r="J892" s="424"/>
      <c r="K892" s="424"/>
      <c r="L892" s="424"/>
      <c r="M892" s="424"/>
      <c r="N892" s="424"/>
      <c r="O892" s="424"/>
      <c r="P892" s="424"/>
      <c r="Q892" s="424"/>
      <c r="R892" s="424"/>
      <c r="S892" s="424"/>
      <c r="T892" s="424"/>
      <c r="U892" s="424"/>
      <c r="Y892" s="424"/>
      <c r="Z892" s="424"/>
      <c r="AA892" s="424"/>
      <c r="AB892" s="424"/>
      <c r="AC892" s="424"/>
      <c r="AD892" s="424"/>
      <c r="AE892" s="424"/>
      <c r="AF892" s="424"/>
      <c r="AG892" s="424"/>
      <c r="AH892" s="424"/>
      <c r="AI892" s="424"/>
      <c r="AM892" s="424"/>
      <c r="AN892" s="424"/>
      <c r="AO892" s="424"/>
      <c r="AP892" s="424"/>
      <c r="AQ892" s="424"/>
      <c r="AR892" s="424"/>
      <c r="AS892" s="424"/>
      <c r="AT892" s="424"/>
      <c r="AU892" s="424"/>
      <c r="AV892" s="424"/>
      <c r="AW892" s="424"/>
      <c r="AX892" s="424"/>
      <c r="AY892" s="424"/>
    </row>
    <row r="893" spans="2:51">
      <c r="B893" s="424"/>
      <c r="C893" s="424"/>
      <c r="D893" s="424"/>
      <c r="E893" s="424"/>
      <c r="F893" s="424"/>
      <c r="G893" s="424"/>
      <c r="H893" s="424"/>
      <c r="I893" s="424"/>
      <c r="J893" s="424"/>
      <c r="K893" s="424"/>
      <c r="L893" s="424"/>
      <c r="M893" s="424"/>
      <c r="N893" s="424"/>
      <c r="O893" s="424"/>
      <c r="P893" s="424"/>
      <c r="Q893" s="424"/>
      <c r="R893" s="424"/>
      <c r="S893" s="424"/>
      <c r="T893" s="424"/>
      <c r="U893" s="424"/>
      <c r="Y893" s="424"/>
      <c r="Z893" s="424"/>
      <c r="AA893" s="424"/>
      <c r="AB893" s="424"/>
      <c r="AC893" s="424"/>
      <c r="AD893" s="424"/>
      <c r="AE893" s="424"/>
      <c r="AF893" s="424"/>
      <c r="AG893" s="424"/>
      <c r="AH893" s="424"/>
      <c r="AI893" s="424"/>
      <c r="AM893" s="424"/>
      <c r="AN893" s="424"/>
      <c r="AO893" s="424"/>
      <c r="AP893" s="424"/>
      <c r="AQ893" s="424"/>
      <c r="AR893" s="424"/>
      <c r="AS893" s="424"/>
      <c r="AT893" s="424"/>
      <c r="AU893" s="424"/>
      <c r="AV893" s="424"/>
      <c r="AW893" s="424"/>
      <c r="AX893" s="424"/>
      <c r="AY893" s="424"/>
    </row>
    <row r="894" spans="2:51">
      <c r="B894" s="424"/>
      <c r="C894" s="424"/>
      <c r="D894" s="424"/>
      <c r="E894" s="424"/>
      <c r="F894" s="424"/>
      <c r="G894" s="424"/>
      <c r="H894" s="424"/>
      <c r="I894" s="424"/>
      <c r="J894" s="424"/>
      <c r="K894" s="424"/>
      <c r="L894" s="424"/>
      <c r="M894" s="424"/>
      <c r="N894" s="424"/>
      <c r="O894" s="424"/>
      <c r="P894" s="424"/>
      <c r="Q894" s="424"/>
      <c r="R894" s="424"/>
      <c r="S894" s="424"/>
      <c r="T894" s="424"/>
      <c r="U894" s="424"/>
      <c r="Y894" s="424"/>
      <c r="Z894" s="424"/>
      <c r="AA894" s="424"/>
      <c r="AB894" s="424"/>
      <c r="AC894" s="424"/>
      <c r="AD894" s="424"/>
      <c r="AE894" s="424"/>
      <c r="AF894" s="424"/>
      <c r="AG894" s="424"/>
      <c r="AH894" s="424"/>
      <c r="AI894" s="424"/>
      <c r="AM894" s="424"/>
      <c r="AN894" s="424"/>
      <c r="AO894" s="424"/>
      <c r="AP894" s="424"/>
      <c r="AQ894" s="424"/>
      <c r="AR894" s="424"/>
      <c r="AS894" s="424"/>
      <c r="AT894" s="424"/>
      <c r="AU894" s="424"/>
      <c r="AV894" s="424"/>
      <c r="AW894" s="424"/>
      <c r="AX894" s="424"/>
      <c r="AY894" s="424"/>
    </row>
    <row r="895" spans="2:51">
      <c r="B895" s="424"/>
      <c r="C895" s="424"/>
      <c r="D895" s="424"/>
      <c r="E895" s="424"/>
      <c r="F895" s="424"/>
      <c r="G895" s="424"/>
      <c r="H895" s="424"/>
      <c r="I895" s="424"/>
      <c r="J895" s="424"/>
      <c r="K895" s="424"/>
      <c r="L895" s="424"/>
      <c r="M895" s="424"/>
      <c r="N895" s="424"/>
      <c r="O895" s="424"/>
      <c r="P895" s="424"/>
      <c r="Q895" s="424"/>
      <c r="R895" s="424"/>
      <c r="S895" s="424"/>
      <c r="T895" s="424"/>
      <c r="U895" s="424"/>
      <c r="Y895" s="424"/>
      <c r="Z895" s="424"/>
      <c r="AA895" s="424"/>
      <c r="AB895" s="424"/>
      <c r="AC895" s="424"/>
      <c r="AD895" s="424"/>
      <c r="AE895" s="424"/>
      <c r="AF895" s="424"/>
      <c r="AG895" s="424"/>
      <c r="AH895" s="424"/>
      <c r="AI895" s="424"/>
      <c r="AM895" s="424"/>
      <c r="AN895" s="424"/>
      <c r="AO895" s="424"/>
      <c r="AP895" s="424"/>
      <c r="AQ895" s="424"/>
      <c r="AR895" s="424"/>
      <c r="AS895" s="424"/>
      <c r="AT895" s="424"/>
      <c r="AU895" s="424"/>
      <c r="AV895" s="424"/>
      <c r="AW895" s="424"/>
      <c r="AX895" s="424"/>
      <c r="AY895" s="424"/>
    </row>
    <row r="896" spans="2:51">
      <c r="B896" s="424"/>
      <c r="C896" s="424"/>
      <c r="D896" s="424"/>
      <c r="E896" s="424"/>
      <c r="F896" s="424"/>
      <c r="G896" s="424"/>
      <c r="H896" s="424"/>
      <c r="I896" s="424"/>
      <c r="J896" s="424"/>
      <c r="K896" s="424"/>
      <c r="L896" s="424"/>
      <c r="M896" s="424"/>
      <c r="N896" s="424"/>
      <c r="O896" s="424"/>
      <c r="P896" s="424"/>
      <c r="Q896" s="424"/>
      <c r="R896" s="424"/>
      <c r="S896" s="424"/>
      <c r="T896" s="424"/>
      <c r="U896" s="424"/>
      <c r="Y896" s="424"/>
      <c r="Z896" s="424"/>
      <c r="AA896" s="424"/>
      <c r="AB896" s="424"/>
      <c r="AC896" s="424"/>
      <c r="AD896" s="424"/>
      <c r="AE896" s="424"/>
      <c r="AF896" s="424"/>
      <c r="AG896" s="424"/>
      <c r="AH896" s="424"/>
      <c r="AI896" s="424"/>
      <c r="AM896" s="424"/>
      <c r="AN896" s="424"/>
      <c r="AO896" s="424"/>
      <c r="AP896" s="424"/>
      <c r="AQ896" s="424"/>
      <c r="AR896" s="424"/>
      <c r="AS896" s="424"/>
      <c r="AT896" s="424"/>
      <c r="AU896" s="424"/>
      <c r="AV896" s="424"/>
      <c r="AW896" s="424"/>
      <c r="AX896" s="424"/>
      <c r="AY896" s="424"/>
    </row>
    <row r="897" spans="2:51">
      <c r="B897" s="424"/>
      <c r="C897" s="424"/>
      <c r="D897" s="424"/>
      <c r="E897" s="424"/>
      <c r="F897" s="424"/>
      <c r="G897" s="424"/>
      <c r="H897" s="424"/>
      <c r="I897" s="424"/>
      <c r="J897" s="424"/>
      <c r="K897" s="424"/>
      <c r="L897" s="424"/>
      <c r="M897" s="424"/>
      <c r="N897" s="424"/>
      <c r="O897" s="424"/>
      <c r="P897" s="424"/>
      <c r="Q897" s="424"/>
      <c r="R897" s="424"/>
      <c r="S897" s="424"/>
      <c r="T897" s="424"/>
      <c r="U897" s="424"/>
      <c r="Y897" s="424"/>
      <c r="Z897" s="424"/>
      <c r="AA897" s="424"/>
      <c r="AB897" s="424"/>
      <c r="AC897" s="424"/>
      <c r="AD897" s="424"/>
      <c r="AE897" s="424"/>
      <c r="AF897" s="424"/>
      <c r="AG897" s="424"/>
      <c r="AH897" s="424"/>
      <c r="AI897" s="424"/>
      <c r="AM897" s="424"/>
      <c r="AN897" s="424"/>
      <c r="AO897" s="424"/>
      <c r="AP897" s="424"/>
      <c r="AQ897" s="424"/>
      <c r="AR897" s="424"/>
      <c r="AS897" s="424"/>
      <c r="AT897" s="424"/>
      <c r="AU897" s="424"/>
      <c r="AV897" s="424"/>
      <c r="AW897" s="424"/>
      <c r="AX897" s="424"/>
      <c r="AY897" s="424"/>
    </row>
    <row r="898" spans="2:51">
      <c r="B898" s="424"/>
      <c r="C898" s="424"/>
      <c r="D898" s="424"/>
      <c r="E898" s="424"/>
      <c r="F898" s="424"/>
      <c r="G898" s="424"/>
      <c r="H898" s="424"/>
      <c r="I898" s="424"/>
      <c r="J898" s="424"/>
      <c r="K898" s="424"/>
      <c r="L898" s="424"/>
      <c r="M898" s="424"/>
      <c r="N898" s="424"/>
      <c r="O898" s="424"/>
      <c r="P898" s="424"/>
      <c r="Q898" s="424"/>
      <c r="R898" s="424"/>
      <c r="S898" s="424"/>
      <c r="T898" s="424"/>
      <c r="U898" s="424"/>
      <c r="Y898" s="424"/>
      <c r="Z898" s="424"/>
      <c r="AA898" s="424"/>
      <c r="AB898" s="424"/>
      <c r="AC898" s="424"/>
      <c r="AD898" s="424"/>
      <c r="AE898" s="424"/>
      <c r="AF898" s="424"/>
      <c r="AG898" s="424"/>
      <c r="AH898" s="424"/>
      <c r="AI898" s="424"/>
      <c r="AM898" s="424"/>
      <c r="AN898" s="424"/>
      <c r="AO898" s="424"/>
      <c r="AP898" s="424"/>
      <c r="AQ898" s="424"/>
      <c r="AR898" s="424"/>
      <c r="AS898" s="424"/>
      <c r="AT898" s="424"/>
      <c r="AU898" s="424"/>
      <c r="AV898" s="424"/>
      <c r="AW898" s="424"/>
      <c r="AX898" s="424"/>
      <c r="AY898" s="424"/>
    </row>
    <row r="899" spans="2:51">
      <c r="B899" s="424"/>
      <c r="C899" s="424"/>
      <c r="D899" s="424"/>
      <c r="E899" s="424"/>
      <c r="F899" s="424"/>
      <c r="G899" s="424"/>
      <c r="H899" s="424"/>
      <c r="I899" s="424"/>
      <c r="J899" s="424"/>
      <c r="K899" s="424"/>
      <c r="L899" s="424"/>
      <c r="M899" s="424"/>
      <c r="N899" s="424"/>
      <c r="O899" s="424"/>
      <c r="P899" s="424"/>
      <c r="Q899" s="424"/>
      <c r="R899" s="424"/>
      <c r="S899" s="424"/>
      <c r="T899" s="424"/>
      <c r="U899" s="424"/>
      <c r="Y899" s="424"/>
      <c r="Z899" s="424"/>
      <c r="AA899" s="424"/>
      <c r="AB899" s="424"/>
      <c r="AC899" s="424"/>
      <c r="AD899" s="424"/>
      <c r="AE899" s="424"/>
      <c r="AF899" s="424"/>
      <c r="AG899" s="424"/>
      <c r="AH899" s="424"/>
      <c r="AI899" s="424"/>
      <c r="AM899" s="424"/>
      <c r="AN899" s="424"/>
      <c r="AO899" s="424"/>
      <c r="AP899" s="424"/>
      <c r="AQ899" s="424"/>
      <c r="AR899" s="424"/>
      <c r="AS899" s="424"/>
      <c r="AT899" s="424"/>
      <c r="AU899" s="424"/>
      <c r="AV899" s="424"/>
      <c r="AW899" s="424"/>
      <c r="AX899" s="424"/>
      <c r="AY899" s="424"/>
    </row>
    <row r="900" spans="2:51">
      <c r="B900" s="424"/>
      <c r="C900" s="424"/>
      <c r="D900" s="424"/>
      <c r="E900" s="424"/>
      <c r="F900" s="424"/>
      <c r="G900" s="424"/>
      <c r="H900" s="424"/>
      <c r="I900" s="424"/>
      <c r="J900" s="424"/>
      <c r="K900" s="424"/>
      <c r="L900" s="424"/>
      <c r="M900" s="424"/>
      <c r="N900" s="424"/>
      <c r="O900" s="424"/>
      <c r="P900" s="424"/>
      <c r="Q900" s="424"/>
      <c r="R900" s="424"/>
      <c r="S900" s="424"/>
      <c r="T900" s="424"/>
      <c r="U900" s="424"/>
      <c r="Y900" s="424"/>
      <c r="Z900" s="424"/>
      <c r="AA900" s="424"/>
      <c r="AB900" s="424"/>
      <c r="AC900" s="424"/>
      <c r="AD900" s="424"/>
      <c r="AE900" s="424"/>
      <c r="AF900" s="424"/>
      <c r="AG900" s="424"/>
      <c r="AH900" s="424"/>
      <c r="AI900" s="424"/>
      <c r="AM900" s="424"/>
      <c r="AN900" s="424"/>
      <c r="AO900" s="424"/>
      <c r="AP900" s="424"/>
      <c r="AQ900" s="424"/>
      <c r="AR900" s="424"/>
      <c r="AS900" s="424"/>
      <c r="AT900" s="424"/>
      <c r="AU900" s="424"/>
      <c r="AV900" s="424"/>
      <c r="AW900" s="424"/>
      <c r="AX900" s="424"/>
      <c r="AY900" s="424"/>
    </row>
    <row r="901" spans="2:51">
      <c r="B901" s="424"/>
      <c r="C901" s="424"/>
      <c r="D901" s="424"/>
      <c r="E901" s="424"/>
      <c r="F901" s="424"/>
      <c r="G901" s="424"/>
      <c r="H901" s="424"/>
      <c r="I901" s="424"/>
      <c r="J901" s="424"/>
      <c r="K901" s="424"/>
      <c r="L901" s="424"/>
      <c r="M901" s="424"/>
      <c r="N901" s="424"/>
      <c r="O901" s="424"/>
      <c r="P901" s="424"/>
      <c r="Q901" s="424"/>
      <c r="R901" s="424"/>
      <c r="S901" s="424"/>
      <c r="T901" s="424"/>
      <c r="U901" s="424"/>
      <c r="Y901" s="424"/>
      <c r="Z901" s="424"/>
      <c r="AA901" s="424"/>
      <c r="AB901" s="424"/>
      <c r="AC901" s="424"/>
      <c r="AD901" s="424"/>
      <c r="AE901" s="424"/>
      <c r="AF901" s="424"/>
      <c r="AG901" s="424"/>
      <c r="AH901" s="424"/>
      <c r="AI901" s="424"/>
      <c r="AM901" s="424"/>
      <c r="AN901" s="424"/>
      <c r="AO901" s="424"/>
      <c r="AP901" s="424"/>
      <c r="AQ901" s="424"/>
      <c r="AR901" s="424"/>
      <c r="AS901" s="424"/>
      <c r="AT901" s="424"/>
      <c r="AU901" s="424"/>
      <c r="AV901" s="424"/>
      <c r="AW901" s="424"/>
      <c r="AX901" s="424"/>
      <c r="AY901" s="424"/>
    </row>
    <row r="902" spans="2:51">
      <c r="B902" s="424"/>
      <c r="C902" s="424"/>
      <c r="D902" s="424"/>
      <c r="E902" s="424"/>
      <c r="F902" s="424"/>
      <c r="G902" s="424"/>
      <c r="H902" s="424"/>
      <c r="I902" s="424"/>
      <c r="J902" s="424"/>
      <c r="K902" s="424"/>
      <c r="L902" s="424"/>
      <c r="M902" s="424"/>
      <c r="N902" s="424"/>
      <c r="O902" s="424"/>
      <c r="P902" s="424"/>
      <c r="Q902" s="424"/>
      <c r="R902" s="424"/>
      <c r="S902" s="424"/>
      <c r="T902" s="424"/>
      <c r="U902" s="424"/>
      <c r="Y902" s="424"/>
      <c r="Z902" s="424"/>
      <c r="AA902" s="424"/>
      <c r="AB902" s="424"/>
      <c r="AC902" s="424"/>
      <c r="AD902" s="424"/>
      <c r="AE902" s="424"/>
      <c r="AF902" s="424"/>
      <c r="AG902" s="424"/>
      <c r="AH902" s="424"/>
      <c r="AI902" s="424"/>
      <c r="AM902" s="424"/>
      <c r="AN902" s="424"/>
      <c r="AO902" s="424"/>
      <c r="AP902" s="424"/>
      <c r="AQ902" s="424"/>
      <c r="AR902" s="424"/>
      <c r="AS902" s="424"/>
      <c r="AT902" s="424"/>
      <c r="AU902" s="424"/>
      <c r="AV902" s="424"/>
      <c r="AW902" s="424"/>
      <c r="AX902" s="424"/>
      <c r="AY902" s="424"/>
    </row>
    <row r="903" spans="2:51">
      <c r="B903" s="424"/>
      <c r="C903" s="424"/>
      <c r="D903" s="424"/>
      <c r="E903" s="424"/>
      <c r="F903" s="424"/>
      <c r="G903" s="424"/>
      <c r="H903" s="424"/>
      <c r="I903" s="424"/>
      <c r="J903" s="424"/>
      <c r="K903" s="424"/>
      <c r="L903" s="424"/>
      <c r="M903" s="424"/>
      <c r="N903" s="424"/>
      <c r="O903" s="424"/>
      <c r="P903" s="424"/>
      <c r="Q903" s="424"/>
      <c r="R903" s="424"/>
      <c r="S903" s="424"/>
      <c r="T903" s="424"/>
      <c r="U903" s="424"/>
      <c r="Y903" s="424"/>
      <c r="Z903" s="424"/>
      <c r="AA903" s="424"/>
      <c r="AB903" s="424"/>
      <c r="AC903" s="424"/>
      <c r="AD903" s="424"/>
      <c r="AE903" s="424"/>
      <c r="AF903" s="424"/>
      <c r="AG903" s="424"/>
      <c r="AH903" s="424"/>
      <c r="AI903" s="424"/>
      <c r="AM903" s="424"/>
      <c r="AN903" s="424"/>
      <c r="AO903" s="424"/>
      <c r="AP903" s="424"/>
      <c r="AQ903" s="424"/>
      <c r="AR903" s="424"/>
      <c r="AS903" s="424"/>
      <c r="AT903" s="424"/>
      <c r="AU903" s="424"/>
      <c r="AV903" s="424"/>
      <c r="AW903" s="424"/>
      <c r="AX903" s="424"/>
      <c r="AY903" s="424"/>
    </row>
    <row r="904" spans="2:51">
      <c r="B904" s="424"/>
      <c r="C904" s="424"/>
      <c r="D904" s="424"/>
      <c r="E904" s="424"/>
      <c r="F904" s="424"/>
      <c r="G904" s="424"/>
      <c r="H904" s="424"/>
      <c r="I904" s="424"/>
      <c r="J904" s="424"/>
      <c r="K904" s="424"/>
      <c r="L904" s="424"/>
      <c r="M904" s="424"/>
      <c r="N904" s="424"/>
      <c r="O904" s="424"/>
      <c r="P904" s="424"/>
      <c r="Q904" s="424"/>
      <c r="R904" s="424"/>
      <c r="S904" s="424"/>
      <c r="T904" s="424"/>
      <c r="U904" s="424"/>
      <c r="Y904" s="424"/>
      <c r="Z904" s="424"/>
      <c r="AA904" s="424"/>
      <c r="AB904" s="424"/>
      <c r="AC904" s="424"/>
      <c r="AD904" s="424"/>
      <c r="AE904" s="424"/>
      <c r="AF904" s="424"/>
      <c r="AG904" s="424"/>
      <c r="AH904" s="424"/>
      <c r="AI904" s="424"/>
      <c r="AM904" s="424"/>
      <c r="AN904" s="424"/>
      <c r="AO904" s="424"/>
      <c r="AP904" s="424"/>
      <c r="AQ904" s="424"/>
      <c r="AR904" s="424"/>
      <c r="AS904" s="424"/>
      <c r="AT904" s="424"/>
      <c r="AU904" s="424"/>
      <c r="AV904" s="424"/>
      <c r="AW904" s="424"/>
      <c r="AX904" s="424"/>
      <c r="AY904" s="424"/>
    </row>
    <row r="905" spans="2:51">
      <c r="B905" s="424"/>
      <c r="C905" s="424"/>
      <c r="D905" s="424"/>
      <c r="E905" s="424"/>
      <c r="F905" s="424"/>
      <c r="G905" s="424"/>
      <c r="H905" s="424"/>
      <c r="I905" s="424"/>
      <c r="J905" s="424"/>
      <c r="K905" s="424"/>
      <c r="L905" s="424"/>
      <c r="M905" s="424"/>
      <c r="N905" s="424"/>
      <c r="O905" s="424"/>
      <c r="P905" s="424"/>
      <c r="Q905" s="424"/>
      <c r="R905" s="424"/>
      <c r="S905" s="424"/>
      <c r="T905" s="424"/>
      <c r="U905" s="424"/>
      <c r="Y905" s="424"/>
      <c r="Z905" s="424"/>
      <c r="AA905" s="424"/>
      <c r="AB905" s="424"/>
      <c r="AC905" s="424"/>
      <c r="AD905" s="424"/>
      <c r="AE905" s="424"/>
      <c r="AF905" s="424"/>
      <c r="AG905" s="424"/>
      <c r="AH905" s="424"/>
      <c r="AI905" s="424"/>
      <c r="AM905" s="424"/>
      <c r="AN905" s="424"/>
      <c r="AO905" s="424"/>
      <c r="AP905" s="424"/>
      <c r="AQ905" s="424"/>
      <c r="AR905" s="424"/>
      <c r="AS905" s="424"/>
      <c r="AT905" s="424"/>
      <c r="AU905" s="424"/>
      <c r="AV905" s="424"/>
      <c r="AW905" s="424"/>
      <c r="AX905" s="424"/>
      <c r="AY905" s="424"/>
    </row>
    <row r="906" spans="2:51">
      <c r="B906" s="424"/>
      <c r="C906" s="424"/>
      <c r="D906" s="424"/>
      <c r="E906" s="424"/>
      <c r="F906" s="424"/>
      <c r="G906" s="424"/>
      <c r="H906" s="424"/>
      <c r="I906" s="424"/>
      <c r="J906" s="424"/>
      <c r="K906" s="424"/>
      <c r="L906" s="424"/>
      <c r="M906" s="424"/>
      <c r="N906" s="424"/>
      <c r="O906" s="424"/>
      <c r="P906" s="424"/>
      <c r="Q906" s="424"/>
      <c r="R906" s="424"/>
      <c r="S906" s="424"/>
      <c r="T906" s="424"/>
      <c r="U906" s="424"/>
      <c r="Y906" s="424"/>
      <c r="Z906" s="424"/>
      <c r="AA906" s="424"/>
      <c r="AB906" s="424"/>
      <c r="AC906" s="424"/>
      <c r="AD906" s="424"/>
      <c r="AE906" s="424"/>
      <c r="AF906" s="424"/>
      <c r="AG906" s="424"/>
      <c r="AH906" s="424"/>
      <c r="AI906" s="424"/>
      <c r="AM906" s="424"/>
      <c r="AN906" s="424"/>
      <c r="AO906" s="424"/>
      <c r="AP906" s="424"/>
      <c r="AQ906" s="424"/>
      <c r="AR906" s="424"/>
      <c r="AS906" s="424"/>
      <c r="AT906" s="424"/>
      <c r="AU906" s="424"/>
      <c r="AV906" s="424"/>
      <c r="AW906" s="424"/>
      <c r="AX906" s="424"/>
      <c r="AY906" s="424"/>
    </row>
    <row r="907" spans="2:51">
      <c r="B907" s="424"/>
      <c r="C907" s="424"/>
      <c r="D907" s="424"/>
      <c r="E907" s="424"/>
      <c r="F907" s="424"/>
      <c r="G907" s="424"/>
      <c r="H907" s="424"/>
      <c r="I907" s="424"/>
      <c r="J907" s="424"/>
      <c r="K907" s="424"/>
      <c r="L907" s="424"/>
      <c r="M907" s="424"/>
      <c r="N907" s="424"/>
      <c r="O907" s="424"/>
      <c r="P907" s="424"/>
      <c r="Q907" s="424"/>
      <c r="R907" s="424"/>
      <c r="S907" s="424"/>
      <c r="T907" s="424"/>
      <c r="U907" s="424"/>
      <c r="Y907" s="424"/>
      <c r="Z907" s="424"/>
      <c r="AA907" s="424"/>
      <c r="AB907" s="424"/>
      <c r="AC907" s="424"/>
      <c r="AD907" s="424"/>
      <c r="AE907" s="424"/>
      <c r="AF907" s="424"/>
      <c r="AG907" s="424"/>
      <c r="AH907" s="424"/>
      <c r="AI907" s="424"/>
      <c r="AM907" s="424"/>
      <c r="AN907" s="424"/>
      <c r="AO907" s="424"/>
      <c r="AP907" s="424"/>
      <c r="AQ907" s="424"/>
      <c r="AR907" s="424"/>
      <c r="AS907" s="424"/>
      <c r="AT907" s="424"/>
      <c r="AU907" s="424"/>
      <c r="AV907" s="424"/>
      <c r="AW907" s="424"/>
      <c r="AX907" s="424"/>
      <c r="AY907" s="424"/>
    </row>
    <row r="908" spans="2:51">
      <c r="B908" s="424"/>
      <c r="C908" s="424"/>
      <c r="D908" s="424"/>
      <c r="E908" s="424"/>
      <c r="F908" s="424"/>
      <c r="G908" s="424"/>
      <c r="H908" s="424"/>
      <c r="I908" s="424"/>
      <c r="J908" s="424"/>
      <c r="K908" s="424"/>
      <c r="L908" s="424"/>
      <c r="M908" s="424"/>
      <c r="N908" s="424"/>
      <c r="O908" s="424"/>
      <c r="P908" s="424"/>
      <c r="Q908" s="424"/>
      <c r="R908" s="424"/>
      <c r="S908" s="424"/>
      <c r="T908" s="424"/>
      <c r="U908" s="424"/>
      <c r="Y908" s="424"/>
      <c r="Z908" s="424"/>
      <c r="AA908" s="424"/>
      <c r="AB908" s="424"/>
      <c r="AC908" s="424"/>
      <c r="AD908" s="424"/>
      <c r="AE908" s="424"/>
      <c r="AF908" s="424"/>
      <c r="AG908" s="424"/>
      <c r="AH908" s="424"/>
      <c r="AI908" s="424"/>
      <c r="AM908" s="424"/>
      <c r="AN908" s="424"/>
      <c r="AO908" s="424"/>
      <c r="AP908" s="424"/>
      <c r="AQ908" s="424"/>
      <c r="AR908" s="424"/>
      <c r="AS908" s="424"/>
      <c r="AT908" s="424"/>
      <c r="AU908" s="424"/>
      <c r="AV908" s="424"/>
      <c r="AW908" s="424"/>
      <c r="AX908" s="424"/>
      <c r="AY908" s="424"/>
    </row>
    <row r="909" spans="2:51">
      <c r="B909" s="424"/>
      <c r="C909" s="424"/>
      <c r="D909" s="424"/>
      <c r="E909" s="424"/>
      <c r="F909" s="424"/>
      <c r="G909" s="424"/>
      <c r="H909" s="424"/>
      <c r="I909" s="424"/>
      <c r="J909" s="424"/>
      <c r="K909" s="424"/>
      <c r="L909" s="424"/>
      <c r="M909" s="424"/>
      <c r="N909" s="424"/>
      <c r="O909" s="424"/>
      <c r="P909" s="424"/>
      <c r="Q909" s="424"/>
      <c r="R909" s="424"/>
      <c r="S909" s="424"/>
      <c r="T909" s="424"/>
      <c r="U909" s="424"/>
      <c r="Y909" s="424"/>
      <c r="Z909" s="424"/>
      <c r="AA909" s="424"/>
      <c r="AB909" s="424"/>
      <c r="AC909" s="424"/>
      <c r="AD909" s="424"/>
      <c r="AE909" s="424"/>
      <c r="AF909" s="424"/>
      <c r="AG909" s="424"/>
      <c r="AH909" s="424"/>
      <c r="AI909" s="424"/>
      <c r="AM909" s="424"/>
      <c r="AN909" s="424"/>
      <c r="AO909" s="424"/>
      <c r="AP909" s="424"/>
      <c r="AQ909" s="424"/>
      <c r="AR909" s="424"/>
      <c r="AS909" s="424"/>
      <c r="AT909" s="424"/>
      <c r="AU909" s="424"/>
      <c r="AV909" s="424"/>
      <c r="AW909" s="424"/>
      <c r="AX909" s="424"/>
      <c r="AY909" s="424"/>
    </row>
    <row r="910" spans="2:51">
      <c r="B910" s="424"/>
      <c r="C910" s="424"/>
      <c r="D910" s="424"/>
      <c r="E910" s="424"/>
      <c r="F910" s="424"/>
      <c r="G910" s="424"/>
      <c r="H910" s="424"/>
      <c r="I910" s="424"/>
      <c r="J910" s="424"/>
      <c r="K910" s="424"/>
      <c r="L910" s="424"/>
      <c r="M910" s="424"/>
      <c r="N910" s="424"/>
      <c r="O910" s="424"/>
      <c r="P910" s="424"/>
      <c r="Q910" s="424"/>
      <c r="R910" s="424"/>
      <c r="S910" s="424"/>
      <c r="T910" s="424"/>
      <c r="U910" s="424"/>
      <c r="Y910" s="424"/>
      <c r="Z910" s="424"/>
      <c r="AA910" s="424"/>
      <c r="AB910" s="424"/>
      <c r="AC910" s="424"/>
      <c r="AD910" s="424"/>
      <c r="AE910" s="424"/>
      <c r="AF910" s="424"/>
      <c r="AG910" s="424"/>
      <c r="AH910" s="424"/>
      <c r="AI910" s="424"/>
      <c r="AM910" s="424"/>
      <c r="AN910" s="424"/>
      <c r="AO910" s="424"/>
      <c r="AP910" s="424"/>
      <c r="AQ910" s="424"/>
      <c r="AR910" s="424"/>
      <c r="AS910" s="424"/>
      <c r="AT910" s="424"/>
      <c r="AU910" s="424"/>
      <c r="AV910" s="424"/>
      <c r="AW910" s="424"/>
      <c r="AX910" s="424"/>
      <c r="AY910" s="424"/>
    </row>
    <row r="911" spans="2:51">
      <c r="B911" s="424"/>
      <c r="C911" s="424"/>
      <c r="D911" s="424"/>
      <c r="E911" s="424"/>
      <c r="F911" s="424"/>
      <c r="G911" s="424"/>
      <c r="H911" s="424"/>
      <c r="I911" s="424"/>
      <c r="J911" s="424"/>
      <c r="K911" s="424"/>
      <c r="L911" s="424"/>
      <c r="M911" s="424"/>
      <c r="N911" s="424"/>
      <c r="O911" s="424"/>
      <c r="P911" s="424"/>
      <c r="Q911" s="424"/>
      <c r="R911" s="424"/>
      <c r="S911" s="424"/>
      <c r="T911" s="424"/>
      <c r="U911" s="424"/>
      <c r="Y911" s="424"/>
      <c r="Z911" s="424"/>
      <c r="AA911" s="424"/>
      <c r="AB911" s="424"/>
      <c r="AC911" s="424"/>
      <c r="AD911" s="424"/>
      <c r="AE911" s="424"/>
      <c r="AF911" s="424"/>
      <c r="AG911" s="424"/>
      <c r="AH911" s="424"/>
      <c r="AI911" s="424"/>
      <c r="AM911" s="424"/>
      <c r="AN911" s="424"/>
      <c r="AO911" s="424"/>
      <c r="AP911" s="424"/>
      <c r="AQ911" s="424"/>
      <c r="AR911" s="424"/>
      <c r="AS911" s="424"/>
      <c r="AT911" s="424"/>
      <c r="AU911" s="424"/>
      <c r="AV911" s="424"/>
      <c r="AW911" s="424"/>
      <c r="AX911" s="424"/>
      <c r="AY911" s="424"/>
    </row>
    <row r="912" spans="2:51">
      <c r="B912" s="424"/>
      <c r="C912" s="424"/>
      <c r="D912" s="424"/>
      <c r="E912" s="424"/>
      <c r="F912" s="424"/>
      <c r="G912" s="424"/>
      <c r="H912" s="424"/>
      <c r="I912" s="424"/>
      <c r="J912" s="424"/>
      <c r="K912" s="424"/>
      <c r="L912" s="424"/>
      <c r="M912" s="424"/>
      <c r="N912" s="424"/>
      <c r="O912" s="424"/>
      <c r="P912" s="424"/>
      <c r="Q912" s="424"/>
      <c r="R912" s="424"/>
      <c r="S912" s="424"/>
      <c r="T912" s="424"/>
      <c r="U912" s="424"/>
      <c r="Y912" s="424"/>
      <c r="Z912" s="424"/>
      <c r="AA912" s="424"/>
      <c r="AB912" s="424"/>
      <c r="AC912" s="424"/>
      <c r="AD912" s="424"/>
      <c r="AE912" s="424"/>
      <c r="AF912" s="424"/>
      <c r="AG912" s="424"/>
      <c r="AH912" s="424"/>
      <c r="AI912" s="424"/>
      <c r="AM912" s="424"/>
      <c r="AN912" s="424"/>
      <c r="AO912" s="424"/>
      <c r="AP912" s="424"/>
      <c r="AQ912" s="424"/>
      <c r="AR912" s="424"/>
      <c r="AS912" s="424"/>
      <c r="AT912" s="424"/>
      <c r="AU912" s="424"/>
      <c r="AV912" s="424"/>
      <c r="AW912" s="424"/>
      <c r="AX912" s="424"/>
      <c r="AY912" s="424"/>
    </row>
    <row r="913" spans="2:51">
      <c r="B913" s="424"/>
      <c r="C913" s="424"/>
      <c r="D913" s="424"/>
      <c r="E913" s="424"/>
      <c r="F913" s="424"/>
      <c r="G913" s="424"/>
      <c r="H913" s="424"/>
      <c r="I913" s="424"/>
      <c r="J913" s="424"/>
      <c r="K913" s="424"/>
      <c r="L913" s="424"/>
      <c r="M913" s="424"/>
      <c r="N913" s="424"/>
      <c r="O913" s="424"/>
      <c r="P913" s="424"/>
      <c r="Q913" s="424"/>
      <c r="R913" s="424"/>
      <c r="S913" s="424"/>
      <c r="T913" s="424"/>
      <c r="U913" s="424"/>
      <c r="Y913" s="424"/>
      <c r="Z913" s="424"/>
      <c r="AA913" s="424"/>
      <c r="AB913" s="424"/>
      <c r="AC913" s="424"/>
      <c r="AD913" s="424"/>
      <c r="AE913" s="424"/>
      <c r="AF913" s="424"/>
      <c r="AG913" s="424"/>
      <c r="AH913" s="424"/>
      <c r="AI913" s="424"/>
      <c r="AM913" s="424"/>
      <c r="AN913" s="424"/>
      <c r="AO913" s="424"/>
      <c r="AP913" s="424"/>
      <c r="AQ913" s="424"/>
      <c r="AR913" s="424"/>
      <c r="AS913" s="424"/>
      <c r="AT913" s="424"/>
      <c r="AU913" s="424"/>
      <c r="AV913" s="424"/>
      <c r="AW913" s="424"/>
      <c r="AX913" s="424"/>
      <c r="AY913" s="424"/>
    </row>
    <row r="914" spans="2:51">
      <c r="B914" s="424"/>
      <c r="C914" s="424"/>
      <c r="D914" s="424"/>
      <c r="E914" s="424"/>
      <c r="F914" s="424"/>
      <c r="G914" s="424"/>
      <c r="H914" s="424"/>
      <c r="I914" s="424"/>
      <c r="J914" s="424"/>
      <c r="K914" s="424"/>
      <c r="L914" s="424"/>
      <c r="M914" s="424"/>
      <c r="N914" s="424"/>
      <c r="O914" s="424"/>
      <c r="P914" s="424"/>
      <c r="Q914" s="424"/>
      <c r="R914" s="424"/>
      <c r="S914" s="424"/>
      <c r="T914" s="424"/>
      <c r="U914" s="424"/>
      <c r="Y914" s="424"/>
      <c r="Z914" s="424"/>
      <c r="AA914" s="424"/>
      <c r="AB914" s="424"/>
      <c r="AC914" s="424"/>
      <c r="AD914" s="424"/>
      <c r="AE914" s="424"/>
      <c r="AF914" s="424"/>
      <c r="AG914" s="424"/>
      <c r="AH914" s="424"/>
      <c r="AI914" s="424"/>
      <c r="AM914" s="424"/>
      <c r="AN914" s="424"/>
      <c r="AO914" s="424"/>
      <c r="AP914" s="424"/>
      <c r="AQ914" s="424"/>
      <c r="AR914" s="424"/>
      <c r="AS914" s="424"/>
      <c r="AT914" s="424"/>
      <c r="AU914" s="424"/>
      <c r="AV914" s="424"/>
      <c r="AW914" s="424"/>
      <c r="AX914" s="424"/>
      <c r="AY914" s="424"/>
    </row>
    <row r="915" spans="2:51">
      <c r="B915" s="424"/>
      <c r="C915" s="424"/>
      <c r="D915" s="424"/>
      <c r="E915" s="424"/>
      <c r="F915" s="424"/>
      <c r="G915" s="424"/>
      <c r="H915" s="424"/>
      <c r="I915" s="424"/>
      <c r="J915" s="424"/>
      <c r="K915" s="424"/>
      <c r="L915" s="424"/>
      <c r="M915" s="424"/>
      <c r="N915" s="424"/>
      <c r="O915" s="424"/>
      <c r="P915" s="424"/>
      <c r="Q915" s="424"/>
      <c r="R915" s="424"/>
      <c r="S915" s="424"/>
      <c r="T915" s="424"/>
      <c r="U915" s="424"/>
      <c r="Y915" s="424"/>
      <c r="Z915" s="424"/>
      <c r="AA915" s="424"/>
      <c r="AB915" s="424"/>
      <c r="AC915" s="424"/>
      <c r="AD915" s="424"/>
      <c r="AE915" s="424"/>
      <c r="AF915" s="424"/>
      <c r="AG915" s="424"/>
      <c r="AH915" s="424"/>
      <c r="AI915" s="424"/>
      <c r="AM915" s="424"/>
      <c r="AN915" s="424"/>
      <c r="AO915" s="424"/>
      <c r="AP915" s="424"/>
      <c r="AQ915" s="424"/>
      <c r="AR915" s="424"/>
      <c r="AS915" s="424"/>
      <c r="AT915" s="424"/>
      <c r="AU915" s="424"/>
      <c r="AV915" s="424"/>
      <c r="AW915" s="424"/>
      <c r="AX915" s="424"/>
      <c r="AY915" s="424"/>
    </row>
    <row r="916" spans="2:51">
      <c r="B916" s="424"/>
      <c r="C916" s="424"/>
      <c r="D916" s="424"/>
      <c r="E916" s="424"/>
      <c r="F916" s="424"/>
      <c r="G916" s="424"/>
      <c r="H916" s="424"/>
      <c r="I916" s="424"/>
      <c r="J916" s="424"/>
      <c r="K916" s="424"/>
      <c r="L916" s="424"/>
      <c r="M916" s="424"/>
      <c r="N916" s="424"/>
      <c r="O916" s="424"/>
      <c r="P916" s="424"/>
      <c r="Q916" s="424"/>
      <c r="R916" s="424"/>
      <c r="S916" s="424"/>
      <c r="T916" s="424"/>
      <c r="U916" s="424"/>
      <c r="Y916" s="424"/>
      <c r="Z916" s="424"/>
      <c r="AA916" s="424"/>
      <c r="AB916" s="424"/>
      <c r="AC916" s="424"/>
      <c r="AD916" s="424"/>
      <c r="AE916" s="424"/>
      <c r="AF916" s="424"/>
      <c r="AG916" s="424"/>
      <c r="AH916" s="424"/>
      <c r="AI916" s="424"/>
      <c r="AM916" s="424"/>
      <c r="AN916" s="424"/>
      <c r="AO916" s="424"/>
      <c r="AP916" s="424"/>
      <c r="AQ916" s="424"/>
      <c r="AR916" s="424"/>
      <c r="AS916" s="424"/>
      <c r="AT916" s="424"/>
      <c r="AU916" s="424"/>
      <c r="AV916" s="424"/>
      <c r="AW916" s="424"/>
      <c r="AX916" s="424"/>
      <c r="AY916" s="424"/>
    </row>
    <row r="917" spans="2:51">
      <c r="B917" s="424"/>
      <c r="C917" s="424"/>
      <c r="D917" s="424"/>
      <c r="E917" s="424"/>
      <c r="F917" s="424"/>
      <c r="G917" s="424"/>
      <c r="H917" s="424"/>
      <c r="I917" s="424"/>
      <c r="J917" s="424"/>
      <c r="K917" s="424"/>
      <c r="L917" s="424"/>
      <c r="M917" s="424"/>
      <c r="N917" s="424"/>
      <c r="O917" s="424"/>
      <c r="P917" s="424"/>
      <c r="Q917" s="424"/>
      <c r="R917" s="424"/>
      <c r="S917" s="424"/>
      <c r="T917" s="424"/>
      <c r="U917" s="424"/>
      <c r="Y917" s="424"/>
      <c r="Z917" s="424"/>
      <c r="AA917" s="424"/>
      <c r="AB917" s="424"/>
      <c r="AC917" s="424"/>
      <c r="AD917" s="424"/>
      <c r="AE917" s="424"/>
      <c r="AF917" s="424"/>
      <c r="AG917" s="424"/>
      <c r="AH917" s="424"/>
      <c r="AI917" s="424"/>
      <c r="AM917" s="424"/>
      <c r="AN917" s="424"/>
      <c r="AO917" s="424"/>
      <c r="AP917" s="424"/>
      <c r="AQ917" s="424"/>
      <c r="AR917" s="424"/>
      <c r="AS917" s="424"/>
      <c r="AT917" s="424"/>
      <c r="AU917" s="424"/>
      <c r="AV917" s="424"/>
      <c r="AW917" s="424"/>
      <c r="AX917" s="424"/>
      <c r="AY917" s="424"/>
    </row>
    <row r="918" spans="2:51">
      <c r="B918" s="424"/>
      <c r="C918" s="424"/>
      <c r="D918" s="424"/>
      <c r="E918" s="424"/>
      <c r="F918" s="424"/>
      <c r="G918" s="424"/>
      <c r="H918" s="424"/>
      <c r="I918" s="424"/>
      <c r="J918" s="424"/>
      <c r="K918" s="424"/>
      <c r="L918" s="424"/>
      <c r="M918" s="424"/>
      <c r="N918" s="424"/>
      <c r="O918" s="424"/>
      <c r="P918" s="424"/>
      <c r="Q918" s="424"/>
      <c r="R918" s="424"/>
      <c r="S918" s="424"/>
      <c r="T918" s="424"/>
      <c r="U918" s="424"/>
      <c r="Y918" s="424"/>
      <c r="Z918" s="424"/>
      <c r="AA918" s="424"/>
      <c r="AB918" s="424"/>
      <c r="AC918" s="424"/>
      <c r="AD918" s="424"/>
      <c r="AE918" s="424"/>
      <c r="AF918" s="424"/>
      <c r="AG918" s="424"/>
      <c r="AH918" s="424"/>
      <c r="AI918" s="424"/>
      <c r="AM918" s="424"/>
      <c r="AN918" s="424"/>
      <c r="AO918" s="424"/>
      <c r="AP918" s="424"/>
      <c r="AQ918" s="424"/>
      <c r="AR918" s="424"/>
      <c r="AS918" s="424"/>
      <c r="AT918" s="424"/>
      <c r="AU918" s="424"/>
      <c r="AV918" s="424"/>
      <c r="AW918" s="424"/>
      <c r="AX918" s="424"/>
      <c r="AY918" s="424"/>
    </row>
    <row r="919" spans="2:51">
      <c r="B919" s="424"/>
      <c r="C919" s="424"/>
      <c r="D919" s="424"/>
      <c r="E919" s="424"/>
      <c r="F919" s="424"/>
      <c r="G919" s="424"/>
      <c r="H919" s="424"/>
      <c r="I919" s="424"/>
      <c r="J919" s="424"/>
      <c r="K919" s="424"/>
      <c r="L919" s="424"/>
      <c r="M919" s="424"/>
      <c r="N919" s="424"/>
      <c r="O919" s="424"/>
      <c r="P919" s="424"/>
      <c r="Q919" s="424"/>
      <c r="R919" s="424"/>
      <c r="S919" s="424"/>
      <c r="T919" s="424"/>
      <c r="U919" s="424"/>
      <c r="Y919" s="424"/>
      <c r="Z919" s="424"/>
      <c r="AA919" s="424"/>
      <c r="AB919" s="424"/>
      <c r="AC919" s="424"/>
      <c r="AD919" s="424"/>
      <c r="AE919" s="424"/>
      <c r="AF919" s="424"/>
      <c r="AG919" s="424"/>
      <c r="AH919" s="424"/>
      <c r="AI919" s="424"/>
      <c r="AM919" s="424"/>
      <c r="AN919" s="424"/>
      <c r="AO919" s="424"/>
      <c r="AP919" s="424"/>
      <c r="AQ919" s="424"/>
      <c r="AR919" s="424"/>
      <c r="AS919" s="424"/>
      <c r="AT919" s="424"/>
      <c r="AU919" s="424"/>
      <c r="AV919" s="424"/>
      <c r="AW919" s="424"/>
      <c r="AX919" s="424"/>
      <c r="AY919" s="424"/>
    </row>
    <row r="920" spans="2:51">
      <c r="B920" s="424"/>
      <c r="C920" s="424"/>
      <c r="D920" s="424"/>
      <c r="E920" s="424"/>
      <c r="F920" s="424"/>
      <c r="G920" s="424"/>
      <c r="H920" s="424"/>
      <c r="I920" s="424"/>
      <c r="J920" s="424"/>
      <c r="K920" s="424"/>
      <c r="L920" s="424"/>
      <c r="M920" s="424"/>
      <c r="N920" s="424"/>
      <c r="O920" s="424"/>
      <c r="P920" s="424"/>
      <c r="Q920" s="424"/>
      <c r="R920" s="424"/>
      <c r="S920" s="424"/>
      <c r="T920" s="424"/>
      <c r="U920" s="424"/>
      <c r="Y920" s="424"/>
      <c r="Z920" s="424"/>
      <c r="AA920" s="424"/>
      <c r="AB920" s="424"/>
      <c r="AC920" s="424"/>
      <c r="AD920" s="424"/>
      <c r="AE920" s="424"/>
      <c r="AF920" s="424"/>
      <c r="AG920" s="424"/>
      <c r="AH920" s="424"/>
      <c r="AI920" s="424"/>
      <c r="AM920" s="424"/>
      <c r="AN920" s="424"/>
      <c r="AO920" s="424"/>
      <c r="AP920" s="424"/>
      <c r="AQ920" s="424"/>
      <c r="AR920" s="424"/>
      <c r="AS920" s="424"/>
      <c r="AT920" s="424"/>
      <c r="AU920" s="424"/>
      <c r="AV920" s="424"/>
      <c r="AW920" s="424"/>
      <c r="AX920" s="424"/>
      <c r="AY920" s="424"/>
    </row>
    <row r="921" spans="2:51">
      <c r="B921" s="424"/>
      <c r="C921" s="424"/>
      <c r="D921" s="424"/>
      <c r="E921" s="424"/>
      <c r="F921" s="424"/>
      <c r="G921" s="424"/>
      <c r="H921" s="424"/>
      <c r="I921" s="424"/>
      <c r="J921" s="424"/>
      <c r="K921" s="424"/>
      <c r="L921" s="424"/>
      <c r="M921" s="424"/>
      <c r="N921" s="424"/>
      <c r="O921" s="424"/>
      <c r="P921" s="424"/>
      <c r="Q921" s="424"/>
      <c r="R921" s="424"/>
      <c r="S921" s="424"/>
      <c r="T921" s="424"/>
      <c r="U921" s="424"/>
      <c r="Y921" s="424"/>
      <c r="Z921" s="424"/>
      <c r="AA921" s="424"/>
      <c r="AB921" s="424"/>
      <c r="AC921" s="424"/>
      <c r="AD921" s="424"/>
      <c r="AE921" s="424"/>
      <c r="AF921" s="424"/>
      <c r="AG921" s="424"/>
      <c r="AH921" s="424"/>
      <c r="AI921" s="424"/>
      <c r="AM921" s="424"/>
      <c r="AN921" s="424"/>
      <c r="AO921" s="424"/>
      <c r="AP921" s="424"/>
      <c r="AQ921" s="424"/>
      <c r="AR921" s="424"/>
      <c r="AS921" s="424"/>
      <c r="AT921" s="424"/>
      <c r="AU921" s="424"/>
      <c r="AV921" s="424"/>
      <c r="AW921" s="424"/>
      <c r="AX921" s="424"/>
      <c r="AY921" s="424"/>
    </row>
    <row r="922" spans="2:51">
      <c r="B922" s="424"/>
      <c r="C922" s="424"/>
      <c r="D922" s="424"/>
      <c r="E922" s="424"/>
      <c r="F922" s="424"/>
      <c r="G922" s="424"/>
      <c r="H922" s="424"/>
      <c r="I922" s="424"/>
      <c r="J922" s="424"/>
      <c r="K922" s="424"/>
      <c r="L922" s="424"/>
      <c r="M922" s="424"/>
      <c r="N922" s="424"/>
      <c r="O922" s="424"/>
      <c r="P922" s="424"/>
      <c r="Q922" s="424"/>
      <c r="R922" s="424"/>
      <c r="S922" s="424"/>
      <c r="T922" s="424"/>
      <c r="U922" s="424"/>
      <c r="Y922" s="424"/>
      <c r="Z922" s="424"/>
      <c r="AA922" s="424"/>
      <c r="AB922" s="424"/>
      <c r="AC922" s="424"/>
      <c r="AD922" s="424"/>
      <c r="AE922" s="424"/>
      <c r="AF922" s="424"/>
      <c r="AG922" s="424"/>
      <c r="AH922" s="424"/>
      <c r="AI922" s="424"/>
      <c r="AM922" s="424"/>
      <c r="AN922" s="424"/>
      <c r="AO922" s="424"/>
      <c r="AP922" s="424"/>
      <c r="AQ922" s="424"/>
      <c r="AR922" s="424"/>
      <c r="AS922" s="424"/>
      <c r="AT922" s="424"/>
      <c r="AU922" s="424"/>
      <c r="AV922" s="424"/>
      <c r="AW922" s="424"/>
      <c r="AX922" s="424"/>
      <c r="AY922" s="424"/>
    </row>
    <row r="923" spans="2:51">
      <c r="B923" s="424"/>
      <c r="C923" s="424"/>
      <c r="D923" s="424"/>
      <c r="E923" s="424"/>
      <c r="F923" s="424"/>
      <c r="G923" s="424"/>
      <c r="H923" s="424"/>
      <c r="I923" s="424"/>
      <c r="J923" s="424"/>
      <c r="K923" s="424"/>
      <c r="L923" s="424"/>
      <c r="M923" s="424"/>
      <c r="N923" s="424"/>
      <c r="O923" s="424"/>
      <c r="P923" s="424"/>
      <c r="Q923" s="424"/>
      <c r="R923" s="424"/>
      <c r="S923" s="424"/>
      <c r="T923" s="424"/>
      <c r="U923" s="424"/>
      <c r="Y923" s="424"/>
      <c r="Z923" s="424"/>
      <c r="AA923" s="424"/>
      <c r="AB923" s="424"/>
      <c r="AC923" s="424"/>
      <c r="AD923" s="424"/>
      <c r="AE923" s="424"/>
      <c r="AF923" s="424"/>
      <c r="AG923" s="424"/>
      <c r="AH923" s="424"/>
      <c r="AI923" s="424"/>
      <c r="AM923" s="424"/>
      <c r="AN923" s="424"/>
      <c r="AO923" s="424"/>
      <c r="AP923" s="424"/>
      <c r="AQ923" s="424"/>
      <c r="AR923" s="424"/>
      <c r="AS923" s="424"/>
      <c r="AT923" s="424"/>
      <c r="AU923" s="424"/>
      <c r="AV923" s="424"/>
      <c r="AW923" s="424"/>
      <c r="AX923" s="424"/>
      <c r="AY923" s="424"/>
    </row>
    <row r="924" spans="2:51">
      <c r="B924" s="424"/>
      <c r="C924" s="424"/>
      <c r="D924" s="424"/>
      <c r="E924" s="424"/>
      <c r="F924" s="424"/>
      <c r="G924" s="424"/>
      <c r="H924" s="424"/>
      <c r="I924" s="424"/>
      <c r="J924" s="424"/>
      <c r="K924" s="424"/>
      <c r="L924" s="424"/>
      <c r="M924" s="424"/>
      <c r="N924" s="424"/>
      <c r="O924" s="424"/>
      <c r="P924" s="424"/>
      <c r="Q924" s="424"/>
      <c r="R924" s="424"/>
      <c r="S924" s="424"/>
      <c r="T924" s="424"/>
      <c r="U924" s="424"/>
      <c r="Y924" s="424"/>
      <c r="Z924" s="424"/>
      <c r="AA924" s="424"/>
      <c r="AB924" s="424"/>
      <c r="AC924" s="424"/>
      <c r="AD924" s="424"/>
      <c r="AE924" s="424"/>
      <c r="AF924" s="424"/>
      <c r="AG924" s="424"/>
      <c r="AH924" s="424"/>
      <c r="AI924" s="424"/>
      <c r="AM924" s="424"/>
      <c r="AN924" s="424"/>
      <c r="AO924" s="424"/>
      <c r="AP924" s="424"/>
      <c r="AQ924" s="424"/>
      <c r="AR924" s="424"/>
      <c r="AS924" s="424"/>
      <c r="AT924" s="424"/>
      <c r="AU924" s="424"/>
      <c r="AV924" s="424"/>
      <c r="AW924" s="424"/>
      <c r="AX924" s="424"/>
      <c r="AY924" s="424"/>
    </row>
    <row r="925" spans="2:51">
      <c r="B925" s="424"/>
      <c r="C925" s="424"/>
      <c r="D925" s="424"/>
      <c r="E925" s="424"/>
      <c r="F925" s="424"/>
      <c r="G925" s="424"/>
      <c r="H925" s="424"/>
      <c r="I925" s="424"/>
      <c r="J925" s="424"/>
      <c r="K925" s="424"/>
      <c r="L925" s="424"/>
      <c r="M925" s="424"/>
      <c r="N925" s="424"/>
      <c r="O925" s="424"/>
      <c r="P925" s="424"/>
      <c r="Q925" s="424"/>
      <c r="R925" s="424"/>
      <c r="S925" s="424"/>
      <c r="T925" s="424"/>
      <c r="U925" s="424"/>
      <c r="Y925" s="424"/>
      <c r="Z925" s="424"/>
      <c r="AA925" s="424"/>
      <c r="AB925" s="424"/>
      <c r="AC925" s="424"/>
      <c r="AD925" s="424"/>
      <c r="AE925" s="424"/>
      <c r="AF925" s="424"/>
      <c r="AG925" s="424"/>
      <c r="AH925" s="424"/>
      <c r="AI925" s="424"/>
      <c r="AM925" s="424"/>
      <c r="AN925" s="424"/>
      <c r="AO925" s="424"/>
      <c r="AP925" s="424"/>
      <c r="AQ925" s="424"/>
      <c r="AR925" s="424"/>
      <c r="AS925" s="424"/>
      <c r="AT925" s="424"/>
      <c r="AU925" s="424"/>
      <c r="AV925" s="424"/>
      <c r="AW925" s="424"/>
      <c r="AX925" s="424"/>
      <c r="AY925" s="424"/>
    </row>
    <row r="926" spans="2:51">
      <c r="B926" s="424"/>
      <c r="C926" s="424"/>
      <c r="D926" s="424"/>
      <c r="E926" s="424"/>
      <c r="F926" s="424"/>
      <c r="G926" s="424"/>
      <c r="H926" s="424"/>
      <c r="I926" s="424"/>
      <c r="J926" s="424"/>
      <c r="K926" s="424"/>
      <c r="L926" s="424"/>
      <c r="M926" s="424"/>
      <c r="N926" s="424"/>
      <c r="O926" s="424"/>
      <c r="P926" s="424"/>
      <c r="Q926" s="424"/>
      <c r="R926" s="424"/>
      <c r="S926" s="424"/>
      <c r="T926" s="424"/>
      <c r="U926" s="424"/>
      <c r="Y926" s="424"/>
      <c r="Z926" s="424"/>
      <c r="AA926" s="424"/>
      <c r="AB926" s="424"/>
      <c r="AC926" s="424"/>
      <c r="AD926" s="424"/>
      <c r="AE926" s="424"/>
      <c r="AF926" s="424"/>
      <c r="AG926" s="424"/>
      <c r="AH926" s="424"/>
      <c r="AI926" s="424"/>
      <c r="AM926" s="424"/>
      <c r="AN926" s="424"/>
      <c r="AO926" s="424"/>
      <c r="AP926" s="424"/>
      <c r="AQ926" s="424"/>
      <c r="AR926" s="424"/>
      <c r="AS926" s="424"/>
      <c r="AT926" s="424"/>
      <c r="AU926" s="424"/>
      <c r="AV926" s="424"/>
      <c r="AW926" s="424"/>
      <c r="AX926" s="424"/>
      <c r="AY926" s="424"/>
    </row>
    <row r="927" spans="2:51">
      <c r="B927" s="424"/>
      <c r="C927" s="424"/>
      <c r="D927" s="424"/>
      <c r="E927" s="424"/>
      <c r="F927" s="424"/>
      <c r="G927" s="424"/>
      <c r="H927" s="424"/>
      <c r="I927" s="424"/>
      <c r="J927" s="424"/>
      <c r="K927" s="424"/>
      <c r="L927" s="424"/>
      <c r="M927" s="424"/>
      <c r="N927" s="424"/>
      <c r="O927" s="424"/>
      <c r="P927" s="424"/>
      <c r="Q927" s="424"/>
      <c r="R927" s="424"/>
      <c r="S927" s="424"/>
      <c r="T927" s="424"/>
      <c r="U927" s="424"/>
      <c r="Y927" s="424"/>
      <c r="Z927" s="424"/>
      <c r="AA927" s="424"/>
      <c r="AB927" s="424"/>
      <c r="AC927" s="424"/>
      <c r="AD927" s="424"/>
      <c r="AE927" s="424"/>
      <c r="AF927" s="424"/>
      <c r="AG927" s="424"/>
      <c r="AH927" s="424"/>
      <c r="AI927" s="424"/>
      <c r="AM927" s="424"/>
      <c r="AN927" s="424"/>
      <c r="AO927" s="424"/>
      <c r="AP927" s="424"/>
      <c r="AQ927" s="424"/>
      <c r="AR927" s="424"/>
      <c r="AS927" s="424"/>
      <c r="AT927" s="424"/>
      <c r="AU927" s="424"/>
      <c r="AV927" s="424"/>
      <c r="AW927" s="424"/>
      <c r="AX927" s="424"/>
      <c r="AY927" s="424"/>
    </row>
    <row r="928" spans="2:51">
      <c r="B928" s="424"/>
      <c r="C928" s="424"/>
      <c r="D928" s="424"/>
      <c r="E928" s="424"/>
      <c r="F928" s="424"/>
      <c r="G928" s="424"/>
      <c r="H928" s="424"/>
      <c r="I928" s="424"/>
      <c r="J928" s="424"/>
      <c r="K928" s="424"/>
      <c r="L928" s="424"/>
      <c r="M928" s="424"/>
      <c r="N928" s="424"/>
      <c r="O928" s="424"/>
      <c r="P928" s="424"/>
      <c r="Q928" s="424"/>
      <c r="R928" s="424"/>
      <c r="S928" s="424"/>
      <c r="T928" s="424"/>
      <c r="U928" s="424"/>
      <c r="Y928" s="424"/>
      <c r="Z928" s="424"/>
      <c r="AA928" s="424"/>
      <c r="AB928" s="424"/>
      <c r="AC928" s="424"/>
      <c r="AD928" s="424"/>
      <c r="AE928" s="424"/>
      <c r="AF928" s="424"/>
      <c r="AG928" s="424"/>
      <c r="AH928" s="424"/>
      <c r="AI928" s="424"/>
      <c r="AM928" s="424"/>
      <c r="AN928" s="424"/>
      <c r="AO928" s="424"/>
      <c r="AP928" s="424"/>
      <c r="AQ928" s="424"/>
      <c r="AR928" s="424"/>
      <c r="AS928" s="424"/>
      <c r="AT928" s="424"/>
      <c r="AU928" s="424"/>
      <c r="AV928" s="424"/>
      <c r="AW928" s="424"/>
      <c r="AX928" s="424"/>
      <c r="AY928" s="424"/>
    </row>
    <row r="929" spans="2:51">
      <c r="B929" s="424"/>
      <c r="C929" s="424"/>
      <c r="D929" s="424"/>
      <c r="E929" s="424"/>
      <c r="F929" s="424"/>
      <c r="G929" s="424"/>
      <c r="H929" s="424"/>
      <c r="I929" s="424"/>
      <c r="J929" s="424"/>
      <c r="K929" s="424"/>
      <c r="L929" s="424"/>
      <c r="M929" s="424"/>
      <c r="N929" s="424"/>
      <c r="O929" s="424"/>
      <c r="P929" s="424"/>
      <c r="Q929" s="424"/>
      <c r="R929" s="424"/>
      <c r="S929" s="424"/>
      <c r="T929" s="424"/>
      <c r="U929" s="424"/>
      <c r="Y929" s="424"/>
      <c r="Z929" s="424"/>
      <c r="AA929" s="424"/>
      <c r="AB929" s="424"/>
      <c r="AC929" s="424"/>
      <c r="AD929" s="424"/>
      <c r="AE929" s="424"/>
      <c r="AF929" s="424"/>
      <c r="AG929" s="424"/>
      <c r="AH929" s="424"/>
      <c r="AI929" s="424"/>
      <c r="AM929" s="424"/>
      <c r="AN929" s="424"/>
      <c r="AO929" s="424"/>
      <c r="AP929" s="424"/>
      <c r="AQ929" s="424"/>
      <c r="AR929" s="424"/>
      <c r="AS929" s="424"/>
      <c r="AT929" s="424"/>
      <c r="AU929" s="424"/>
      <c r="AV929" s="424"/>
      <c r="AW929" s="424"/>
      <c r="AX929" s="424"/>
      <c r="AY929" s="424"/>
    </row>
    <row r="930" spans="2:51">
      <c r="B930" s="424"/>
      <c r="C930" s="424"/>
      <c r="D930" s="424"/>
      <c r="E930" s="424"/>
      <c r="F930" s="424"/>
      <c r="G930" s="424"/>
      <c r="H930" s="424"/>
      <c r="I930" s="424"/>
      <c r="J930" s="424"/>
      <c r="K930" s="424"/>
      <c r="L930" s="424"/>
      <c r="M930" s="424"/>
      <c r="N930" s="424"/>
      <c r="O930" s="424"/>
      <c r="P930" s="424"/>
      <c r="Q930" s="424"/>
      <c r="R930" s="424"/>
      <c r="S930" s="424"/>
      <c r="T930" s="424"/>
      <c r="U930" s="424"/>
      <c r="Y930" s="424"/>
      <c r="Z930" s="424"/>
      <c r="AA930" s="424"/>
      <c r="AB930" s="424"/>
      <c r="AC930" s="424"/>
      <c r="AD930" s="424"/>
      <c r="AE930" s="424"/>
      <c r="AF930" s="424"/>
      <c r="AG930" s="424"/>
      <c r="AH930" s="424"/>
      <c r="AI930" s="424"/>
      <c r="AM930" s="424"/>
      <c r="AN930" s="424"/>
      <c r="AO930" s="424"/>
      <c r="AP930" s="424"/>
      <c r="AQ930" s="424"/>
      <c r="AR930" s="424"/>
      <c r="AS930" s="424"/>
      <c r="AT930" s="424"/>
      <c r="AU930" s="424"/>
      <c r="AV930" s="424"/>
      <c r="AW930" s="424"/>
      <c r="AX930" s="424"/>
      <c r="AY930" s="424"/>
    </row>
    <row r="931" spans="2:51">
      <c r="B931" s="424"/>
      <c r="C931" s="424"/>
      <c r="D931" s="424"/>
      <c r="E931" s="424"/>
      <c r="F931" s="424"/>
      <c r="G931" s="424"/>
      <c r="H931" s="424"/>
      <c r="I931" s="424"/>
      <c r="J931" s="424"/>
      <c r="K931" s="424"/>
      <c r="L931" s="424"/>
      <c r="M931" s="424"/>
      <c r="N931" s="424"/>
      <c r="O931" s="424"/>
      <c r="P931" s="424"/>
      <c r="Q931" s="424"/>
      <c r="R931" s="424"/>
      <c r="S931" s="424"/>
      <c r="T931" s="424"/>
      <c r="U931" s="424"/>
      <c r="Y931" s="424"/>
      <c r="Z931" s="424"/>
      <c r="AA931" s="424"/>
      <c r="AB931" s="424"/>
      <c r="AC931" s="424"/>
      <c r="AD931" s="424"/>
      <c r="AE931" s="424"/>
      <c r="AF931" s="424"/>
      <c r="AG931" s="424"/>
      <c r="AH931" s="424"/>
      <c r="AI931" s="424"/>
      <c r="AM931" s="424"/>
      <c r="AN931" s="424"/>
      <c r="AO931" s="424"/>
      <c r="AP931" s="424"/>
      <c r="AQ931" s="424"/>
      <c r="AR931" s="424"/>
      <c r="AS931" s="424"/>
      <c r="AT931" s="424"/>
      <c r="AU931" s="424"/>
      <c r="AV931" s="424"/>
      <c r="AW931" s="424"/>
      <c r="AX931" s="424"/>
      <c r="AY931" s="424"/>
    </row>
    <row r="932" spans="2:51">
      <c r="B932" s="424"/>
      <c r="C932" s="424"/>
      <c r="D932" s="424"/>
      <c r="E932" s="424"/>
      <c r="F932" s="424"/>
      <c r="G932" s="424"/>
      <c r="H932" s="424"/>
      <c r="I932" s="424"/>
      <c r="J932" s="424"/>
      <c r="K932" s="424"/>
      <c r="L932" s="424"/>
      <c r="M932" s="424"/>
      <c r="N932" s="424"/>
      <c r="O932" s="424"/>
      <c r="P932" s="424"/>
      <c r="Q932" s="424"/>
      <c r="R932" s="424"/>
      <c r="S932" s="424"/>
      <c r="T932" s="424"/>
      <c r="U932" s="424"/>
      <c r="Y932" s="424"/>
      <c r="Z932" s="424"/>
      <c r="AA932" s="424"/>
      <c r="AB932" s="424"/>
      <c r="AC932" s="424"/>
      <c r="AD932" s="424"/>
      <c r="AE932" s="424"/>
      <c r="AF932" s="424"/>
      <c r="AG932" s="424"/>
      <c r="AH932" s="424"/>
      <c r="AI932" s="424"/>
      <c r="AM932" s="424"/>
      <c r="AN932" s="424"/>
      <c r="AO932" s="424"/>
      <c r="AP932" s="424"/>
      <c r="AQ932" s="424"/>
      <c r="AR932" s="424"/>
      <c r="AS932" s="424"/>
      <c r="AT932" s="424"/>
      <c r="AU932" s="424"/>
      <c r="AV932" s="424"/>
      <c r="AW932" s="424"/>
      <c r="AX932" s="424"/>
      <c r="AY932" s="424"/>
    </row>
    <row r="933" spans="2:51">
      <c r="B933" s="424"/>
      <c r="C933" s="424"/>
      <c r="D933" s="424"/>
      <c r="E933" s="424"/>
      <c r="F933" s="424"/>
      <c r="G933" s="424"/>
      <c r="H933" s="424"/>
      <c r="I933" s="424"/>
      <c r="J933" s="424"/>
      <c r="K933" s="424"/>
      <c r="L933" s="424"/>
      <c r="M933" s="424"/>
      <c r="N933" s="424"/>
      <c r="O933" s="424"/>
      <c r="P933" s="424"/>
      <c r="Q933" s="424"/>
      <c r="R933" s="424"/>
      <c r="S933" s="424"/>
      <c r="T933" s="424"/>
      <c r="U933" s="424"/>
      <c r="Y933" s="424"/>
      <c r="Z933" s="424"/>
      <c r="AA933" s="424"/>
      <c r="AB933" s="424"/>
      <c r="AC933" s="424"/>
      <c r="AD933" s="424"/>
      <c r="AE933" s="424"/>
      <c r="AF933" s="424"/>
      <c r="AG933" s="424"/>
      <c r="AH933" s="424"/>
      <c r="AI933" s="424"/>
      <c r="AM933" s="424"/>
      <c r="AN933" s="424"/>
      <c r="AO933" s="424"/>
      <c r="AP933" s="424"/>
      <c r="AQ933" s="424"/>
      <c r="AR933" s="424"/>
      <c r="AS933" s="424"/>
      <c r="AT933" s="424"/>
      <c r="AU933" s="424"/>
      <c r="AV933" s="424"/>
      <c r="AW933" s="424"/>
      <c r="AX933" s="424"/>
      <c r="AY933" s="424"/>
    </row>
    <row r="934" spans="2:51">
      <c r="B934" s="424"/>
      <c r="C934" s="424"/>
      <c r="D934" s="424"/>
      <c r="E934" s="424"/>
      <c r="F934" s="424"/>
      <c r="G934" s="424"/>
      <c r="H934" s="424"/>
      <c r="I934" s="424"/>
      <c r="J934" s="424"/>
      <c r="K934" s="424"/>
      <c r="L934" s="424"/>
      <c r="M934" s="424"/>
      <c r="N934" s="424"/>
      <c r="O934" s="424"/>
      <c r="P934" s="424"/>
      <c r="Q934" s="424"/>
      <c r="R934" s="424"/>
      <c r="S934" s="424"/>
      <c r="T934" s="424"/>
      <c r="U934" s="424"/>
      <c r="Y934" s="424"/>
      <c r="Z934" s="424"/>
      <c r="AA934" s="424"/>
      <c r="AB934" s="424"/>
      <c r="AC934" s="424"/>
      <c r="AD934" s="424"/>
      <c r="AE934" s="424"/>
      <c r="AF934" s="424"/>
      <c r="AG934" s="424"/>
      <c r="AH934" s="424"/>
      <c r="AI934" s="424"/>
      <c r="AM934" s="424"/>
      <c r="AN934" s="424"/>
      <c r="AO934" s="424"/>
      <c r="AP934" s="424"/>
      <c r="AQ934" s="424"/>
      <c r="AR934" s="424"/>
      <c r="AS934" s="424"/>
      <c r="AT934" s="424"/>
      <c r="AU934" s="424"/>
      <c r="AV934" s="424"/>
      <c r="AW934" s="424"/>
      <c r="AX934" s="424"/>
      <c r="AY934" s="424"/>
    </row>
    <row r="935" spans="2:51">
      <c r="B935" s="424"/>
      <c r="C935" s="424"/>
      <c r="D935" s="424"/>
      <c r="E935" s="424"/>
      <c r="F935" s="424"/>
      <c r="G935" s="424"/>
      <c r="H935" s="424"/>
      <c r="I935" s="424"/>
      <c r="J935" s="424"/>
      <c r="K935" s="424"/>
      <c r="L935" s="424"/>
      <c r="M935" s="424"/>
      <c r="N935" s="424"/>
      <c r="O935" s="424"/>
      <c r="P935" s="424"/>
      <c r="Q935" s="424"/>
      <c r="R935" s="424"/>
      <c r="S935" s="424"/>
      <c r="T935" s="424"/>
      <c r="U935" s="424"/>
      <c r="Y935" s="424"/>
      <c r="Z935" s="424"/>
      <c r="AA935" s="424"/>
      <c r="AB935" s="424"/>
      <c r="AC935" s="424"/>
      <c r="AD935" s="424"/>
      <c r="AE935" s="424"/>
      <c r="AF935" s="424"/>
      <c r="AG935" s="424"/>
      <c r="AH935" s="424"/>
      <c r="AI935" s="424"/>
      <c r="AM935" s="424"/>
      <c r="AN935" s="424"/>
      <c r="AO935" s="424"/>
      <c r="AP935" s="424"/>
      <c r="AQ935" s="424"/>
      <c r="AR935" s="424"/>
      <c r="AS935" s="424"/>
      <c r="AT935" s="424"/>
      <c r="AU935" s="424"/>
      <c r="AV935" s="424"/>
      <c r="AW935" s="424"/>
      <c r="AX935" s="424"/>
      <c r="AY935" s="424"/>
    </row>
    <row r="936" spans="2:51">
      <c r="B936" s="424"/>
      <c r="C936" s="424"/>
      <c r="D936" s="424"/>
      <c r="E936" s="424"/>
      <c r="F936" s="424"/>
      <c r="G936" s="424"/>
      <c r="H936" s="424"/>
      <c r="I936" s="424"/>
      <c r="J936" s="424"/>
      <c r="K936" s="424"/>
      <c r="L936" s="424"/>
      <c r="M936" s="424"/>
      <c r="N936" s="424"/>
      <c r="O936" s="424"/>
      <c r="P936" s="424"/>
      <c r="Q936" s="424"/>
      <c r="R936" s="424"/>
      <c r="S936" s="424"/>
      <c r="T936" s="424"/>
      <c r="U936" s="424"/>
      <c r="Y936" s="424"/>
      <c r="Z936" s="424"/>
      <c r="AA936" s="424"/>
      <c r="AB936" s="424"/>
      <c r="AC936" s="424"/>
      <c r="AD936" s="424"/>
      <c r="AE936" s="424"/>
      <c r="AF936" s="424"/>
      <c r="AG936" s="424"/>
      <c r="AH936" s="424"/>
      <c r="AI936" s="424"/>
      <c r="AM936" s="424"/>
      <c r="AN936" s="424"/>
      <c r="AO936" s="424"/>
      <c r="AP936" s="424"/>
      <c r="AQ936" s="424"/>
      <c r="AR936" s="424"/>
      <c r="AS936" s="424"/>
      <c r="AT936" s="424"/>
      <c r="AU936" s="424"/>
      <c r="AV936" s="424"/>
      <c r="AW936" s="424"/>
      <c r="AX936" s="424"/>
      <c r="AY936" s="424"/>
    </row>
    <row r="937" spans="2:51">
      <c r="B937" s="424"/>
      <c r="C937" s="424"/>
      <c r="D937" s="424"/>
      <c r="E937" s="424"/>
      <c r="F937" s="424"/>
      <c r="G937" s="424"/>
      <c r="H937" s="424"/>
      <c r="I937" s="424"/>
      <c r="J937" s="424"/>
      <c r="K937" s="424"/>
      <c r="L937" s="424"/>
      <c r="M937" s="424"/>
      <c r="N937" s="424"/>
      <c r="O937" s="424"/>
      <c r="P937" s="424"/>
      <c r="Q937" s="424"/>
      <c r="R937" s="424"/>
      <c r="S937" s="424"/>
      <c r="T937" s="424"/>
      <c r="U937" s="424"/>
      <c r="Y937" s="424"/>
      <c r="Z937" s="424"/>
      <c r="AA937" s="424"/>
      <c r="AB937" s="424"/>
      <c r="AC937" s="424"/>
      <c r="AD937" s="424"/>
      <c r="AE937" s="424"/>
      <c r="AF937" s="424"/>
      <c r="AG937" s="424"/>
      <c r="AH937" s="424"/>
      <c r="AI937" s="424"/>
      <c r="AM937" s="424"/>
      <c r="AN937" s="424"/>
      <c r="AO937" s="424"/>
      <c r="AP937" s="424"/>
      <c r="AQ937" s="424"/>
      <c r="AR937" s="424"/>
      <c r="AS937" s="424"/>
      <c r="AT937" s="424"/>
      <c r="AU937" s="424"/>
      <c r="AV937" s="424"/>
      <c r="AW937" s="424"/>
      <c r="AX937" s="424"/>
      <c r="AY937" s="424"/>
    </row>
    <row r="938" spans="2:51">
      <c r="B938" s="424"/>
      <c r="C938" s="424"/>
      <c r="D938" s="424"/>
      <c r="E938" s="424"/>
      <c r="F938" s="424"/>
      <c r="G938" s="424"/>
      <c r="H938" s="424"/>
      <c r="I938" s="424"/>
      <c r="J938" s="424"/>
      <c r="K938" s="424"/>
      <c r="L938" s="424"/>
      <c r="M938" s="424"/>
      <c r="N938" s="424"/>
      <c r="O938" s="424"/>
      <c r="P938" s="424"/>
      <c r="Q938" s="424"/>
      <c r="R938" s="424"/>
      <c r="S938" s="424"/>
      <c r="T938" s="424"/>
      <c r="U938" s="424"/>
      <c r="Y938" s="424"/>
      <c r="Z938" s="424"/>
      <c r="AA938" s="424"/>
      <c r="AB938" s="424"/>
      <c r="AC938" s="424"/>
      <c r="AD938" s="424"/>
      <c r="AE938" s="424"/>
      <c r="AF938" s="424"/>
      <c r="AG938" s="424"/>
      <c r="AH938" s="424"/>
      <c r="AI938" s="424"/>
      <c r="AM938" s="424"/>
      <c r="AN938" s="424"/>
      <c r="AO938" s="424"/>
      <c r="AP938" s="424"/>
      <c r="AQ938" s="424"/>
      <c r="AR938" s="424"/>
      <c r="AS938" s="424"/>
      <c r="AT938" s="424"/>
      <c r="AU938" s="424"/>
      <c r="AV938" s="424"/>
      <c r="AW938" s="424"/>
      <c r="AX938" s="424"/>
      <c r="AY938" s="424"/>
    </row>
    <row r="939" spans="2:51">
      <c r="B939" s="424"/>
      <c r="C939" s="424"/>
      <c r="D939" s="424"/>
      <c r="E939" s="424"/>
      <c r="F939" s="424"/>
      <c r="G939" s="424"/>
      <c r="H939" s="424"/>
      <c r="I939" s="424"/>
      <c r="J939" s="424"/>
      <c r="K939" s="424"/>
      <c r="L939" s="424"/>
      <c r="M939" s="424"/>
      <c r="N939" s="424"/>
      <c r="O939" s="424"/>
      <c r="P939" s="424"/>
      <c r="Q939" s="424"/>
      <c r="R939" s="424"/>
      <c r="S939" s="424"/>
      <c r="T939" s="424"/>
      <c r="U939" s="424"/>
      <c r="Y939" s="424"/>
      <c r="Z939" s="424"/>
      <c r="AA939" s="424"/>
      <c r="AB939" s="424"/>
      <c r="AC939" s="424"/>
      <c r="AD939" s="424"/>
      <c r="AE939" s="424"/>
      <c r="AF939" s="424"/>
      <c r="AG939" s="424"/>
      <c r="AH939" s="424"/>
      <c r="AI939" s="424"/>
      <c r="AM939" s="424"/>
      <c r="AN939" s="424"/>
      <c r="AO939" s="424"/>
      <c r="AP939" s="424"/>
      <c r="AQ939" s="424"/>
      <c r="AR939" s="424"/>
      <c r="AS939" s="424"/>
      <c r="AT939" s="424"/>
      <c r="AU939" s="424"/>
      <c r="AV939" s="424"/>
      <c r="AW939" s="424"/>
      <c r="AX939" s="424"/>
      <c r="AY939" s="424"/>
    </row>
    <row r="940" spans="2:51">
      <c r="B940" s="424"/>
      <c r="C940" s="424"/>
      <c r="D940" s="424"/>
      <c r="E940" s="424"/>
      <c r="F940" s="424"/>
      <c r="G940" s="424"/>
      <c r="H940" s="424"/>
      <c r="I940" s="424"/>
      <c r="J940" s="424"/>
      <c r="K940" s="424"/>
      <c r="L940" s="424"/>
      <c r="M940" s="424"/>
      <c r="N940" s="424"/>
      <c r="O940" s="424"/>
      <c r="P940" s="424"/>
      <c r="Q940" s="424"/>
      <c r="R940" s="424"/>
      <c r="S940" s="424"/>
      <c r="T940" s="424"/>
      <c r="U940" s="424"/>
      <c r="Y940" s="424"/>
      <c r="Z940" s="424"/>
      <c r="AA940" s="424"/>
      <c r="AB940" s="424"/>
      <c r="AC940" s="424"/>
      <c r="AD940" s="424"/>
      <c r="AE940" s="424"/>
      <c r="AF940" s="424"/>
      <c r="AG940" s="424"/>
      <c r="AH940" s="424"/>
      <c r="AI940" s="424"/>
      <c r="AM940" s="424"/>
      <c r="AN940" s="424"/>
      <c r="AO940" s="424"/>
      <c r="AP940" s="424"/>
      <c r="AQ940" s="424"/>
      <c r="AR940" s="424"/>
      <c r="AS940" s="424"/>
      <c r="AT940" s="424"/>
      <c r="AU940" s="424"/>
      <c r="AV940" s="424"/>
      <c r="AW940" s="424"/>
      <c r="AX940" s="424"/>
      <c r="AY940" s="424"/>
    </row>
    <row r="941" spans="2:51">
      <c r="B941" s="424"/>
      <c r="C941" s="424"/>
      <c r="D941" s="424"/>
      <c r="E941" s="424"/>
      <c r="F941" s="424"/>
      <c r="G941" s="424"/>
      <c r="H941" s="424"/>
      <c r="I941" s="424"/>
      <c r="J941" s="424"/>
      <c r="K941" s="424"/>
      <c r="L941" s="424"/>
      <c r="M941" s="424"/>
      <c r="N941" s="424"/>
      <c r="O941" s="424"/>
      <c r="P941" s="424"/>
      <c r="Q941" s="424"/>
      <c r="R941" s="424"/>
      <c r="S941" s="424"/>
      <c r="T941" s="424"/>
      <c r="U941" s="424"/>
      <c r="Y941" s="424"/>
      <c r="Z941" s="424"/>
      <c r="AA941" s="424"/>
      <c r="AB941" s="424"/>
      <c r="AC941" s="424"/>
      <c r="AD941" s="424"/>
      <c r="AE941" s="424"/>
      <c r="AF941" s="424"/>
      <c r="AG941" s="424"/>
      <c r="AH941" s="424"/>
      <c r="AI941" s="424"/>
      <c r="AM941" s="424"/>
      <c r="AN941" s="424"/>
      <c r="AO941" s="424"/>
      <c r="AP941" s="424"/>
      <c r="AQ941" s="424"/>
      <c r="AR941" s="424"/>
      <c r="AS941" s="424"/>
      <c r="AT941" s="424"/>
      <c r="AU941" s="424"/>
      <c r="AV941" s="424"/>
      <c r="AW941" s="424"/>
      <c r="AX941" s="424"/>
      <c r="AY941" s="424"/>
    </row>
    <row r="942" spans="2:51">
      <c r="B942" s="424"/>
      <c r="C942" s="424"/>
      <c r="D942" s="424"/>
      <c r="E942" s="424"/>
      <c r="F942" s="424"/>
      <c r="G942" s="424"/>
      <c r="H942" s="424"/>
      <c r="I942" s="424"/>
      <c r="J942" s="424"/>
      <c r="K942" s="424"/>
      <c r="L942" s="424"/>
      <c r="M942" s="424"/>
      <c r="N942" s="424"/>
      <c r="O942" s="424"/>
      <c r="P942" s="424"/>
      <c r="Q942" s="424"/>
      <c r="R942" s="424"/>
      <c r="S942" s="424"/>
      <c r="T942" s="424"/>
      <c r="U942" s="424"/>
      <c r="Y942" s="424"/>
      <c r="Z942" s="424"/>
      <c r="AA942" s="424"/>
      <c r="AB942" s="424"/>
      <c r="AC942" s="424"/>
      <c r="AD942" s="424"/>
      <c r="AE942" s="424"/>
      <c r="AF942" s="424"/>
      <c r="AG942" s="424"/>
      <c r="AH942" s="424"/>
      <c r="AI942" s="424"/>
      <c r="AM942" s="424"/>
      <c r="AN942" s="424"/>
      <c r="AO942" s="424"/>
      <c r="AP942" s="424"/>
      <c r="AQ942" s="424"/>
      <c r="AR942" s="424"/>
      <c r="AS942" s="424"/>
      <c r="AT942" s="424"/>
      <c r="AU942" s="424"/>
      <c r="AV942" s="424"/>
      <c r="AW942" s="424"/>
      <c r="AX942" s="424"/>
      <c r="AY942" s="424"/>
    </row>
    <row r="943" spans="2:51">
      <c r="B943" s="424"/>
      <c r="C943" s="424"/>
      <c r="D943" s="424"/>
      <c r="E943" s="424"/>
      <c r="F943" s="424"/>
      <c r="G943" s="424"/>
      <c r="H943" s="424"/>
      <c r="I943" s="424"/>
      <c r="J943" s="424"/>
      <c r="K943" s="424"/>
      <c r="L943" s="424"/>
      <c r="M943" s="424"/>
      <c r="N943" s="424"/>
      <c r="O943" s="424"/>
      <c r="P943" s="424"/>
      <c r="Q943" s="424"/>
      <c r="R943" s="424"/>
      <c r="S943" s="424"/>
      <c r="T943" s="424"/>
      <c r="U943" s="424"/>
      <c r="Y943" s="424"/>
      <c r="Z943" s="424"/>
      <c r="AA943" s="424"/>
      <c r="AB943" s="424"/>
      <c r="AC943" s="424"/>
      <c r="AD943" s="424"/>
      <c r="AE943" s="424"/>
      <c r="AF943" s="424"/>
      <c r="AG943" s="424"/>
      <c r="AH943" s="424"/>
      <c r="AI943" s="424"/>
      <c r="AM943" s="424"/>
      <c r="AN943" s="424"/>
      <c r="AO943" s="424"/>
      <c r="AP943" s="424"/>
      <c r="AQ943" s="424"/>
      <c r="AR943" s="424"/>
      <c r="AS943" s="424"/>
      <c r="AT943" s="424"/>
      <c r="AU943" s="424"/>
      <c r="AV943" s="424"/>
      <c r="AW943" s="424"/>
      <c r="AX943" s="424"/>
      <c r="AY943" s="424"/>
    </row>
    <row r="944" spans="2:51">
      <c r="B944" s="424"/>
      <c r="C944" s="424"/>
      <c r="D944" s="424"/>
      <c r="E944" s="424"/>
      <c r="F944" s="424"/>
      <c r="G944" s="424"/>
      <c r="H944" s="424"/>
      <c r="I944" s="424"/>
      <c r="J944" s="424"/>
      <c r="K944" s="424"/>
      <c r="L944" s="424"/>
      <c r="M944" s="424"/>
      <c r="N944" s="424"/>
      <c r="O944" s="424"/>
      <c r="P944" s="424"/>
      <c r="Q944" s="424"/>
      <c r="R944" s="424"/>
      <c r="S944" s="424"/>
      <c r="T944" s="424"/>
      <c r="U944" s="424"/>
      <c r="Y944" s="424"/>
      <c r="Z944" s="424"/>
      <c r="AA944" s="424"/>
      <c r="AB944" s="424"/>
      <c r="AC944" s="424"/>
      <c r="AD944" s="424"/>
      <c r="AE944" s="424"/>
      <c r="AF944" s="424"/>
      <c r="AG944" s="424"/>
      <c r="AH944" s="424"/>
      <c r="AI944" s="424"/>
      <c r="AM944" s="424"/>
      <c r="AN944" s="424"/>
      <c r="AO944" s="424"/>
      <c r="AP944" s="424"/>
      <c r="AQ944" s="424"/>
      <c r="AR944" s="424"/>
      <c r="AS944" s="424"/>
      <c r="AT944" s="424"/>
      <c r="AU944" s="424"/>
      <c r="AV944" s="424"/>
      <c r="AW944" s="424"/>
      <c r="AX944" s="424"/>
      <c r="AY944" s="424"/>
    </row>
    <row r="945" spans="2:51">
      <c r="B945" s="424"/>
      <c r="C945" s="424"/>
      <c r="D945" s="424"/>
      <c r="E945" s="424"/>
      <c r="F945" s="424"/>
      <c r="G945" s="424"/>
      <c r="H945" s="424"/>
      <c r="I945" s="424"/>
      <c r="J945" s="424"/>
      <c r="K945" s="424"/>
      <c r="L945" s="424"/>
      <c r="M945" s="424"/>
      <c r="N945" s="424"/>
      <c r="O945" s="424"/>
      <c r="P945" s="424"/>
      <c r="Q945" s="424"/>
      <c r="R945" s="424"/>
      <c r="S945" s="424"/>
      <c r="T945" s="424"/>
      <c r="U945" s="424"/>
      <c r="Y945" s="424"/>
      <c r="Z945" s="424"/>
      <c r="AA945" s="424"/>
      <c r="AB945" s="424"/>
      <c r="AC945" s="424"/>
      <c r="AD945" s="424"/>
      <c r="AE945" s="424"/>
      <c r="AF945" s="424"/>
      <c r="AG945" s="424"/>
      <c r="AH945" s="424"/>
      <c r="AI945" s="424"/>
      <c r="AM945" s="424"/>
      <c r="AN945" s="424"/>
      <c r="AO945" s="424"/>
      <c r="AP945" s="424"/>
      <c r="AQ945" s="424"/>
      <c r="AR945" s="424"/>
      <c r="AS945" s="424"/>
      <c r="AT945" s="424"/>
      <c r="AU945" s="424"/>
      <c r="AV945" s="424"/>
      <c r="AW945" s="424"/>
      <c r="AX945" s="424"/>
      <c r="AY945" s="424"/>
    </row>
    <row r="946" spans="2:51">
      <c r="B946" s="424"/>
      <c r="C946" s="424"/>
      <c r="D946" s="424"/>
      <c r="E946" s="424"/>
      <c r="F946" s="424"/>
      <c r="G946" s="424"/>
      <c r="H946" s="424"/>
      <c r="I946" s="424"/>
      <c r="J946" s="424"/>
      <c r="K946" s="424"/>
      <c r="L946" s="424"/>
      <c r="M946" s="424"/>
      <c r="N946" s="424"/>
      <c r="O946" s="424"/>
      <c r="P946" s="424"/>
      <c r="Q946" s="424"/>
      <c r="R946" s="424"/>
      <c r="S946" s="424"/>
      <c r="T946" s="424"/>
      <c r="U946" s="424"/>
      <c r="Y946" s="424"/>
      <c r="Z946" s="424"/>
      <c r="AA946" s="424"/>
      <c r="AB946" s="424"/>
      <c r="AC946" s="424"/>
      <c r="AD946" s="424"/>
      <c r="AE946" s="424"/>
      <c r="AF946" s="424"/>
      <c r="AG946" s="424"/>
      <c r="AH946" s="424"/>
      <c r="AI946" s="424"/>
      <c r="AM946" s="424"/>
      <c r="AN946" s="424"/>
      <c r="AO946" s="424"/>
      <c r="AP946" s="424"/>
      <c r="AQ946" s="424"/>
      <c r="AR946" s="424"/>
      <c r="AS946" s="424"/>
      <c r="AT946" s="424"/>
      <c r="AU946" s="424"/>
      <c r="AV946" s="424"/>
      <c r="AW946" s="424"/>
      <c r="AX946" s="424"/>
      <c r="AY946" s="424"/>
    </row>
    <row r="947" spans="2:51">
      <c r="B947" s="424"/>
      <c r="C947" s="424"/>
      <c r="D947" s="424"/>
      <c r="E947" s="424"/>
      <c r="F947" s="424"/>
      <c r="G947" s="424"/>
      <c r="H947" s="424"/>
      <c r="I947" s="424"/>
      <c r="J947" s="424"/>
      <c r="K947" s="424"/>
      <c r="L947" s="424"/>
      <c r="M947" s="424"/>
      <c r="N947" s="424"/>
      <c r="O947" s="424"/>
      <c r="P947" s="424"/>
      <c r="Q947" s="424"/>
      <c r="R947" s="424"/>
      <c r="S947" s="424"/>
      <c r="T947" s="424"/>
      <c r="U947" s="424"/>
      <c r="Y947" s="424"/>
      <c r="Z947" s="424"/>
      <c r="AA947" s="424"/>
      <c r="AB947" s="424"/>
      <c r="AC947" s="424"/>
      <c r="AD947" s="424"/>
      <c r="AE947" s="424"/>
      <c r="AF947" s="424"/>
      <c r="AG947" s="424"/>
      <c r="AH947" s="424"/>
      <c r="AI947" s="424"/>
      <c r="AM947" s="424"/>
      <c r="AN947" s="424"/>
      <c r="AO947" s="424"/>
      <c r="AP947" s="424"/>
      <c r="AQ947" s="424"/>
      <c r="AR947" s="424"/>
      <c r="AS947" s="424"/>
      <c r="AT947" s="424"/>
      <c r="AU947" s="424"/>
      <c r="AV947" s="424"/>
      <c r="AW947" s="424"/>
      <c r="AX947" s="424"/>
      <c r="AY947" s="424"/>
    </row>
    <row r="948" spans="2:51">
      <c r="B948" s="424"/>
      <c r="C948" s="424"/>
      <c r="D948" s="424"/>
      <c r="E948" s="424"/>
      <c r="F948" s="424"/>
      <c r="G948" s="424"/>
      <c r="H948" s="424"/>
      <c r="I948" s="424"/>
      <c r="J948" s="424"/>
      <c r="K948" s="424"/>
      <c r="L948" s="424"/>
      <c r="M948" s="424"/>
      <c r="N948" s="424"/>
      <c r="O948" s="424"/>
      <c r="P948" s="424"/>
      <c r="Q948" s="424"/>
      <c r="R948" s="424"/>
      <c r="S948" s="424"/>
      <c r="T948" s="424"/>
      <c r="U948" s="424"/>
      <c r="Y948" s="424"/>
      <c r="Z948" s="424"/>
      <c r="AA948" s="424"/>
      <c r="AB948" s="424"/>
      <c r="AC948" s="424"/>
      <c r="AD948" s="424"/>
      <c r="AE948" s="424"/>
      <c r="AF948" s="424"/>
      <c r="AG948" s="424"/>
      <c r="AH948" s="424"/>
      <c r="AI948" s="424"/>
      <c r="AM948" s="424"/>
      <c r="AN948" s="424"/>
      <c r="AO948" s="424"/>
      <c r="AP948" s="424"/>
      <c r="AQ948" s="424"/>
      <c r="AR948" s="424"/>
      <c r="AS948" s="424"/>
      <c r="AT948" s="424"/>
      <c r="AU948" s="424"/>
      <c r="AV948" s="424"/>
      <c r="AW948" s="424"/>
      <c r="AX948" s="424"/>
      <c r="AY948" s="424"/>
    </row>
    <row r="949" spans="2:51">
      <c r="B949" s="424"/>
      <c r="C949" s="424"/>
      <c r="D949" s="424"/>
      <c r="E949" s="424"/>
      <c r="F949" s="424"/>
      <c r="G949" s="424"/>
      <c r="H949" s="424"/>
      <c r="I949" s="424"/>
      <c r="J949" s="424"/>
      <c r="K949" s="424"/>
      <c r="L949" s="424"/>
      <c r="M949" s="424"/>
      <c r="N949" s="424"/>
      <c r="O949" s="424"/>
      <c r="P949" s="424"/>
      <c r="Q949" s="424"/>
      <c r="R949" s="424"/>
      <c r="S949" s="424"/>
      <c r="T949" s="424"/>
      <c r="U949" s="424"/>
      <c r="Y949" s="424"/>
      <c r="Z949" s="424"/>
      <c r="AA949" s="424"/>
      <c r="AB949" s="424"/>
      <c r="AC949" s="424"/>
      <c r="AD949" s="424"/>
      <c r="AE949" s="424"/>
      <c r="AF949" s="424"/>
      <c r="AG949" s="424"/>
      <c r="AH949" s="424"/>
      <c r="AI949" s="424"/>
      <c r="AM949" s="424"/>
      <c r="AN949" s="424"/>
      <c r="AO949" s="424"/>
      <c r="AP949" s="424"/>
      <c r="AQ949" s="424"/>
      <c r="AR949" s="424"/>
      <c r="AS949" s="424"/>
      <c r="AT949" s="424"/>
      <c r="AU949" s="424"/>
      <c r="AV949" s="424"/>
      <c r="AW949" s="424"/>
      <c r="AX949" s="424"/>
      <c r="AY949" s="424"/>
    </row>
    <row r="950" spans="2:51">
      <c r="B950" s="424"/>
      <c r="C950" s="424"/>
      <c r="D950" s="424"/>
      <c r="E950" s="424"/>
      <c r="F950" s="424"/>
      <c r="G950" s="424"/>
      <c r="H950" s="424"/>
      <c r="I950" s="424"/>
      <c r="J950" s="424"/>
      <c r="K950" s="424"/>
      <c r="L950" s="424"/>
      <c r="M950" s="424"/>
      <c r="N950" s="424"/>
      <c r="O950" s="424"/>
      <c r="P950" s="424"/>
      <c r="Q950" s="424"/>
      <c r="R950" s="424"/>
      <c r="S950" s="424"/>
      <c r="T950" s="424"/>
      <c r="U950" s="424"/>
      <c r="Y950" s="424"/>
      <c r="Z950" s="424"/>
      <c r="AA950" s="424"/>
      <c r="AB950" s="424"/>
      <c r="AC950" s="424"/>
      <c r="AD950" s="424"/>
      <c r="AE950" s="424"/>
      <c r="AF950" s="424"/>
      <c r="AG950" s="424"/>
      <c r="AH950" s="424"/>
      <c r="AI950" s="424"/>
      <c r="AM950" s="424"/>
      <c r="AN950" s="424"/>
      <c r="AO950" s="424"/>
      <c r="AP950" s="424"/>
      <c r="AQ950" s="424"/>
      <c r="AR950" s="424"/>
      <c r="AS950" s="424"/>
      <c r="AT950" s="424"/>
      <c r="AU950" s="424"/>
      <c r="AV950" s="424"/>
      <c r="AW950" s="424"/>
      <c r="AX950" s="424"/>
      <c r="AY950" s="424"/>
    </row>
    <row r="951" spans="2:51">
      <c r="B951" s="424"/>
      <c r="C951" s="424"/>
      <c r="D951" s="424"/>
      <c r="E951" s="424"/>
      <c r="F951" s="424"/>
      <c r="G951" s="424"/>
      <c r="H951" s="424"/>
      <c r="I951" s="424"/>
      <c r="J951" s="424"/>
      <c r="K951" s="424"/>
      <c r="L951" s="424"/>
      <c r="M951" s="424"/>
      <c r="N951" s="424"/>
      <c r="O951" s="424"/>
      <c r="P951" s="424"/>
      <c r="Q951" s="424"/>
      <c r="R951" s="424"/>
      <c r="S951" s="424"/>
      <c r="T951" s="424"/>
      <c r="U951" s="424"/>
      <c r="Y951" s="424"/>
      <c r="Z951" s="424"/>
      <c r="AA951" s="424"/>
      <c r="AB951" s="424"/>
      <c r="AC951" s="424"/>
      <c r="AD951" s="424"/>
      <c r="AE951" s="424"/>
      <c r="AF951" s="424"/>
      <c r="AG951" s="424"/>
      <c r="AH951" s="424"/>
      <c r="AI951" s="424"/>
      <c r="AM951" s="424"/>
      <c r="AN951" s="424"/>
      <c r="AO951" s="424"/>
      <c r="AP951" s="424"/>
      <c r="AQ951" s="424"/>
      <c r="AR951" s="424"/>
      <c r="AS951" s="424"/>
      <c r="AT951" s="424"/>
      <c r="AU951" s="424"/>
      <c r="AV951" s="424"/>
      <c r="AW951" s="424"/>
      <c r="AX951" s="424"/>
      <c r="AY951" s="424"/>
    </row>
    <row r="952" spans="2:51">
      <c r="B952" s="424"/>
      <c r="C952" s="424"/>
      <c r="D952" s="424"/>
      <c r="E952" s="424"/>
      <c r="F952" s="424"/>
      <c r="G952" s="424"/>
      <c r="H952" s="424"/>
      <c r="I952" s="424"/>
      <c r="J952" s="424"/>
      <c r="K952" s="424"/>
      <c r="L952" s="424"/>
      <c r="M952" s="424"/>
      <c r="N952" s="424"/>
      <c r="O952" s="424"/>
      <c r="P952" s="424"/>
      <c r="Q952" s="424"/>
      <c r="R952" s="424"/>
      <c r="S952" s="424"/>
      <c r="T952" s="424"/>
      <c r="U952" s="424"/>
      <c r="Y952" s="424"/>
      <c r="Z952" s="424"/>
      <c r="AA952" s="424"/>
      <c r="AB952" s="424"/>
      <c r="AC952" s="424"/>
      <c r="AD952" s="424"/>
      <c r="AE952" s="424"/>
      <c r="AF952" s="424"/>
      <c r="AG952" s="424"/>
      <c r="AH952" s="424"/>
      <c r="AI952" s="424"/>
      <c r="AM952" s="424"/>
      <c r="AN952" s="424"/>
      <c r="AO952" s="424"/>
      <c r="AP952" s="424"/>
      <c r="AQ952" s="424"/>
      <c r="AR952" s="424"/>
      <c r="AS952" s="424"/>
      <c r="AT952" s="424"/>
      <c r="AU952" s="424"/>
      <c r="AV952" s="424"/>
      <c r="AW952" s="424"/>
      <c r="AX952" s="424"/>
      <c r="AY952" s="424"/>
    </row>
    <row r="953" spans="2:51">
      <c r="B953" s="424"/>
      <c r="C953" s="424"/>
      <c r="D953" s="424"/>
      <c r="E953" s="424"/>
      <c r="F953" s="424"/>
      <c r="G953" s="424"/>
      <c r="H953" s="424"/>
      <c r="I953" s="424"/>
      <c r="J953" s="424"/>
      <c r="K953" s="424"/>
      <c r="L953" s="424"/>
      <c r="M953" s="424"/>
      <c r="N953" s="424"/>
      <c r="O953" s="424"/>
      <c r="P953" s="424"/>
      <c r="Q953" s="424"/>
      <c r="R953" s="424"/>
      <c r="S953" s="424"/>
      <c r="T953" s="424"/>
      <c r="U953" s="424"/>
      <c r="Y953" s="424"/>
      <c r="Z953" s="424"/>
      <c r="AA953" s="424"/>
      <c r="AB953" s="424"/>
      <c r="AC953" s="424"/>
      <c r="AD953" s="424"/>
      <c r="AE953" s="424"/>
      <c r="AF953" s="424"/>
      <c r="AG953" s="424"/>
      <c r="AH953" s="424"/>
      <c r="AI953" s="424"/>
      <c r="AM953" s="424"/>
      <c r="AN953" s="424"/>
      <c r="AO953" s="424"/>
      <c r="AP953" s="424"/>
      <c r="AQ953" s="424"/>
      <c r="AR953" s="424"/>
      <c r="AS953" s="424"/>
      <c r="AT953" s="424"/>
      <c r="AU953" s="424"/>
      <c r="AV953" s="424"/>
      <c r="AW953" s="424"/>
      <c r="AX953" s="424"/>
      <c r="AY953" s="424"/>
    </row>
    <row r="954" spans="2:51">
      <c r="B954" s="424"/>
      <c r="C954" s="424"/>
      <c r="D954" s="424"/>
      <c r="E954" s="424"/>
      <c r="F954" s="424"/>
      <c r="G954" s="424"/>
      <c r="H954" s="424"/>
      <c r="I954" s="424"/>
      <c r="J954" s="424"/>
      <c r="K954" s="424"/>
      <c r="L954" s="424"/>
      <c r="M954" s="424"/>
      <c r="N954" s="424"/>
      <c r="O954" s="424"/>
      <c r="P954" s="424"/>
      <c r="Q954" s="424"/>
      <c r="R954" s="424"/>
      <c r="S954" s="424"/>
      <c r="T954" s="424"/>
      <c r="U954" s="424"/>
      <c r="Y954" s="424"/>
      <c r="Z954" s="424"/>
      <c r="AA954" s="424"/>
      <c r="AB954" s="424"/>
      <c r="AC954" s="424"/>
      <c r="AD954" s="424"/>
      <c r="AE954" s="424"/>
      <c r="AF954" s="424"/>
      <c r="AG954" s="424"/>
      <c r="AH954" s="424"/>
      <c r="AI954" s="424"/>
      <c r="AM954" s="424"/>
      <c r="AN954" s="424"/>
      <c r="AO954" s="424"/>
      <c r="AP954" s="424"/>
      <c r="AQ954" s="424"/>
      <c r="AR954" s="424"/>
      <c r="AS954" s="424"/>
      <c r="AT954" s="424"/>
      <c r="AU954" s="424"/>
      <c r="AV954" s="424"/>
      <c r="AW954" s="424"/>
      <c r="AX954" s="424"/>
      <c r="AY954" s="424"/>
    </row>
    <row r="955" spans="2:51">
      <c r="B955" s="424"/>
      <c r="C955" s="424"/>
      <c r="D955" s="424"/>
      <c r="E955" s="424"/>
      <c r="F955" s="424"/>
      <c r="G955" s="424"/>
      <c r="H955" s="424"/>
      <c r="I955" s="424"/>
      <c r="J955" s="424"/>
      <c r="K955" s="424"/>
      <c r="L955" s="424"/>
      <c r="M955" s="424"/>
      <c r="N955" s="424"/>
      <c r="O955" s="424"/>
      <c r="P955" s="424"/>
      <c r="Q955" s="424"/>
      <c r="R955" s="424"/>
      <c r="S955" s="424"/>
      <c r="T955" s="424"/>
      <c r="U955" s="424"/>
      <c r="Y955" s="424"/>
      <c r="Z955" s="424"/>
      <c r="AA955" s="424"/>
      <c r="AB955" s="424"/>
      <c r="AC955" s="424"/>
      <c r="AD955" s="424"/>
      <c r="AE955" s="424"/>
      <c r="AF955" s="424"/>
      <c r="AG955" s="424"/>
      <c r="AH955" s="424"/>
      <c r="AI955" s="424"/>
      <c r="AM955" s="424"/>
      <c r="AN955" s="424"/>
      <c r="AO955" s="424"/>
      <c r="AP955" s="424"/>
      <c r="AQ955" s="424"/>
      <c r="AR955" s="424"/>
      <c r="AS955" s="424"/>
      <c r="AT955" s="424"/>
      <c r="AU955" s="424"/>
      <c r="AV955" s="424"/>
      <c r="AW955" s="424"/>
      <c r="AX955" s="424"/>
      <c r="AY955" s="424"/>
    </row>
    <row r="956" spans="2:51">
      <c r="B956" s="424"/>
      <c r="C956" s="424"/>
      <c r="D956" s="424"/>
      <c r="E956" s="424"/>
      <c r="F956" s="424"/>
      <c r="G956" s="424"/>
      <c r="H956" s="424"/>
      <c r="I956" s="424"/>
      <c r="J956" s="424"/>
      <c r="K956" s="424"/>
      <c r="L956" s="424"/>
      <c r="M956" s="424"/>
      <c r="N956" s="424"/>
      <c r="O956" s="424"/>
      <c r="P956" s="424"/>
      <c r="Q956" s="424"/>
      <c r="R956" s="424"/>
      <c r="S956" s="424"/>
      <c r="T956" s="424"/>
      <c r="U956" s="424"/>
      <c r="Y956" s="424"/>
      <c r="Z956" s="424"/>
      <c r="AA956" s="424"/>
      <c r="AB956" s="424"/>
      <c r="AC956" s="424"/>
      <c r="AD956" s="424"/>
      <c r="AE956" s="424"/>
      <c r="AF956" s="424"/>
      <c r="AG956" s="424"/>
      <c r="AH956" s="424"/>
      <c r="AI956" s="424"/>
      <c r="AM956" s="424"/>
      <c r="AN956" s="424"/>
      <c r="AO956" s="424"/>
      <c r="AP956" s="424"/>
      <c r="AQ956" s="424"/>
      <c r="AR956" s="424"/>
      <c r="AS956" s="424"/>
      <c r="AT956" s="424"/>
      <c r="AU956" s="424"/>
      <c r="AV956" s="424"/>
      <c r="AW956" s="424"/>
      <c r="AX956" s="424"/>
      <c r="AY956" s="424"/>
    </row>
    <row r="957" spans="2:51">
      <c r="B957" s="424"/>
      <c r="C957" s="424"/>
      <c r="D957" s="424"/>
      <c r="E957" s="424"/>
      <c r="F957" s="424"/>
      <c r="G957" s="424"/>
      <c r="H957" s="424"/>
      <c r="I957" s="424"/>
      <c r="J957" s="424"/>
      <c r="K957" s="424"/>
      <c r="L957" s="424"/>
      <c r="M957" s="424"/>
      <c r="N957" s="424"/>
      <c r="O957" s="424"/>
      <c r="P957" s="424"/>
      <c r="Q957" s="424"/>
      <c r="R957" s="424"/>
      <c r="S957" s="424"/>
      <c r="T957" s="424"/>
      <c r="U957" s="424"/>
      <c r="Y957" s="424"/>
      <c r="Z957" s="424"/>
      <c r="AA957" s="424"/>
      <c r="AB957" s="424"/>
      <c r="AC957" s="424"/>
      <c r="AD957" s="424"/>
      <c r="AE957" s="424"/>
      <c r="AF957" s="424"/>
      <c r="AG957" s="424"/>
      <c r="AH957" s="424"/>
      <c r="AI957" s="424"/>
      <c r="AM957" s="424"/>
      <c r="AN957" s="424"/>
      <c r="AO957" s="424"/>
      <c r="AP957" s="424"/>
      <c r="AQ957" s="424"/>
      <c r="AR957" s="424"/>
      <c r="AS957" s="424"/>
      <c r="AT957" s="424"/>
      <c r="AU957" s="424"/>
      <c r="AV957" s="424"/>
      <c r="AW957" s="424"/>
      <c r="AX957" s="424"/>
      <c r="AY957" s="424"/>
    </row>
    <row r="958" spans="2:51">
      <c r="B958" s="424"/>
      <c r="C958" s="424"/>
      <c r="D958" s="424"/>
      <c r="E958" s="424"/>
      <c r="F958" s="424"/>
      <c r="G958" s="424"/>
      <c r="H958" s="424"/>
      <c r="I958" s="424"/>
      <c r="J958" s="424"/>
      <c r="K958" s="424"/>
      <c r="L958" s="424"/>
      <c r="M958" s="424"/>
      <c r="N958" s="424"/>
      <c r="O958" s="424"/>
      <c r="P958" s="424"/>
      <c r="Q958" s="424"/>
      <c r="R958" s="424"/>
      <c r="S958" s="424"/>
      <c r="T958" s="424"/>
      <c r="U958" s="424"/>
      <c r="Y958" s="424"/>
      <c r="Z958" s="424"/>
      <c r="AA958" s="424"/>
      <c r="AB958" s="424"/>
      <c r="AC958" s="424"/>
      <c r="AD958" s="424"/>
      <c r="AE958" s="424"/>
      <c r="AF958" s="424"/>
      <c r="AG958" s="424"/>
      <c r="AH958" s="424"/>
      <c r="AI958" s="424"/>
      <c r="AM958" s="424"/>
      <c r="AN958" s="424"/>
      <c r="AO958" s="424"/>
      <c r="AP958" s="424"/>
      <c r="AQ958" s="424"/>
      <c r="AR958" s="424"/>
      <c r="AS958" s="424"/>
      <c r="AT958" s="424"/>
      <c r="AU958" s="424"/>
      <c r="AV958" s="424"/>
      <c r="AW958" s="424"/>
      <c r="AX958" s="424"/>
      <c r="AY958" s="424"/>
    </row>
    <row r="959" spans="2:51">
      <c r="B959" s="424"/>
      <c r="C959" s="424"/>
      <c r="D959" s="424"/>
      <c r="E959" s="424"/>
      <c r="F959" s="424"/>
      <c r="G959" s="424"/>
      <c r="H959" s="424"/>
      <c r="I959" s="424"/>
      <c r="J959" s="424"/>
      <c r="K959" s="424"/>
      <c r="L959" s="424"/>
      <c r="M959" s="424"/>
      <c r="N959" s="424"/>
      <c r="O959" s="424"/>
      <c r="P959" s="424"/>
      <c r="Q959" s="424"/>
      <c r="R959" s="424"/>
      <c r="S959" s="424"/>
      <c r="T959" s="424"/>
      <c r="U959" s="424"/>
      <c r="Y959" s="424"/>
      <c r="Z959" s="424"/>
      <c r="AA959" s="424"/>
      <c r="AB959" s="424"/>
      <c r="AC959" s="424"/>
      <c r="AD959" s="424"/>
      <c r="AE959" s="424"/>
      <c r="AF959" s="424"/>
      <c r="AG959" s="424"/>
      <c r="AH959" s="424"/>
      <c r="AI959" s="424"/>
      <c r="AM959" s="424"/>
      <c r="AN959" s="424"/>
      <c r="AO959" s="424"/>
      <c r="AP959" s="424"/>
      <c r="AQ959" s="424"/>
      <c r="AR959" s="424"/>
      <c r="AS959" s="424"/>
      <c r="AT959" s="424"/>
      <c r="AU959" s="424"/>
      <c r="AV959" s="424"/>
      <c r="AW959" s="424"/>
      <c r="AX959" s="424"/>
      <c r="AY959" s="424"/>
    </row>
    <row r="960" spans="2:51">
      <c r="B960" s="424"/>
      <c r="C960" s="424"/>
      <c r="D960" s="424"/>
      <c r="E960" s="424"/>
      <c r="F960" s="424"/>
      <c r="G960" s="424"/>
      <c r="H960" s="424"/>
      <c r="I960" s="424"/>
      <c r="J960" s="424"/>
      <c r="K960" s="424"/>
      <c r="L960" s="424"/>
      <c r="M960" s="424"/>
      <c r="N960" s="424"/>
      <c r="O960" s="424"/>
      <c r="P960" s="424"/>
      <c r="Q960" s="424"/>
      <c r="R960" s="424"/>
      <c r="S960" s="424"/>
      <c r="T960" s="424"/>
      <c r="U960" s="424"/>
      <c r="Y960" s="424"/>
      <c r="Z960" s="424"/>
      <c r="AA960" s="424"/>
      <c r="AB960" s="424"/>
      <c r="AC960" s="424"/>
      <c r="AD960" s="424"/>
      <c r="AE960" s="424"/>
      <c r="AF960" s="424"/>
      <c r="AG960" s="424"/>
      <c r="AH960" s="424"/>
      <c r="AI960" s="424"/>
      <c r="AM960" s="424"/>
      <c r="AN960" s="424"/>
      <c r="AO960" s="424"/>
      <c r="AP960" s="424"/>
      <c r="AQ960" s="424"/>
      <c r="AR960" s="424"/>
      <c r="AS960" s="424"/>
      <c r="AT960" s="424"/>
      <c r="AU960" s="424"/>
      <c r="AV960" s="424"/>
      <c r="AW960" s="424"/>
      <c r="AX960" s="424"/>
      <c r="AY960" s="424"/>
    </row>
    <row r="961" spans="2:51">
      <c r="B961" s="424"/>
      <c r="C961" s="424"/>
      <c r="D961" s="424"/>
      <c r="E961" s="424"/>
      <c r="F961" s="424"/>
      <c r="G961" s="424"/>
      <c r="H961" s="424"/>
      <c r="I961" s="424"/>
      <c r="J961" s="424"/>
      <c r="K961" s="424"/>
      <c r="L961" s="424"/>
      <c r="M961" s="424"/>
      <c r="N961" s="424"/>
      <c r="O961" s="424"/>
      <c r="P961" s="424"/>
      <c r="Q961" s="424"/>
      <c r="R961" s="424"/>
      <c r="S961" s="424"/>
      <c r="T961" s="424"/>
      <c r="U961" s="424"/>
      <c r="Y961" s="424"/>
      <c r="Z961" s="424"/>
      <c r="AA961" s="424"/>
      <c r="AB961" s="424"/>
      <c r="AC961" s="424"/>
      <c r="AD961" s="424"/>
      <c r="AE961" s="424"/>
      <c r="AF961" s="424"/>
      <c r="AG961" s="424"/>
      <c r="AH961" s="424"/>
      <c r="AI961" s="424"/>
      <c r="AM961" s="424"/>
      <c r="AN961" s="424"/>
      <c r="AO961" s="424"/>
      <c r="AP961" s="424"/>
      <c r="AQ961" s="424"/>
      <c r="AR961" s="424"/>
      <c r="AS961" s="424"/>
      <c r="AT961" s="424"/>
      <c r="AU961" s="424"/>
      <c r="AV961" s="424"/>
      <c r="AW961" s="424"/>
      <c r="AX961" s="424"/>
      <c r="AY961" s="424"/>
    </row>
    <row r="962" spans="2:51">
      <c r="B962" s="424"/>
      <c r="C962" s="424"/>
      <c r="D962" s="424"/>
      <c r="E962" s="424"/>
      <c r="F962" s="424"/>
      <c r="G962" s="424"/>
      <c r="H962" s="424"/>
      <c r="I962" s="424"/>
      <c r="J962" s="424"/>
      <c r="K962" s="424"/>
      <c r="L962" s="424"/>
      <c r="M962" s="424"/>
      <c r="N962" s="424"/>
      <c r="O962" s="424"/>
      <c r="P962" s="424"/>
      <c r="Q962" s="424"/>
      <c r="R962" s="424"/>
      <c r="S962" s="424"/>
      <c r="T962" s="424"/>
      <c r="U962" s="424"/>
      <c r="Y962" s="424"/>
      <c r="Z962" s="424"/>
      <c r="AA962" s="424"/>
      <c r="AB962" s="424"/>
      <c r="AC962" s="424"/>
      <c r="AD962" s="424"/>
      <c r="AE962" s="424"/>
      <c r="AF962" s="424"/>
      <c r="AG962" s="424"/>
      <c r="AH962" s="424"/>
      <c r="AI962" s="424"/>
      <c r="AM962" s="424"/>
      <c r="AN962" s="424"/>
      <c r="AO962" s="424"/>
      <c r="AP962" s="424"/>
      <c r="AQ962" s="424"/>
      <c r="AR962" s="424"/>
      <c r="AS962" s="424"/>
      <c r="AT962" s="424"/>
      <c r="AU962" s="424"/>
      <c r="AV962" s="424"/>
      <c r="AW962" s="424"/>
      <c r="AX962" s="424"/>
      <c r="AY962" s="424"/>
    </row>
    <row r="963" spans="2:51">
      <c r="B963" s="424"/>
      <c r="C963" s="424"/>
      <c r="D963" s="424"/>
      <c r="E963" s="424"/>
      <c r="F963" s="424"/>
      <c r="G963" s="424"/>
      <c r="H963" s="424"/>
      <c r="I963" s="424"/>
      <c r="J963" s="424"/>
      <c r="K963" s="424"/>
      <c r="L963" s="424"/>
      <c r="M963" s="424"/>
      <c r="N963" s="424"/>
      <c r="O963" s="424"/>
      <c r="P963" s="424"/>
      <c r="Q963" s="424"/>
      <c r="R963" s="424"/>
      <c r="S963" s="424"/>
      <c r="T963" s="424"/>
      <c r="U963" s="424"/>
      <c r="Y963" s="424"/>
      <c r="Z963" s="424"/>
      <c r="AA963" s="424"/>
      <c r="AB963" s="424"/>
      <c r="AC963" s="424"/>
      <c r="AD963" s="424"/>
      <c r="AE963" s="424"/>
      <c r="AF963" s="424"/>
      <c r="AG963" s="424"/>
      <c r="AH963" s="424"/>
      <c r="AI963" s="424"/>
      <c r="AM963" s="424"/>
      <c r="AN963" s="424"/>
      <c r="AO963" s="424"/>
      <c r="AP963" s="424"/>
      <c r="AQ963" s="424"/>
      <c r="AR963" s="424"/>
      <c r="AS963" s="424"/>
      <c r="AT963" s="424"/>
      <c r="AU963" s="424"/>
      <c r="AV963" s="424"/>
      <c r="AW963" s="424"/>
      <c r="AX963" s="424"/>
      <c r="AY963" s="424"/>
    </row>
    <row r="964" spans="2:51">
      <c r="B964" s="424"/>
      <c r="C964" s="424"/>
      <c r="D964" s="424"/>
      <c r="E964" s="424"/>
      <c r="F964" s="424"/>
      <c r="G964" s="424"/>
      <c r="H964" s="424"/>
      <c r="I964" s="424"/>
      <c r="J964" s="424"/>
      <c r="K964" s="424"/>
      <c r="L964" s="424"/>
      <c r="M964" s="424"/>
      <c r="N964" s="424"/>
      <c r="O964" s="424"/>
      <c r="P964" s="424"/>
      <c r="Q964" s="424"/>
      <c r="R964" s="424"/>
      <c r="S964" s="424"/>
      <c r="T964" s="424"/>
      <c r="U964" s="424"/>
      <c r="Y964" s="424"/>
      <c r="Z964" s="424"/>
      <c r="AA964" s="424"/>
      <c r="AB964" s="424"/>
      <c r="AC964" s="424"/>
      <c r="AD964" s="424"/>
      <c r="AE964" s="424"/>
      <c r="AF964" s="424"/>
      <c r="AG964" s="424"/>
      <c r="AH964" s="424"/>
      <c r="AI964" s="424"/>
      <c r="AM964" s="424"/>
      <c r="AN964" s="424"/>
      <c r="AO964" s="424"/>
      <c r="AP964" s="424"/>
      <c r="AQ964" s="424"/>
      <c r="AR964" s="424"/>
      <c r="AS964" s="424"/>
      <c r="AT964" s="424"/>
      <c r="AU964" s="424"/>
      <c r="AV964" s="424"/>
      <c r="AW964" s="424"/>
      <c r="AX964" s="424"/>
      <c r="AY964" s="424"/>
    </row>
    <row r="965" spans="2:51">
      <c r="B965" s="424"/>
      <c r="C965" s="424"/>
      <c r="D965" s="424"/>
      <c r="E965" s="424"/>
      <c r="F965" s="424"/>
      <c r="G965" s="424"/>
      <c r="H965" s="424"/>
      <c r="I965" s="424"/>
      <c r="J965" s="424"/>
      <c r="K965" s="424"/>
      <c r="L965" s="424"/>
      <c r="M965" s="424"/>
      <c r="N965" s="424"/>
      <c r="O965" s="424"/>
      <c r="P965" s="424"/>
      <c r="Q965" s="424"/>
      <c r="R965" s="424"/>
      <c r="S965" s="424"/>
      <c r="T965" s="424"/>
      <c r="U965" s="424"/>
      <c r="Y965" s="424"/>
      <c r="Z965" s="424"/>
      <c r="AA965" s="424"/>
      <c r="AB965" s="424"/>
      <c r="AC965" s="424"/>
      <c r="AD965" s="424"/>
      <c r="AE965" s="424"/>
      <c r="AF965" s="424"/>
      <c r="AG965" s="424"/>
      <c r="AH965" s="424"/>
      <c r="AI965" s="424"/>
      <c r="AM965" s="424"/>
      <c r="AN965" s="424"/>
      <c r="AO965" s="424"/>
      <c r="AP965" s="424"/>
      <c r="AQ965" s="424"/>
      <c r="AR965" s="424"/>
      <c r="AS965" s="424"/>
      <c r="AT965" s="424"/>
      <c r="AU965" s="424"/>
      <c r="AV965" s="424"/>
      <c r="AW965" s="424"/>
      <c r="AX965" s="424"/>
      <c r="AY965" s="424"/>
    </row>
    <row r="966" spans="2:51">
      <c r="B966" s="424"/>
      <c r="C966" s="424"/>
      <c r="D966" s="424"/>
      <c r="E966" s="424"/>
      <c r="F966" s="424"/>
      <c r="G966" s="424"/>
      <c r="H966" s="424"/>
      <c r="I966" s="424"/>
      <c r="J966" s="424"/>
      <c r="K966" s="424"/>
      <c r="L966" s="424"/>
      <c r="M966" s="424"/>
      <c r="N966" s="424"/>
      <c r="O966" s="424"/>
      <c r="P966" s="424"/>
      <c r="Q966" s="424"/>
      <c r="R966" s="424"/>
      <c r="S966" s="424"/>
      <c r="T966" s="424"/>
      <c r="U966" s="424"/>
      <c r="Y966" s="424"/>
      <c r="Z966" s="424"/>
      <c r="AA966" s="424"/>
      <c r="AB966" s="424"/>
      <c r="AC966" s="424"/>
      <c r="AD966" s="424"/>
      <c r="AE966" s="424"/>
      <c r="AF966" s="424"/>
      <c r="AG966" s="424"/>
      <c r="AH966" s="424"/>
      <c r="AI966" s="424"/>
      <c r="AM966" s="424"/>
      <c r="AN966" s="424"/>
      <c r="AO966" s="424"/>
      <c r="AP966" s="424"/>
      <c r="AQ966" s="424"/>
      <c r="AR966" s="424"/>
      <c r="AS966" s="424"/>
      <c r="AT966" s="424"/>
      <c r="AU966" s="424"/>
      <c r="AV966" s="424"/>
      <c r="AW966" s="424"/>
      <c r="AX966" s="424"/>
      <c r="AY966" s="424"/>
    </row>
    <row r="967" spans="2:51">
      <c r="B967" s="424"/>
      <c r="C967" s="424"/>
      <c r="D967" s="424"/>
      <c r="E967" s="424"/>
      <c r="F967" s="424"/>
      <c r="G967" s="424"/>
      <c r="H967" s="424"/>
      <c r="I967" s="424"/>
      <c r="J967" s="424"/>
      <c r="K967" s="424"/>
      <c r="L967" s="424"/>
      <c r="M967" s="424"/>
      <c r="N967" s="424"/>
      <c r="O967" s="424"/>
      <c r="P967" s="424"/>
      <c r="Q967" s="424"/>
      <c r="R967" s="424"/>
      <c r="S967" s="424"/>
      <c r="T967" s="424"/>
      <c r="U967" s="424"/>
      <c r="Y967" s="424"/>
      <c r="Z967" s="424"/>
      <c r="AA967" s="424"/>
      <c r="AB967" s="424"/>
      <c r="AC967" s="424"/>
      <c r="AD967" s="424"/>
      <c r="AE967" s="424"/>
      <c r="AF967" s="424"/>
      <c r="AG967" s="424"/>
      <c r="AH967" s="424"/>
      <c r="AI967" s="424"/>
      <c r="AM967" s="424"/>
      <c r="AN967" s="424"/>
      <c r="AO967" s="424"/>
      <c r="AP967" s="424"/>
      <c r="AQ967" s="424"/>
      <c r="AR967" s="424"/>
      <c r="AS967" s="424"/>
      <c r="AT967" s="424"/>
      <c r="AU967" s="424"/>
      <c r="AV967" s="424"/>
      <c r="AW967" s="424"/>
      <c r="AX967" s="424"/>
      <c r="AY967" s="424"/>
    </row>
    <row r="968" spans="2:51">
      <c r="B968" s="424"/>
      <c r="C968" s="424"/>
      <c r="D968" s="424"/>
      <c r="E968" s="424"/>
      <c r="F968" s="424"/>
      <c r="G968" s="424"/>
      <c r="H968" s="424"/>
      <c r="I968" s="424"/>
      <c r="J968" s="424"/>
      <c r="K968" s="424"/>
      <c r="L968" s="424"/>
      <c r="M968" s="424"/>
      <c r="N968" s="424"/>
      <c r="O968" s="424"/>
      <c r="P968" s="424"/>
      <c r="Q968" s="424"/>
      <c r="R968" s="424"/>
      <c r="S968" s="424"/>
      <c r="T968" s="424"/>
      <c r="U968" s="424"/>
      <c r="Y968" s="424"/>
      <c r="Z968" s="424"/>
      <c r="AA968" s="424"/>
      <c r="AB968" s="424"/>
      <c r="AC968" s="424"/>
      <c r="AD968" s="424"/>
      <c r="AE968" s="424"/>
      <c r="AF968" s="424"/>
      <c r="AG968" s="424"/>
      <c r="AH968" s="424"/>
      <c r="AI968" s="424"/>
      <c r="AM968" s="424"/>
      <c r="AN968" s="424"/>
      <c r="AO968" s="424"/>
      <c r="AP968" s="424"/>
      <c r="AQ968" s="424"/>
      <c r="AR968" s="424"/>
      <c r="AS968" s="424"/>
      <c r="AT968" s="424"/>
      <c r="AU968" s="424"/>
      <c r="AV968" s="424"/>
      <c r="AW968" s="424"/>
      <c r="AX968" s="424"/>
      <c r="AY968" s="424"/>
    </row>
    <row r="969" spans="2:51">
      <c r="B969" s="424"/>
      <c r="C969" s="424"/>
      <c r="D969" s="424"/>
      <c r="E969" s="424"/>
      <c r="F969" s="424"/>
      <c r="G969" s="424"/>
      <c r="H969" s="424"/>
      <c r="I969" s="424"/>
      <c r="J969" s="424"/>
      <c r="K969" s="424"/>
      <c r="L969" s="424"/>
      <c r="M969" s="424"/>
      <c r="N969" s="424"/>
      <c r="O969" s="424"/>
      <c r="P969" s="424"/>
      <c r="Q969" s="424"/>
      <c r="R969" s="424"/>
      <c r="S969" s="424"/>
      <c r="T969" s="424"/>
      <c r="U969" s="424"/>
      <c r="Y969" s="424"/>
      <c r="Z969" s="424"/>
      <c r="AA969" s="424"/>
      <c r="AB969" s="424"/>
      <c r="AC969" s="424"/>
      <c r="AD969" s="424"/>
      <c r="AE969" s="424"/>
      <c r="AF969" s="424"/>
      <c r="AG969" s="424"/>
      <c r="AH969" s="424"/>
      <c r="AI969" s="424"/>
      <c r="AM969" s="424"/>
      <c r="AN969" s="424"/>
      <c r="AO969" s="424"/>
      <c r="AP969" s="424"/>
      <c r="AQ969" s="424"/>
      <c r="AR969" s="424"/>
      <c r="AS969" s="424"/>
      <c r="AT969" s="424"/>
      <c r="AU969" s="424"/>
      <c r="AV969" s="424"/>
      <c r="AW969" s="424"/>
      <c r="AX969" s="424"/>
      <c r="AY969" s="424"/>
    </row>
    <row r="970" spans="2:51">
      <c r="B970" s="424"/>
      <c r="C970" s="424"/>
      <c r="D970" s="424"/>
      <c r="E970" s="424"/>
      <c r="F970" s="424"/>
      <c r="G970" s="424"/>
      <c r="H970" s="424"/>
      <c r="I970" s="424"/>
      <c r="J970" s="424"/>
      <c r="K970" s="424"/>
      <c r="L970" s="424"/>
      <c r="M970" s="424"/>
      <c r="N970" s="424"/>
      <c r="O970" s="424"/>
      <c r="P970" s="424"/>
      <c r="Q970" s="424"/>
      <c r="R970" s="424"/>
      <c r="S970" s="424"/>
      <c r="T970" s="424"/>
      <c r="U970" s="424"/>
      <c r="Y970" s="424"/>
      <c r="Z970" s="424"/>
      <c r="AA970" s="424"/>
      <c r="AB970" s="424"/>
      <c r="AC970" s="424"/>
      <c r="AD970" s="424"/>
      <c r="AE970" s="424"/>
      <c r="AF970" s="424"/>
      <c r="AG970" s="424"/>
      <c r="AH970" s="424"/>
      <c r="AI970" s="424"/>
      <c r="AM970" s="424"/>
      <c r="AN970" s="424"/>
      <c r="AO970" s="424"/>
      <c r="AP970" s="424"/>
      <c r="AQ970" s="424"/>
      <c r="AR970" s="424"/>
      <c r="AS970" s="424"/>
      <c r="AT970" s="424"/>
      <c r="AU970" s="424"/>
      <c r="AV970" s="424"/>
      <c r="AW970" s="424"/>
      <c r="AX970" s="424"/>
      <c r="AY970" s="424"/>
    </row>
    <row r="971" spans="2:51">
      <c r="B971" s="424"/>
      <c r="C971" s="424"/>
      <c r="D971" s="424"/>
      <c r="E971" s="424"/>
      <c r="F971" s="424"/>
      <c r="G971" s="424"/>
      <c r="H971" s="424"/>
      <c r="I971" s="424"/>
      <c r="J971" s="424"/>
      <c r="K971" s="424"/>
      <c r="L971" s="424"/>
      <c r="M971" s="424"/>
      <c r="N971" s="424"/>
      <c r="O971" s="424"/>
      <c r="P971" s="424"/>
      <c r="Q971" s="424"/>
      <c r="R971" s="424"/>
      <c r="S971" s="424"/>
      <c r="T971" s="424"/>
      <c r="U971" s="424"/>
      <c r="Y971" s="424"/>
      <c r="Z971" s="424"/>
      <c r="AA971" s="424"/>
      <c r="AB971" s="424"/>
      <c r="AC971" s="424"/>
      <c r="AD971" s="424"/>
      <c r="AE971" s="424"/>
      <c r="AF971" s="424"/>
      <c r="AG971" s="424"/>
      <c r="AH971" s="424"/>
      <c r="AI971" s="424"/>
      <c r="AM971" s="424"/>
      <c r="AN971" s="424"/>
      <c r="AO971" s="424"/>
      <c r="AP971" s="424"/>
      <c r="AQ971" s="424"/>
      <c r="AR971" s="424"/>
      <c r="AS971" s="424"/>
      <c r="AT971" s="424"/>
      <c r="AU971" s="424"/>
      <c r="AV971" s="424"/>
      <c r="AW971" s="424"/>
      <c r="AX971" s="424"/>
      <c r="AY971" s="424"/>
    </row>
    <row r="972" spans="2:51">
      <c r="B972" s="424"/>
      <c r="C972" s="424"/>
      <c r="D972" s="424"/>
      <c r="E972" s="424"/>
      <c r="F972" s="424"/>
      <c r="G972" s="424"/>
      <c r="H972" s="424"/>
      <c r="I972" s="424"/>
      <c r="J972" s="424"/>
      <c r="K972" s="424"/>
      <c r="L972" s="424"/>
      <c r="M972" s="424"/>
      <c r="N972" s="424"/>
      <c r="O972" s="424"/>
      <c r="P972" s="424"/>
      <c r="Q972" s="424"/>
      <c r="R972" s="424"/>
      <c r="S972" s="424"/>
      <c r="T972" s="424"/>
      <c r="U972" s="424"/>
      <c r="Y972" s="424"/>
      <c r="Z972" s="424"/>
      <c r="AA972" s="424"/>
      <c r="AB972" s="424"/>
      <c r="AC972" s="424"/>
      <c r="AD972" s="424"/>
      <c r="AE972" s="424"/>
      <c r="AF972" s="424"/>
      <c r="AG972" s="424"/>
      <c r="AH972" s="424"/>
      <c r="AI972" s="424"/>
      <c r="AM972" s="424"/>
      <c r="AN972" s="424"/>
      <c r="AO972" s="424"/>
      <c r="AP972" s="424"/>
      <c r="AQ972" s="424"/>
      <c r="AR972" s="424"/>
      <c r="AS972" s="424"/>
      <c r="AT972" s="424"/>
      <c r="AU972" s="424"/>
      <c r="AV972" s="424"/>
      <c r="AW972" s="424"/>
      <c r="AX972" s="424"/>
      <c r="AY972" s="424"/>
    </row>
    <row r="973" spans="2:51">
      <c r="B973" s="424"/>
      <c r="C973" s="424"/>
      <c r="D973" s="424"/>
      <c r="E973" s="424"/>
      <c r="F973" s="424"/>
      <c r="G973" s="424"/>
      <c r="H973" s="424"/>
      <c r="I973" s="424"/>
      <c r="J973" s="424"/>
      <c r="K973" s="424"/>
      <c r="L973" s="424"/>
      <c r="M973" s="424"/>
      <c r="N973" s="424"/>
      <c r="O973" s="424"/>
      <c r="P973" s="424"/>
      <c r="Q973" s="424"/>
      <c r="R973" s="424"/>
      <c r="S973" s="424"/>
      <c r="T973" s="424"/>
      <c r="U973" s="424"/>
      <c r="Y973" s="424"/>
      <c r="Z973" s="424"/>
      <c r="AA973" s="424"/>
      <c r="AB973" s="424"/>
      <c r="AC973" s="424"/>
      <c r="AD973" s="424"/>
      <c r="AE973" s="424"/>
      <c r="AF973" s="424"/>
      <c r="AG973" s="424"/>
      <c r="AH973" s="424"/>
      <c r="AI973" s="424"/>
      <c r="AM973" s="424"/>
      <c r="AN973" s="424"/>
      <c r="AO973" s="424"/>
      <c r="AP973" s="424"/>
      <c r="AQ973" s="424"/>
      <c r="AR973" s="424"/>
      <c r="AS973" s="424"/>
      <c r="AT973" s="424"/>
      <c r="AU973" s="424"/>
      <c r="AV973" s="424"/>
      <c r="AW973" s="424"/>
      <c r="AX973" s="424"/>
      <c r="AY973" s="424"/>
    </row>
    <row r="974" spans="2:51">
      <c r="B974" s="424"/>
      <c r="C974" s="424"/>
      <c r="D974" s="424"/>
      <c r="E974" s="424"/>
      <c r="F974" s="424"/>
      <c r="G974" s="424"/>
      <c r="H974" s="424"/>
      <c r="I974" s="424"/>
      <c r="J974" s="424"/>
      <c r="K974" s="424"/>
      <c r="L974" s="424"/>
      <c r="M974" s="424"/>
      <c r="N974" s="424"/>
      <c r="O974" s="424"/>
      <c r="P974" s="424"/>
      <c r="Q974" s="424"/>
      <c r="R974" s="424"/>
      <c r="S974" s="424"/>
      <c r="T974" s="424"/>
      <c r="U974" s="424"/>
      <c r="Y974" s="424"/>
      <c r="Z974" s="424"/>
      <c r="AA974" s="424"/>
      <c r="AB974" s="424"/>
      <c r="AC974" s="424"/>
      <c r="AD974" s="424"/>
      <c r="AE974" s="424"/>
      <c r="AF974" s="424"/>
      <c r="AG974" s="424"/>
      <c r="AH974" s="424"/>
      <c r="AI974" s="424"/>
      <c r="AM974" s="424"/>
      <c r="AN974" s="424"/>
      <c r="AO974" s="424"/>
      <c r="AP974" s="424"/>
      <c r="AQ974" s="424"/>
      <c r="AR974" s="424"/>
      <c r="AS974" s="424"/>
      <c r="AT974" s="424"/>
      <c r="AU974" s="424"/>
      <c r="AV974" s="424"/>
      <c r="AW974" s="424"/>
      <c r="AX974" s="424"/>
      <c r="AY974" s="424"/>
    </row>
    <row r="975" spans="2:51">
      <c r="B975" s="424"/>
      <c r="C975" s="424"/>
      <c r="D975" s="424"/>
      <c r="E975" s="424"/>
      <c r="F975" s="424"/>
      <c r="G975" s="424"/>
      <c r="H975" s="424"/>
      <c r="I975" s="424"/>
      <c r="J975" s="424"/>
      <c r="K975" s="424"/>
      <c r="L975" s="424"/>
      <c r="M975" s="424"/>
      <c r="N975" s="424"/>
      <c r="O975" s="424"/>
      <c r="P975" s="424"/>
      <c r="Q975" s="424"/>
      <c r="R975" s="424"/>
      <c r="S975" s="424"/>
      <c r="T975" s="424"/>
      <c r="U975" s="424"/>
      <c r="Y975" s="424"/>
      <c r="Z975" s="424"/>
      <c r="AA975" s="424"/>
      <c r="AB975" s="424"/>
      <c r="AC975" s="424"/>
      <c r="AD975" s="424"/>
      <c r="AE975" s="424"/>
      <c r="AF975" s="424"/>
      <c r="AG975" s="424"/>
      <c r="AH975" s="424"/>
      <c r="AI975" s="424"/>
      <c r="AM975" s="424"/>
      <c r="AN975" s="424"/>
      <c r="AO975" s="424"/>
      <c r="AP975" s="424"/>
      <c r="AQ975" s="424"/>
      <c r="AR975" s="424"/>
      <c r="AS975" s="424"/>
      <c r="AT975" s="424"/>
      <c r="AU975" s="424"/>
      <c r="AV975" s="424"/>
      <c r="AW975" s="424"/>
      <c r="AX975" s="424"/>
      <c r="AY975" s="424"/>
    </row>
    <row r="976" spans="2:51">
      <c r="B976" s="424"/>
      <c r="C976" s="424"/>
      <c r="D976" s="424"/>
      <c r="E976" s="424"/>
      <c r="F976" s="424"/>
      <c r="G976" s="424"/>
      <c r="H976" s="424"/>
      <c r="I976" s="424"/>
      <c r="J976" s="424"/>
      <c r="K976" s="424"/>
      <c r="L976" s="424"/>
      <c r="M976" s="424"/>
      <c r="N976" s="424"/>
      <c r="O976" s="424"/>
      <c r="P976" s="424"/>
      <c r="Q976" s="424"/>
      <c r="R976" s="424"/>
      <c r="S976" s="424"/>
      <c r="T976" s="424"/>
      <c r="U976" s="424"/>
      <c r="Y976" s="424"/>
      <c r="Z976" s="424"/>
      <c r="AA976" s="424"/>
      <c r="AB976" s="424"/>
      <c r="AC976" s="424"/>
      <c r="AD976" s="424"/>
      <c r="AE976" s="424"/>
      <c r="AF976" s="424"/>
      <c r="AG976" s="424"/>
      <c r="AH976" s="424"/>
      <c r="AI976" s="424"/>
      <c r="AM976" s="424"/>
      <c r="AN976" s="424"/>
      <c r="AO976" s="424"/>
      <c r="AP976" s="424"/>
      <c r="AQ976" s="424"/>
      <c r="AR976" s="424"/>
      <c r="AS976" s="424"/>
      <c r="AT976" s="424"/>
      <c r="AU976" s="424"/>
      <c r="AV976" s="424"/>
      <c r="AW976" s="424"/>
      <c r="AX976" s="424"/>
      <c r="AY976" s="424"/>
    </row>
    <row r="977" spans="2:51">
      <c r="B977" s="424"/>
      <c r="C977" s="424"/>
      <c r="D977" s="424"/>
      <c r="E977" s="424"/>
      <c r="F977" s="424"/>
      <c r="G977" s="424"/>
      <c r="H977" s="424"/>
      <c r="I977" s="424"/>
      <c r="J977" s="424"/>
      <c r="K977" s="424"/>
      <c r="L977" s="424"/>
      <c r="M977" s="424"/>
      <c r="N977" s="424"/>
      <c r="O977" s="424"/>
      <c r="P977" s="424"/>
      <c r="Q977" s="424"/>
      <c r="R977" s="424"/>
      <c r="S977" s="424"/>
      <c r="T977" s="424"/>
      <c r="U977" s="424"/>
      <c r="Y977" s="424"/>
      <c r="Z977" s="424"/>
      <c r="AA977" s="424"/>
      <c r="AB977" s="424"/>
      <c r="AC977" s="424"/>
      <c r="AD977" s="424"/>
      <c r="AE977" s="424"/>
      <c r="AF977" s="424"/>
      <c r="AG977" s="424"/>
      <c r="AH977" s="424"/>
      <c r="AI977" s="424"/>
      <c r="AM977" s="424"/>
      <c r="AN977" s="424"/>
      <c r="AO977" s="424"/>
      <c r="AP977" s="424"/>
      <c r="AQ977" s="424"/>
      <c r="AR977" s="424"/>
      <c r="AS977" s="424"/>
      <c r="AT977" s="424"/>
      <c r="AU977" s="424"/>
      <c r="AV977" s="424"/>
      <c r="AW977" s="424"/>
      <c r="AX977" s="424"/>
      <c r="AY977" s="424"/>
    </row>
    <row r="978" spans="2:51">
      <c r="B978" s="424"/>
      <c r="C978" s="424"/>
      <c r="D978" s="424"/>
      <c r="E978" s="424"/>
      <c r="F978" s="424"/>
      <c r="G978" s="424"/>
      <c r="H978" s="424"/>
      <c r="I978" s="424"/>
      <c r="J978" s="424"/>
      <c r="K978" s="424"/>
      <c r="L978" s="424"/>
      <c r="M978" s="424"/>
      <c r="N978" s="424"/>
      <c r="O978" s="424"/>
      <c r="P978" s="424"/>
      <c r="Q978" s="424"/>
      <c r="R978" s="424"/>
      <c r="S978" s="424"/>
      <c r="T978" s="424"/>
      <c r="U978" s="424"/>
      <c r="Y978" s="424"/>
      <c r="Z978" s="424"/>
      <c r="AA978" s="424"/>
      <c r="AB978" s="424"/>
      <c r="AC978" s="424"/>
      <c r="AD978" s="424"/>
      <c r="AE978" s="424"/>
      <c r="AF978" s="424"/>
      <c r="AG978" s="424"/>
      <c r="AH978" s="424"/>
      <c r="AI978" s="424"/>
      <c r="AM978" s="424"/>
      <c r="AN978" s="424"/>
      <c r="AO978" s="424"/>
      <c r="AP978" s="424"/>
      <c r="AQ978" s="424"/>
      <c r="AR978" s="424"/>
      <c r="AS978" s="424"/>
      <c r="AT978" s="424"/>
      <c r="AU978" s="424"/>
      <c r="AV978" s="424"/>
      <c r="AW978" s="424"/>
      <c r="AX978" s="424"/>
      <c r="AY978" s="424"/>
    </row>
    <row r="979" spans="2:51">
      <c r="B979" s="424"/>
      <c r="C979" s="424"/>
      <c r="D979" s="424"/>
      <c r="E979" s="424"/>
      <c r="F979" s="424"/>
      <c r="G979" s="424"/>
      <c r="H979" s="424"/>
      <c r="I979" s="424"/>
      <c r="J979" s="424"/>
      <c r="K979" s="424"/>
      <c r="L979" s="424"/>
      <c r="M979" s="424"/>
      <c r="N979" s="424"/>
      <c r="O979" s="424"/>
      <c r="P979" s="424"/>
      <c r="Q979" s="424"/>
      <c r="R979" s="424"/>
      <c r="S979" s="424"/>
      <c r="T979" s="424"/>
      <c r="U979" s="424"/>
      <c r="Y979" s="424"/>
      <c r="Z979" s="424"/>
      <c r="AA979" s="424"/>
      <c r="AB979" s="424"/>
      <c r="AC979" s="424"/>
      <c r="AD979" s="424"/>
      <c r="AE979" s="424"/>
      <c r="AF979" s="424"/>
      <c r="AG979" s="424"/>
      <c r="AH979" s="424"/>
      <c r="AI979" s="424"/>
      <c r="AM979" s="424"/>
      <c r="AN979" s="424"/>
      <c r="AO979" s="424"/>
      <c r="AP979" s="424"/>
      <c r="AQ979" s="424"/>
      <c r="AR979" s="424"/>
      <c r="AS979" s="424"/>
      <c r="AT979" s="424"/>
      <c r="AU979" s="424"/>
      <c r="AV979" s="424"/>
      <c r="AW979" s="424"/>
      <c r="AX979" s="424"/>
      <c r="AY979" s="424"/>
    </row>
    <row r="980" spans="2:51">
      <c r="B980" s="424"/>
      <c r="C980" s="424"/>
      <c r="D980" s="424"/>
      <c r="E980" s="424"/>
      <c r="F980" s="424"/>
      <c r="G980" s="424"/>
      <c r="H980" s="424"/>
      <c r="I980" s="424"/>
      <c r="J980" s="424"/>
      <c r="K980" s="424"/>
      <c r="L980" s="424"/>
      <c r="M980" s="424"/>
      <c r="N980" s="424"/>
      <c r="O980" s="424"/>
      <c r="P980" s="424"/>
      <c r="Q980" s="424"/>
      <c r="R980" s="424"/>
      <c r="S980" s="424"/>
      <c r="T980" s="424"/>
      <c r="U980" s="424"/>
      <c r="Y980" s="424"/>
      <c r="Z980" s="424"/>
      <c r="AA980" s="424"/>
      <c r="AB980" s="424"/>
      <c r="AC980" s="424"/>
      <c r="AD980" s="424"/>
      <c r="AE980" s="424"/>
      <c r="AF980" s="424"/>
      <c r="AG980" s="424"/>
      <c r="AH980" s="424"/>
      <c r="AI980" s="424"/>
      <c r="AM980" s="424"/>
      <c r="AN980" s="424"/>
      <c r="AO980" s="424"/>
      <c r="AP980" s="424"/>
      <c r="AQ980" s="424"/>
      <c r="AR980" s="424"/>
      <c r="AS980" s="424"/>
      <c r="AT980" s="424"/>
      <c r="AU980" s="424"/>
      <c r="AV980" s="424"/>
      <c r="AW980" s="424"/>
      <c r="AX980" s="424"/>
      <c r="AY980" s="424"/>
    </row>
    <row r="981" spans="2:51">
      <c r="B981" s="424"/>
      <c r="C981" s="424"/>
      <c r="D981" s="424"/>
      <c r="E981" s="424"/>
      <c r="F981" s="424"/>
      <c r="G981" s="424"/>
      <c r="H981" s="424"/>
      <c r="I981" s="424"/>
      <c r="J981" s="424"/>
      <c r="K981" s="424"/>
      <c r="L981" s="424"/>
      <c r="M981" s="424"/>
      <c r="N981" s="424"/>
      <c r="O981" s="424"/>
      <c r="P981" s="424"/>
      <c r="Q981" s="424"/>
      <c r="R981" s="424"/>
      <c r="S981" s="424"/>
      <c r="T981" s="424"/>
      <c r="U981" s="424"/>
      <c r="Y981" s="424"/>
      <c r="Z981" s="424"/>
      <c r="AA981" s="424"/>
      <c r="AB981" s="424"/>
      <c r="AC981" s="424"/>
      <c r="AD981" s="424"/>
      <c r="AE981" s="424"/>
      <c r="AF981" s="424"/>
      <c r="AG981" s="424"/>
      <c r="AH981" s="424"/>
      <c r="AI981" s="424"/>
      <c r="AM981" s="424"/>
      <c r="AN981" s="424"/>
      <c r="AO981" s="424"/>
      <c r="AP981" s="424"/>
      <c r="AQ981" s="424"/>
      <c r="AR981" s="424"/>
      <c r="AS981" s="424"/>
      <c r="AT981" s="424"/>
      <c r="AU981" s="424"/>
      <c r="AV981" s="424"/>
      <c r="AW981" s="424"/>
      <c r="AX981" s="424"/>
      <c r="AY981" s="424"/>
    </row>
    <row r="982" spans="2:51">
      <c r="B982" s="424"/>
      <c r="C982" s="424"/>
      <c r="D982" s="424"/>
      <c r="E982" s="424"/>
      <c r="F982" s="424"/>
      <c r="G982" s="424"/>
      <c r="H982" s="424"/>
      <c r="I982" s="424"/>
      <c r="J982" s="424"/>
      <c r="K982" s="424"/>
      <c r="L982" s="424"/>
      <c r="M982" s="424"/>
      <c r="N982" s="424"/>
      <c r="O982" s="424"/>
      <c r="P982" s="424"/>
      <c r="Q982" s="424"/>
      <c r="R982" s="424"/>
      <c r="S982" s="424"/>
      <c r="T982" s="424"/>
      <c r="U982" s="424"/>
      <c r="Y982" s="424"/>
      <c r="Z982" s="424"/>
      <c r="AA982" s="424"/>
      <c r="AB982" s="424"/>
      <c r="AC982" s="424"/>
      <c r="AD982" s="424"/>
      <c r="AE982" s="424"/>
      <c r="AF982" s="424"/>
      <c r="AG982" s="424"/>
      <c r="AH982" s="424"/>
      <c r="AI982" s="424"/>
      <c r="AM982" s="424"/>
      <c r="AN982" s="424"/>
      <c r="AO982" s="424"/>
      <c r="AP982" s="424"/>
      <c r="AQ982" s="424"/>
      <c r="AR982" s="424"/>
      <c r="AS982" s="424"/>
      <c r="AT982" s="424"/>
      <c r="AU982" s="424"/>
      <c r="AV982" s="424"/>
      <c r="AW982" s="424"/>
      <c r="AX982" s="424"/>
      <c r="AY982" s="424"/>
    </row>
    <row r="983" spans="2:51">
      <c r="B983" s="424"/>
      <c r="C983" s="424"/>
      <c r="D983" s="424"/>
      <c r="E983" s="424"/>
      <c r="F983" s="424"/>
      <c r="G983" s="424"/>
      <c r="H983" s="424"/>
      <c r="I983" s="424"/>
      <c r="J983" s="424"/>
      <c r="K983" s="424"/>
      <c r="L983" s="424"/>
      <c r="M983" s="424"/>
      <c r="N983" s="424"/>
      <c r="O983" s="424"/>
      <c r="P983" s="424"/>
      <c r="Q983" s="424"/>
      <c r="R983" s="424"/>
      <c r="S983" s="424"/>
      <c r="T983" s="424"/>
      <c r="U983" s="424"/>
      <c r="Y983" s="424"/>
      <c r="Z983" s="424"/>
      <c r="AA983" s="424"/>
      <c r="AB983" s="424"/>
      <c r="AC983" s="424"/>
      <c r="AD983" s="424"/>
      <c r="AE983" s="424"/>
      <c r="AF983" s="424"/>
      <c r="AG983" s="424"/>
      <c r="AH983" s="424"/>
      <c r="AI983" s="424"/>
      <c r="AM983" s="424"/>
      <c r="AN983" s="424"/>
      <c r="AO983" s="424"/>
      <c r="AP983" s="424"/>
      <c r="AQ983" s="424"/>
      <c r="AR983" s="424"/>
      <c r="AS983" s="424"/>
      <c r="AT983" s="424"/>
      <c r="AU983" s="424"/>
      <c r="AV983" s="424"/>
      <c r="AW983" s="424"/>
      <c r="AX983" s="424"/>
      <c r="AY983" s="424"/>
    </row>
    <row r="984" spans="2:51">
      <c r="B984" s="424"/>
      <c r="C984" s="424"/>
      <c r="D984" s="424"/>
      <c r="E984" s="424"/>
      <c r="F984" s="424"/>
      <c r="G984" s="424"/>
      <c r="H984" s="424"/>
      <c r="I984" s="424"/>
      <c r="J984" s="424"/>
      <c r="K984" s="424"/>
      <c r="L984" s="424"/>
      <c r="M984" s="424"/>
      <c r="N984" s="424"/>
      <c r="O984" s="424"/>
      <c r="P984" s="424"/>
      <c r="Q984" s="424"/>
      <c r="R984" s="424"/>
      <c r="S984" s="424"/>
      <c r="T984" s="424"/>
      <c r="U984" s="424"/>
      <c r="Y984" s="424"/>
      <c r="Z984" s="424"/>
      <c r="AA984" s="424"/>
      <c r="AB984" s="424"/>
      <c r="AC984" s="424"/>
      <c r="AD984" s="424"/>
      <c r="AE984" s="424"/>
      <c r="AF984" s="424"/>
      <c r="AG984" s="424"/>
      <c r="AH984" s="424"/>
      <c r="AI984" s="424"/>
      <c r="AM984" s="424"/>
      <c r="AN984" s="424"/>
      <c r="AO984" s="424"/>
      <c r="AP984" s="424"/>
      <c r="AQ984" s="424"/>
      <c r="AR984" s="424"/>
      <c r="AS984" s="424"/>
      <c r="AT984" s="424"/>
      <c r="AU984" s="424"/>
      <c r="AV984" s="424"/>
      <c r="AW984" s="424"/>
      <c r="AX984" s="424"/>
      <c r="AY984" s="424"/>
    </row>
    <row r="985" spans="2:51">
      <c r="B985" s="424"/>
      <c r="C985" s="424"/>
      <c r="D985" s="424"/>
      <c r="E985" s="424"/>
      <c r="F985" s="424"/>
      <c r="G985" s="424"/>
      <c r="H985" s="424"/>
      <c r="I985" s="424"/>
      <c r="J985" s="424"/>
      <c r="K985" s="424"/>
      <c r="L985" s="424"/>
      <c r="M985" s="424"/>
      <c r="N985" s="424"/>
      <c r="O985" s="424"/>
      <c r="P985" s="424"/>
      <c r="Q985" s="424"/>
      <c r="R985" s="424"/>
      <c r="S985" s="424"/>
      <c r="T985" s="424"/>
      <c r="U985" s="424"/>
      <c r="Y985" s="424"/>
      <c r="Z985" s="424"/>
      <c r="AA985" s="424"/>
      <c r="AB985" s="424"/>
      <c r="AC985" s="424"/>
      <c r="AD985" s="424"/>
      <c r="AE985" s="424"/>
      <c r="AF985" s="424"/>
      <c r="AG985" s="424"/>
      <c r="AH985" s="424"/>
      <c r="AI985" s="424"/>
      <c r="AM985" s="424"/>
      <c r="AN985" s="424"/>
      <c r="AO985" s="424"/>
      <c r="AP985" s="424"/>
      <c r="AQ985" s="424"/>
      <c r="AR985" s="424"/>
      <c r="AS985" s="424"/>
      <c r="AT985" s="424"/>
      <c r="AU985" s="424"/>
      <c r="AV985" s="424"/>
      <c r="AW985" s="424"/>
      <c r="AX985" s="424"/>
      <c r="AY985" s="424"/>
    </row>
    <row r="986" spans="2:51">
      <c r="B986" s="424"/>
      <c r="C986" s="424"/>
      <c r="D986" s="424"/>
      <c r="E986" s="424"/>
      <c r="F986" s="424"/>
      <c r="G986" s="424"/>
      <c r="H986" s="424"/>
      <c r="I986" s="424"/>
      <c r="J986" s="424"/>
      <c r="K986" s="424"/>
      <c r="L986" s="424"/>
      <c r="M986" s="424"/>
      <c r="N986" s="424"/>
      <c r="O986" s="424"/>
      <c r="P986" s="424"/>
      <c r="Q986" s="424"/>
      <c r="R986" s="424"/>
      <c r="S986" s="424"/>
      <c r="T986" s="424"/>
      <c r="U986" s="424"/>
      <c r="Y986" s="424"/>
      <c r="Z986" s="424"/>
      <c r="AA986" s="424"/>
      <c r="AB986" s="424"/>
      <c r="AC986" s="424"/>
      <c r="AD986" s="424"/>
      <c r="AE986" s="424"/>
      <c r="AF986" s="424"/>
      <c r="AG986" s="424"/>
      <c r="AH986" s="424"/>
      <c r="AI986" s="424"/>
      <c r="AM986" s="424"/>
      <c r="AN986" s="424"/>
      <c r="AO986" s="424"/>
      <c r="AP986" s="424"/>
      <c r="AQ986" s="424"/>
      <c r="AR986" s="424"/>
      <c r="AS986" s="424"/>
      <c r="AT986" s="424"/>
      <c r="AU986" s="424"/>
      <c r="AV986" s="424"/>
      <c r="AW986" s="424"/>
      <c r="AX986" s="424"/>
      <c r="AY986" s="424"/>
    </row>
    <row r="987" spans="2:51">
      <c r="B987" s="424"/>
      <c r="C987" s="424"/>
      <c r="D987" s="424"/>
      <c r="E987" s="424"/>
      <c r="F987" s="424"/>
      <c r="G987" s="424"/>
      <c r="H987" s="424"/>
      <c r="I987" s="424"/>
      <c r="J987" s="424"/>
      <c r="K987" s="424"/>
      <c r="L987" s="424"/>
      <c r="M987" s="424"/>
      <c r="N987" s="424"/>
      <c r="O987" s="424"/>
      <c r="P987" s="424"/>
      <c r="Q987" s="424"/>
      <c r="R987" s="424"/>
      <c r="S987" s="424"/>
      <c r="T987" s="424"/>
      <c r="U987" s="424"/>
      <c r="Y987" s="424"/>
      <c r="Z987" s="424"/>
      <c r="AA987" s="424"/>
      <c r="AB987" s="424"/>
      <c r="AC987" s="424"/>
      <c r="AD987" s="424"/>
      <c r="AE987" s="424"/>
      <c r="AF987" s="424"/>
      <c r="AG987" s="424"/>
      <c r="AH987" s="424"/>
      <c r="AI987" s="424"/>
      <c r="AM987" s="424"/>
      <c r="AN987" s="424"/>
      <c r="AO987" s="424"/>
      <c r="AP987" s="424"/>
      <c r="AQ987" s="424"/>
      <c r="AR987" s="424"/>
      <c r="AS987" s="424"/>
      <c r="AT987" s="424"/>
      <c r="AU987" s="424"/>
      <c r="AV987" s="424"/>
      <c r="AW987" s="424"/>
      <c r="AX987" s="424"/>
      <c r="AY987" s="424"/>
    </row>
    <row r="988" spans="2:51">
      <c r="B988" s="424"/>
      <c r="C988" s="424"/>
      <c r="D988" s="424"/>
      <c r="E988" s="424"/>
      <c r="F988" s="424"/>
      <c r="G988" s="424"/>
      <c r="H988" s="424"/>
      <c r="I988" s="424"/>
      <c r="J988" s="424"/>
      <c r="K988" s="424"/>
      <c r="L988" s="424"/>
      <c r="M988" s="424"/>
      <c r="N988" s="424"/>
      <c r="O988" s="424"/>
      <c r="P988" s="424"/>
      <c r="Q988" s="424"/>
      <c r="R988" s="424"/>
      <c r="S988" s="424"/>
      <c r="T988" s="424"/>
      <c r="U988" s="424"/>
      <c r="Y988" s="424"/>
      <c r="Z988" s="424"/>
      <c r="AA988" s="424"/>
      <c r="AB988" s="424"/>
      <c r="AC988" s="424"/>
      <c r="AD988" s="424"/>
      <c r="AE988" s="424"/>
      <c r="AF988" s="424"/>
      <c r="AG988" s="424"/>
      <c r="AH988" s="424"/>
      <c r="AI988" s="424"/>
      <c r="AM988" s="424"/>
      <c r="AN988" s="424"/>
      <c r="AO988" s="424"/>
      <c r="AP988" s="424"/>
      <c r="AQ988" s="424"/>
      <c r="AR988" s="424"/>
      <c r="AS988" s="424"/>
      <c r="AT988" s="424"/>
      <c r="AU988" s="424"/>
      <c r="AV988" s="424"/>
      <c r="AW988" s="424"/>
      <c r="AX988" s="424"/>
      <c r="AY988" s="424"/>
    </row>
    <row r="989" spans="2:51">
      <c r="B989" s="424"/>
      <c r="C989" s="424"/>
      <c r="D989" s="424"/>
      <c r="E989" s="424"/>
      <c r="F989" s="424"/>
      <c r="G989" s="424"/>
      <c r="H989" s="424"/>
      <c r="I989" s="424"/>
      <c r="J989" s="424"/>
      <c r="K989" s="424"/>
      <c r="L989" s="424"/>
      <c r="M989" s="424"/>
      <c r="N989" s="424"/>
      <c r="O989" s="424"/>
      <c r="P989" s="424"/>
      <c r="Q989" s="424"/>
      <c r="R989" s="424"/>
      <c r="S989" s="424"/>
      <c r="T989" s="424"/>
      <c r="U989" s="424"/>
      <c r="Y989" s="424"/>
      <c r="Z989" s="424"/>
      <c r="AA989" s="424"/>
      <c r="AB989" s="424"/>
      <c r="AC989" s="424"/>
      <c r="AD989" s="424"/>
      <c r="AE989" s="424"/>
      <c r="AF989" s="424"/>
      <c r="AG989" s="424"/>
      <c r="AH989" s="424"/>
      <c r="AI989" s="424"/>
      <c r="AM989" s="424"/>
      <c r="AN989" s="424"/>
      <c r="AO989" s="424"/>
      <c r="AP989" s="424"/>
      <c r="AQ989" s="424"/>
      <c r="AR989" s="424"/>
      <c r="AS989" s="424"/>
      <c r="AT989" s="424"/>
      <c r="AU989" s="424"/>
      <c r="AV989" s="424"/>
      <c r="AW989" s="424"/>
      <c r="AX989" s="424"/>
      <c r="AY989" s="424"/>
    </row>
    <row r="990" spans="2:51">
      <c r="B990" s="424"/>
      <c r="C990" s="424"/>
      <c r="D990" s="424"/>
      <c r="E990" s="424"/>
      <c r="F990" s="424"/>
      <c r="G990" s="424"/>
      <c r="H990" s="424"/>
      <c r="I990" s="424"/>
      <c r="J990" s="424"/>
      <c r="K990" s="424"/>
      <c r="L990" s="424"/>
      <c r="M990" s="424"/>
      <c r="N990" s="424"/>
      <c r="O990" s="424"/>
      <c r="P990" s="424"/>
      <c r="Q990" s="424"/>
      <c r="R990" s="424"/>
      <c r="S990" s="424"/>
      <c r="T990" s="424"/>
      <c r="U990" s="424"/>
      <c r="Y990" s="424"/>
      <c r="Z990" s="424"/>
      <c r="AA990" s="424"/>
      <c r="AB990" s="424"/>
      <c r="AC990" s="424"/>
      <c r="AD990" s="424"/>
      <c r="AE990" s="424"/>
      <c r="AF990" s="424"/>
      <c r="AG990" s="424"/>
      <c r="AH990" s="424"/>
      <c r="AI990" s="424"/>
      <c r="AM990" s="424"/>
      <c r="AN990" s="424"/>
      <c r="AO990" s="424"/>
      <c r="AP990" s="424"/>
      <c r="AQ990" s="424"/>
      <c r="AR990" s="424"/>
      <c r="AS990" s="424"/>
      <c r="AT990" s="424"/>
      <c r="AU990" s="424"/>
      <c r="AV990" s="424"/>
      <c r="AW990" s="424"/>
      <c r="AX990" s="424"/>
      <c r="AY990" s="424"/>
    </row>
    <row r="991" spans="2:51">
      <c r="B991" s="424"/>
      <c r="C991" s="424"/>
      <c r="D991" s="424"/>
      <c r="E991" s="424"/>
      <c r="F991" s="424"/>
      <c r="G991" s="424"/>
      <c r="H991" s="424"/>
      <c r="I991" s="424"/>
      <c r="J991" s="424"/>
      <c r="K991" s="424"/>
      <c r="L991" s="424"/>
      <c r="M991" s="424"/>
      <c r="N991" s="424"/>
      <c r="O991" s="424"/>
      <c r="P991" s="424"/>
      <c r="Q991" s="424"/>
      <c r="R991" s="424"/>
      <c r="S991" s="424"/>
      <c r="T991" s="424"/>
      <c r="U991" s="424"/>
      <c r="Y991" s="424"/>
      <c r="Z991" s="424"/>
      <c r="AA991" s="424"/>
      <c r="AB991" s="424"/>
      <c r="AC991" s="424"/>
      <c r="AD991" s="424"/>
      <c r="AE991" s="424"/>
      <c r="AF991" s="424"/>
      <c r="AG991" s="424"/>
      <c r="AH991" s="424"/>
      <c r="AI991" s="424"/>
      <c r="AM991" s="424"/>
      <c r="AN991" s="424"/>
      <c r="AO991" s="424"/>
      <c r="AP991" s="424"/>
      <c r="AQ991" s="424"/>
      <c r="AR991" s="424"/>
      <c r="AS991" s="424"/>
      <c r="AT991" s="424"/>
      <c r="AU991" s="424"/>
      <c r="AV991" s="424"/>
      <c r="AW991" s="424"/>
      <c r="AX991" s="424"/>
      <c r="AY991" s="424"/>
    </row>
    <row r="992" spans="2:51">
      <c r="B992" s="424"/>
      <c r="C992" s="424"/>
      <c r="D992" s="424"/>
      <c r="E992" s="424"/>
      <c r="F992" s="424"/>
      <c r="G992" s="424"/>
      <c r="H992" s="424"/>
      <c r="I992" s="424"/>
      <c r="J992" s="424"/>
      <c r="K992" s="424"/>
      <c r="L992" s="424"/>
      <c r="M992" s="424"/>
      <c r="N992" s="424"/>
      <c r="O992" s="424"/>
      <c r="P992" s="424"/>
      <c r="Q992" s="424"/>
      <c r="R992" s="424"/>
      <c r="S992" s="424"/>
      <c r="T992" s="424"/>
      <c r="U992" s="424"/>
      <c r="Y992" s="424"/>
      <c r="Z992" s="424"/>
      <c r="AA992" s="424"/>
      <c r="AB992" s="424"/>
      <c r="AC992" s="424"/>
      <c r="AD992" s="424"/>
      <c r="AE992" s="424"/>
      <c r="AF992" s="424"/>
      <c r="AG992" s="424"/>
      <c r="AH992" s="424"/>
      <c r="AI992" s="424"/>
      <c r="AM992" s="424"/>
      <c r="AN992" s="424"/>
      <c r="AO992" s="424"/>
      <c r="AP992" s="424"/>
      <c r="AQ992" s="424"/>
      <c r="AR992" s="424"/>
      <c r="AS992" s="424"/>
      <c r="AT992" s="424"/>
      <c r="AU992" s="424"/>
      <c r="AV992" s="424"/>
      <c r="AW992" s="424"/>
      <c r="AX992" s="424"/>
      <c r="AY992" s="424"/>
    </row>
    <row r="993" spans="2:51">
      <c r="B993" s="424"/>
      <c r="C993" s="424"/>
      <c r="D993" s="424"/>
      <c r="E993" s="424"/>
      <c r="F993" s="424"/>
      <c r="G993" s="424"/>
      <c r="H993" s="424"/>
      <c r="I993" s="424"/>
      <c r="J993" s="424"/>
      <c r="K993" s="424"/>
      <c r="L993" s="424"/>
      <c r="M993" s="424"/>
      <c r="N993" s="424"/>
      <c r="O993" s="424"/>
      <c r="P993" s="424"/>
      <c r="Q993" s="424"/>
      <c r="R993" s="424"/>
      <c r="S993" s="424"/>
      <c r="T993" s="424"/>
      <c r="U993" s="424"/>
      <c r="Y993" s="424"/>
      <c r="Z993" s="424"/>
      <c r="AA993" s="424"/>
      <c r="AB993" s="424"/>
      <c r="AC993" s="424"/>
      <c r="AD993" s="424"/>
      <c r="AE993" s="424"/>
      <c r="AF993" s="424"/>
      <c r="AG993" s="424"/>
      <c r="AH993" s="424"/>
      <c r="AI993" s="424"/>
      <c r="AM993" s="424"/>
      <c r="AN993" s="424"/>
      <c r="AO993" s="424"/>
      <c r="AP993" s="424"/>
      <c r="AQ993" s="424"/>
      <c r="AR993" s="424"/>
      <c r="AS993" s="424"/>
      <c r="AT993" s="424"/>
      <c r="AU993" s="424"/>
      <c r="AV993" s="424"/>
      <c r="AW993" s="424"/>
      <c r="AX993" s="424"/>
      <c r="AY993" s="424"/>
    </row>
    <row r="994" spans="2:51">
      <c r="B994" s="424"/>
      <c r="C994" s="424"/>
      <c r="D994" s="424"/>
      <c r="E994" s="424"/>
      <c r="F994" s="424"/>
      <c r="G994" s="424"/>
      <c r="H994" s="424"/>
      <c r="I994" s="424"/>
      <c r="J994" s="424"/>
      <c r="K994" s="424"/>
      <c r="L994" s="424"/>
      <c r="M994" s="424"/>
      <c r="N994" s="424"/>
      <c r="O994" s="424"/>
      <c r="P994" s="424"/>
      <c r="Q994" s="424"/>
      <c r="R994" s="424"/>
      <c r="S994" s="424"/>
      <c r="T994" s="424"/>
      <c r="U994" s="424"/>
      <c r="Y994" s="424"/>
      <c r="Z994" s="424"/>
      <c r="AA994" s="424"/>
      <c r="AB994" s="424"/>
      <c r="AC994" s="424"/>
      <c r="AD994" s="424"/>
      <c r="AE994" s="424"/>
      <c r="AF994" s="424"/>
      <c r="AG994" s="424"/>
      <c r="AH994" s="424"/>
      <c r="AI994" s="424"/>
      <c r="AM994" s="424"/>
      <c r="AN994" s="424"/>
      <c r="AO994" s="424"/>
      <c r="AP994" s="424"/>
      <c r="AQ994" s="424"/>
      <c r="AR994" s="424"/>
      <c r="AS994" s="424"/>
      <c r="AT994" s="424"/>
      <c r="AU994" s="424"/>
      <c r="AV994" s="424"/>
      <c r="AW994" s="424"/>
      <c r="AX994" s="424"/>
      <c r="AY994" s="424"/>
    </row>
    <row r="995" spans="2:51">
      <c r="B995" s="424"/>
      <c r="C995" s="424"/>
      <c r="D995" s="424"/>
      <c r="E995" s="424"/>
      <c r="F995" s="424"/>
      <c r="G995" s="424"/>
      <c r="H995" s="424"/>
      <c r="I995" s="424"/>
      <c r="J995" s="424"/>
      <c r="K995" s="424"/>
      <c r="L995" s="424"/>
      <c r="M995" s="424"/>
      <c r="N995" s="424"/>
      <c r="O995" s="424"/>
      <c r="P995" s="424"/>
      <c r="Q995" s="424"/>
      <c r="R995" s="424"/>
      <c r="S995" s="424"/>
      <c r="T995" s="424"/>
      <c r="U995" s="424"/>
      <c r="Y995" s="424"/>
      <c r="Z995" s="424"/>
      <c r="AA995" s="424"/>
      <c r="AB995" s="424"/>
      <c r="AC995" s="424"/>
      <c r="AD995" s="424"/>
      <c r="AE995" s="424"/>
      <c r="AF995" s="424"/>
      <c r="AG995" s="424"/>
      <c r="AH995" s="424"/>
      <c r="AI995" s="424"/>
      <c r="AM995" s="424"/>
      <c r="AN995" s="424"/>
      <c r="AO995" s="424"/>
      <c r="AP995" s="424"/>
      <c r="AQ995" s="424"/>
      <c r="AR995" s="424"/>
      <c r="AS995" s="424"/>
      <c r="AT995" s="424"/>
      <c r="AU995" s="424"/>
      <c r="AV995" s="424"/>
      <c r="AW995" s="424"/>
      <c r="AX995" s="424"/>
      <c r="AY995" s="424"/>
    </row>
    <row r="996" spans="2:51">
      <c r="B996" s="424"/>
      <c r="C996" s="424"/>
      <c r="D996" s="424"/>
      <c r="E996" s="424"/>
      <c r="F996" s="424"/>
      <c r="G996" s="424"/>
      <c r="H996" s="424"/>
      <c r="I996" s="424"/>
      <c r="J996" s="424"/>
      <c r="K996" s="424"/>
      <c r="L996" s="424"/>
      <c r="M996" s="424"/>
      <c r="N996" s="424"/>
      <c r="O996" s="424"/>
      <c r="P996" s="424"/>
      <c r="Q996" s="424"/>
      <c r="R996" s="424"/>
      <c r="S996" s="424"/>
      <c r="T996" s="424"/>
      <c r="U996" s="424"/>
      <c r="Y996" s="424"/>
      <c r="Z996" s="424"/>
      <c r="AA996" s="424"/>
      <c r="AB996" s="424"/>
      <c r="AC996" s="424"/>
      <c r="AD996" s="424"/>
      <c r="AE996" s="424"/>
      <c r="AF996" s="424"/>
      <c r="AG996" s="424"/>
      <c r="AH996" s="424"/>
      <c r="AI996" s="424"/>
      <c r="AM996" s="424"/>
      <c r="AN996" s="424"/>
      <c r="AO996" s="424"/>
      <c r="AP996" s="424"/>
      <c r="AQ996" s="424"/>
      <c r="AR996" s="424"/>
      <c r="AS996" s="424"/>
      <c r="AT996" s="424"/>
      <c r="AU996" s="424"/>
      <c r="AV996" s="424"/>
      <c r="AW996" s="424"/>
      <c r="AX996" s="424"/>
      <c r="AY996" s="424"/>
    </row>
    <row r="997" spans="2:51">
      <c r="B997" s="424"/>
      <c r="C997" s="424"/>
      <c r="D997" s="424"/>
      <c r="E997" s="424"/>
      <c r="F997" s="424"/>
      <c r="G997" s="424"/>
      <c r="H997" s="424"/>
      <c r="I997" s="424"/>
      <c r="J997" s="424"/>
      <c r="K997" s="424"/>
      <c r="L997" s="424"/>
      <c r="M997" s="424"/>
      <c r="N997" s="424"/>
      <c r="O997" s="424"/>
      <c r="P997" s="424"/>
      <c r="Q997" s="424"/>
      <c r="R997" s="424"/>
      <c r="S997" s="424"/>
      <c r="T997" s="424"/>
      <c r="U997" s="424"/>
      <c r="Y997" s="424"/>
      <c r="Z997" s="424"/>
      <c r="AA997" s="424"/>
      <c r="AB997" s="424"/>
      <c r="AC997" s="424"/>
      <c r="AD997" s="424"/>
      <c r="AE997" s="424"/>
      <c r="AF997" s="424"/>
      <c r="AG997" s="424"/>
      <c r="AH997" s="424"/>
      <c r="AI997" s="424"/>
      <c r="AM997" s="424"/>
      <c r="AN997" s="424"/>
      <c r="AO997" s="424"/>
      <c r="AP997" s="424"/>
      <c r="AQ997" s="424"/>
      <c r="AR997" s="424"/>
      <c r="AS997" s="424"/>
      <c r="AT997" s="424"/>
      <c r="AU997" s="424"/>
      <c r="AV997" s="424"/>
      <c r="AW997" s="424"/>
      <c r="AX997" s="424"/>
      <c r="AY997" s="424"/>
    </row>
    <row r="998" spans="2:51">
      <c r="B998" s="424"/>
      <c r="C998" s="424"/>
      <c r="D998" s="424"/>
      <c r="E998" s="424"/>
      <c r="F998" s="424"/>
      <c r="G998" s="424"/>
      <c r="H998" s="424"/>
      <c r="I998" s="424"/>
      <c r="J998" s="424"/>
      <c r="K998" s="424"/>
      <c r="L998" s="424"/>
      <c r="M998" s="424"/>
      <c r="N998" s="424"/>
      <c r="O998" s="424"/>
      <c r="P998" s="424"/>
      <c r="Q998" s="424"/>
      <c r="R998" s="424"/>
      <c r="S998" s="424"/>
      <c r="T998" s="424"/>
      <c r="U998" s="424"/>
      <c r="Y998" s="424"/>
      <c r="Z998" s="424"/>
      <c r="AA998" s="424"/>
      <c r="AB998" s="424"/>
      <c r="AC998" s="424"/>
      <c r="AD998" s="424"/>
      <c r="AE998" s="424"/>
      <c r="AF998" s="424"/>
      <c r="AG998" s="424"/>
      <c r="AH998" s="424"/>
      <c r="AI998" s="424"/>
      <c r="AM998" s="424"/>
      <c r="AN998" s="424"/>
      <c r="AO998" s="424"/>
      <c r="AP998" s="424"/>
      <c r="AQ998" s="424"/>
      <c r="AR998" s="424"/>
      <c r="AS998" s="424"/>
      <c r="AT998" s="424"/>
      <c r="AU998" s="424"/>
      <c r="AV998" s="424"/>
      <c r="AW998" s="424"/>
      <c r="AX998" s="424"/>
      <c r="AY998" s="424"/>
    </row>
    <row r="999" spans="2:51">
      <c r="B999" s="424"/>
      <c r="C999" s="424"/>
      <c r="D999" s="424"/>
      <c r="E999" s="424"/>
      <c r="F999" s="424"/>
      <c r="G999" s="424"/>
      <c r="H999" s="424"/>
      <c r="I999" s="424"/>
      <c r="J999" s="424"/>
      <c r="K999" s="424"/>
      <c r="L999" s="424"/>
      <c r="M999" s="424"/>
      <c r="N999" s="424"/>
      <c r="O999" s="424"/>
      <c r="P999" s="424"/>
      <c r="Q999" s="424"/>
      <c r="R999" s="424"/>
      <c r="S999" s="424"/>
      <c r="T999" s="424"/>
      <c r="U999" s="424"/>
      <c r="Y999" s="424"/>
      <c r="Z999" s="424"/>
      <c r="AA999" s="424"/>
      <c r="AB999" s="424"/>
      <c r="AC999" s="424"/>
      <c r="AD999" s="424"/>
      <c r="AE999" s="424"/>
      <c r="AF999" s="424"/>
      <c r="AG999" s="424"/>
      <c r="AH999" s="424"/>
      <c r="AI999" s="424"/>
      <c r="AM999" s="424"/>
      <c r="AN999" s="424"/>
      <c r="AO999" s="424"/>
      <c r="AP999" s="424"/>
      <c r="AQ999" s="424"/>
      <c r="AR999" s="424"/>
      <c r="AS999" s="424"/>
      <c r="AT999" s="424"/>
      <c r="AU999" s="424"/>
      <c r="AV999" s="424"/>
      <c r="AW999" s="424"/>
      <c r="AX999" s="424"/>
      <c r="AY999" s="424"/>
    </row>
    <row r="1000" spans="2:51">
      <c r="B1000" s="424"/>
      <c r="C1000" s="424"/>
      <c r="D1000" s="424"/>
      <c r="E1000" s="424"/>
      <c r="F1000" s="424"/>
      <c r="G1000" s="424"/>
      <c r="H1000" s="424"/>
      <c r="I1000" s="424"/>
      <c r="J1000" s="424"/>
      <c r="K1000" s="424"/>
      <c r="L1000" s="424"/>
      <c r="M1000" s="424"/>
      <c r="N1000" s="424"/>
      <c r="O1000" s="424"/>
      <c r="P1000" s="424"/>
      <c r="Q1000" s="424"/>
      <c r="R1000" s="424"/>
      <c r="S1000" s="424"/>
      <c r="T1000" s="424"/>
      <c r="U1000" s="424"/>
      <c r="Y1000" s="424"/>
      <c r="Z1000" s="424"/>
      <c r="AA1000" s="424"/>
      <c r="AB1000" s="424"/>
      <c r="AC1000" s="424"/>
      <c r="AD1000" s="424"/>
      <c r="AE1000" s="424"/>
      <c r="AF1000" s="424"/>
      <c r="AG1000" s="424"/>
      <c r="AH1000" s="424"/>
      <c r="AI1000" s="424"/>
      <c r="AM1000" s="424"/>
      <c r="AN1000" s="424"/>
      <c r="AO1000" s="424"/>
      <c r="AP1000" s="424"/>
      <c r="AQ1000" s="424"/>
      <c r="AR1000" s="424"/>
      <c r="AS1000" s="424"/>
      <c r="AT1000" s="424"/>
      <c r="AU1000" s="424"/>
      <c r="AV1000" s="424"/>
      <c r="AW1000" s="424"/>
      <c r="AX1000" s="424"/>
      <c r="AY1000" s="424"/>
    </row>
    <row r="1001" spans="2:51">
      <c r="B1001" s="424"/>
      <c r="C1001" s="424"/>
      <c r="D1001" s="424"/>
      <c r="E1001" s="424"/>
      <c r="F1001" s="424"/>
      <c r="G1001" s="424"/>
      <c r="H1001" s="424"/>
      <c r="I1001" s="424"/>
      <c r="J1001" s="424"/>
      <c r="K1001" s="424"/>
      <c r="L1001" s="424"/>
      <c r="M1001" s="424"/>
      <c r="N1001" s="424"/>
      <c r="O1001" s="424"/>
      <c r="P1001" s="424"/>
      <c r="Q1001" s="424"/>
      <c r="R1001" s="424"/>
      <c r="S1001" s="424"/>
      <c r="T1001" s="424"/>
      <c r="U1001" s="424"/>
      <c r="Y1001" s="424"/>
      <c r="Z1001" s="424"/>
      <c r="AA1001" s="424"/>
      <c r="AB1001" s="424"/>
      <c r="AC1001" s="424"/>
      <c r="AD1001" s="424"/>
      <c r="AE1001" s="424"/>
      <c r="AF1001" s="424"/>
      <c r="AG1001" s="424"/>
      <c r="AH1001" s="424"/>
      <c r="AI1001" s="424"/>
      <c r="AM1001" s="424"/>
      <c r="AN1001" s="424"/>
      <c r="AO1001" s="424"/>
      <c r="AP1001" s="424"/>
      <c r="AQ1001" s="424"/>
      <c r="AR1001" s="424"/>
      <c r="AS1001" s="424"/>
      <c r="AT1001" s="424"/>
      <c r="AU1001" s="424"/>
      <c r="AV1001" s="424"/>
      <c r="AW1001" s="424"/>
      <c r="AX1001" s="424"/>
      <c r="AY1001" s="424"/>
    </row>
    <row r="1002" spans="2:51">
      <c r="B1002" s="424"/>
      <c r="C1002" s="424"/>
      <c r="D1002" s="424"/>
      <c r="E1002" s="424"/>
      <c r="F1002" s="424"/>
      <c r="G1002" s="424"/>
      <c r="H1002" s="424"/>
      <c r="I1002" s="424"/>
      <c r="J1002" s="424"/>
      <c r="K1002" s="424"/>
      <c r="L1002" s="424"/>
      <c r="M1002" s="424"/>
      <c r="N1002" s="424"/>
      <c r="O1002" s="424"/>
      <c r="P1002" s="424"/>
      <c r="Q1002" s="424"/>
      <c r="R1002" s="424"/>
      <c r="S1002" s="424"/>
      <c r="T1002" s="424"/>
      <c r="U1002" s="424"/>
      <c r="Y1002" s="424"/>
      <c r="Z1002" s="424"/>
      <c r="AA1002" s="424"/>
      <c r="AB1002" s="424"/>
      <c r="AC1002" s="424"/>
      <c r="AD1002" s="424"/>
      <c r="AE1002" s="424"/>
      <c r="AF1002" s="424"/>
      <c r="AG1002" s="424"/>
      <c r="AH1002" s="424"/>
      <c r="AI1002" s="424"/>
      <c r="AM1002" s="424"/>
      <c r="AN1002" s="424"/>
      <c r="AO1002" s="424"/>
      <c r="AP1002" s="424"/>
      <c r="AQ1002" s="424"/>
      <c r="AR1002" s="424"/>
      <c r="AS1002" s="424"/>
      <c r="AT1002" s="424"/>
      <c r="AU1002" s="424"/>
      <c r="AV1002" s="424"/>
      <c r="AW1002" s="424"/>
      <c r="AX1002" s="424"/>
      <c r="AY1002" s="424"/>
    </row>
    <row r="1003" spans="2:51">
      <c r="B1003" s="424"/>
      <c r="C1003" s="424"/>
      <c r="D1003" s="424"/>
      <c r="E1003" s="424"/>
      <c r="F1003" s="424"/>
      <c r="G1003" s="424"/>
      <c r="H1003" s="424"/>
      <c r="I1003" s="424"/>
      <c r="J1003" s="424"/>
      <c r="K1003" s="424"/>
      <c r="L1003" s="424"/>
      <c r="M1003" s="424"/>
      <c r="N1003" s="424"/>
      <c r="O1003" s="424"/>
      <c r="P1003" s="424"/>
      <c r="Q1003" s="424"/>
      <c r="R1003" s="424"/>
      <c r="S1003" s="424"/>
      <c r="T1003" s="424"/>
      <c r="U1003" s="424"/>
      <c r="Y1003" s="424"/>
      <c r="Z1003" s="424"/>
      <c r="AA1003" s="424"/>
      <c r="AB1003" s="424"/>
      <c r="AC1003" s="424"/>
      <c r="AD1003" s="424"/>
      <c r="AE1003" s="424"/>
      <c r="AF1003" s="424"/>
      <c r="AG1003" s="424"/>
      <c r="AH1003" s="424"/>
      <c r="AI1003" s="424"/>
      <c r="AM1003" s="424"/>
      <c r="AN1003" s="424"/>
      <c r="AO1003" s="424"/>
      <c r="AP1003" s="424"/>
      <c r="AQ1003" s="424"/>
      <c r="AR1003" s="424"/>
      <c r="AS1003" s="424"/>
      <c r="AT1003" s="424"/>
      <c r="AU1003" s="424"/>
      <c r="AV1003" s="424"/>
      <c r="AW1003" s="424"/>
      <c r="AX1003" s="424"/>
      <c r="AY1003" s="424"/>
    </row>
    <row r="1004" spans="2:51">
      <c r="B1004" s="424"/>
      <c r="C1004" s="424"/>
      <c r="D1004" s="424"/>
      <c r="E1004" s="424"/>
      <c r="F1004" s="424"/>
      <c r="G1004" s="424"/>
      <c r="H1004" s="424"/>
      <c r="I1004" s="424"/>
      <c r="J1004" s="424"/>
      <c r="K1004" s="424"/>
      <c r="L1004" s="424"/>
      <c r="M1004" s="424"/>
      <c r="N1004" s="424"/>
      <c r="O1004" s="424"/>
      <c r="P1004" s="424"/>
      <c r="Q1004" s="424"/>
      <c r="R1004" s="424"/>
      <c r="S1004" s="424"/>
      <c r="T1004" s="424"/>
      <c r="U1004" s="424"/>
      <c r="Y1004" s="424"/>
      <c r="Z1004" s="424"/>
      <c r="AA1004" s="424"/>
      <c r="AB1004" s="424"/>
      <c r="AC1004" s="424"/>
      <c r="AD1004" s="424"/>
      <c r="AE1004" s="424"/>
      <c r="AF1004" s="424"/>
      <c r="AG1004" s="424"/>
      <c r="AH1004" s="424"/>
      <c r="AI1004" s="424"/>
      <c r="AM1004" s="424"/>
      <c r="AN1004" s="424"/>
      <c r="AO1004" s="424"/>
      <c r="AP1004" s="424"/>
      <c r="AQ1004" s="424"/>
      <c r="AR1004" s="424"/>
      <c r="AS1004" s="424"/>
      <c r="AT1004" s="424"/>
      <c r="AU1004" s="424"/>
      <c r="AV1004" s="424"/>
      <c r="AW1004" s="424"/>
      <c r="AX1004" s="424"/>
      <c r="AY1004" s="424"/>
    </row>
    <row r="1005" spans="2:51">
      <c r="B1005" s="424"/>
      <c r="C1005" s="424"/>
      <c r="D1005" s="424"/>
      <c r="E1005" s="424"/>
      <c r="F1005" s="424"/>
      <c r="G1005" s="424"/>
      <c r="H1005" s="424"/>
      <c r="I1005" s="424"/>
      <c r="J1005" s="424"/>
      <c r="K1005" s="424"/>
      <c r="L1005" s="424"/>
      <c r="M1005" s="424"/>
      <c r="N1005" s="424"/>
      <c r="O1005" s="424"/>
      <c r="P1005" s="424"/>
      <c r="Q1005" s="424"/>
      <c r="R1005" s="424"/>
      <c r="S1005" s="424"/>
      <c r="T1005" s="424"/>
      <c r="U1005" s="424"/>
      <c r="Y1005" s="424"/>
      <c r="Z1005" s="424"/>
      <c r="AA1005" s="424"/>
      <c r="AB1005" s="424"/>
      <c r="AC1005" s="424"/>
      <c r="AD1005" s="424"/>
      <c r="AE1005" s="424"/>
      <c r="AF1005" s="424"/>
      <c r="AG1005" s="424"/>
      <c r="AH1005" s="424"/>
      <c r="AI1005" s="424"/>
      <c r="AM1005" s="424"/>
      <c r="AN1005" s="424"/>
      <c r="AO1005" s="424"/>
      <c r="AP1005" s="424"/>
      <c r="AQ1005" s="424"/>
      <c r="AR1005" s="424"/>
      <c r="AS1005" s="424"/>
      <c r="AT1005" s="424"/>
      <c r="AU1005" s="424"/>
      <c r="AV1005" s="424"/>
      <c r="AW1005" s="424"/>
      <c r="AX1005" s="424"/>
      <c r="AY1005" s="424"/>
    </row>
    <row r="1006" spans="2:51">
      <c r="B1006" s="424"/>
      <c r="C1006" s="424"/>
      <c r="D1006" s="424"/>
      <c r="E1006" s="424"/>
      <c r="F1006" s="424"/>
      <c r="G1006" s="424"/>
      <c r="H1006" s="424"/>
      <c r="I1006" s="424"/>
      <c r="J1006" s="424"/>
      <c r="K1006" s="424"/>
      <c r="L1006" s="424"/>
      <c r="M1006" s="424"/>
      <c r="N1006" s="424"/>
      <c r="O1006" s="424"/>
      <c r="P1006" s="424"/>
      <c r="Q1006" s="424"/>
      <c r="R1006" s="424"/>
      <c r="S1006" s="424"/>
      <c r="T1006" s="424"/>
      <c r="U1006" s="424"/>
      <c r="Y1006" s="424"/>
      <c r="Z1006" s="424"/>
      <c r="AA1006" s="424"/>
      <c r="AB1006" s="424"/>
      <c r="AC1006" s="424"/>
      <c r="AD1006" s="424"/>
      <c r="AE1006" s="424"/>
      <c r="AF1006" s="424"/>
      <c r="AG1006" s="424"/>
      <c r="AH1006" s="424"/>
      <c r="AI1006" s="424"/>
      <c r="AM1006" s="424"/>
      <c r="AN1006" s="424"/>
      <c r="AO1006" s="424"/>
      <c r="AP1006" s="424"/>
      <c r="AQ1006" s="424"/>
      <c r="AR1006" s="424"/>
      <c r="AS1006" s="424"/>
      <c r="AT1006" s="424"/>
      <c r="AU1006" s="424"/>
      <c r="AV1006" s="424"/>
      <c r="AW1006" s="424"/>
      <c r="AX1006" s="424"/>
      <c r="AY1006" s="424"/>
    </row>
    <row r="1007" spans="2:51">
      <c r="B1007" s="424"/>
      <c r="C1007" s="424"/>
      <c r="D1007" s="424"/>
      <c r="E1007" s="424"/>
      <c r="F1007" s="424"/>
      <c r="G1007" s="424"/>
      <c r="H1007" s="424"/>
      <c r="I1007" s="424"/>
      <c r="J1007" s="424"/>
      <c r="K1007" s="424"/>
      <c r="L1007" s="424"/>
      <c r="M1007" s="424"/>
      <c r="N1007" s="424"/>
      <c r="O1007" s="424"/>
      <c r="P1007" s="424"/>
      <c r="Q1007" s="424"/>
      <c r="R1007" s="424"/>
      <c r="S1007" s="424"/>
      <c r="T1007" s="424"/>
      <c r="U1007" s="424"/>
      <c r="Y1007" s="424"/>
      <c r="Z1007" s="424"/>
      <c r="AA1007" s="424"/>
      <c r="AB1007" s="424"/>
      <c r="AC1007" s="424"/>
      <c r="AD1007" s="424"/>
      <c r="AE1007" s="424"/>
      <c r="AF1007" s="424"/>
      <c r="AG1007" s="424"/>
      <c r="AH1007" s="424"/>
      <c r="AI1007" s="424"/>
      <c r="AM1007" s="424"/>
      <c r="AN1007" s="424"/>
      <c r="AO1007" s="424"/>
      <c r="AP1007" s="424"/>
      <c r="AQ1007" s="424"/>
      <c r="AR1007" s="424"/>
      <c r="AS1007" s="424"/>
      <c r="AT1007" s="424"/>
      <c r="AU1007" s="424"/>
      <c r="AV1007" s="424"/>
      <c r="AW1007" s="424"/>
      <c r="AX1007" s="424"/>
      <c r="AY1007" s="424"/>
    </row>
    <row r="1008" spans="2:51">
      <c r="B1008" s="424"/>
      <c r="C1008" s="424"/>
      <c r="D1008" s="424"/>
      <c r="E1008" s="424"/>
      <c r="F1008" s="424"/>
      <c r="G1008" s="424"/>
      <c r="H1008" s="424"/>
      <c r="I1008" s="424"/>
      <c r="J1008" s="424"/>
      <c r="K1008" s="424"/>
      <c r="L1008" s="424"/>
      <c r="M1008" s="424"/>
      <c r="N1008" s="424"/>
      <c r="O1008" s="424"/>
      <c r="P1008" s="424"/>
      <c r="Q1008" s="424"/>
      <c r="R1008" s="424"/>
      <c r="S1008" s="424"/>
      <c r="T1008" s="424"/>
      <c r="U1008" s="424"/>
      <c r="Y1008" s="424"/>
      <c r="Z1008" s="424"/>
      <c r="AA1008" s="424"/>
      <c r="AB1008" s="424"/>
      <c r="AC1008" s="424"/>
      <c r="AD1008" s="424"/>
      <c r="AE1008" s="424"/>
      <c r="AF1008" s="424"/>
      <c r="AG1008" s="424"/>
      <c r="AH1008" s="424"/>
      <c r="AI1008" s="424"/>
      <c r="AM1008" s="424"/>
      <c r="AN1008" s="424"/>
      <c r="AO1008" s="424"/>
      <c r="AP1008" s="424"/>
      <c r="AQ1008" s="424"/>
      <c r="AR1008" s="424"/>
      <c r="AS1008" s="424"/>
      <c r="AT1008" s="424"/>
      <c r="AU1008" s="424"/>
      <c r="AV1008" s="424"/>
      <c r="AW1008" s="424"/>
      <c r="AX1008" s="424"/>
      <c r="AY1008" s="424"/>
    </row>
    <row r="1009" spans="2:51">
      <c r="B1009" s="424"/>
      <c r="C1009" s="424"/>
      <c r="D1009" s="424"/>
      <c r="E1009" s="424"/>
      <c r="F1009" s="424"/>
      <c r="G1009" s="424"/>
      <c r="H1009" s="424"/>
      <c r="I1009" s="424"/>
      <c r="J1009" s="424"/>
      <c r="K1009" s="424"/>
      <c r="L1009" s="424"/>
      <c r="M1009" s="424"/>
      <c r="N1009" s="424"/>
      <c r="O1009" s="424"/>
      <c r="P1009" s="424"/>
      <c r="Q1009" s="424"/>
      <c r="R1009" s="424"/>
      <c r="S1009" s="424"/>
      <c r="T1009" s="424"/>
      <c r="U1009" s="424"/>
      <c r="Y1009" s="424"/>
      <c r="Z1009" s="424"/>
      <c r="AA1009" s="424"/>
      <c r="AB1009" s="424"/>
      <c r="AC1009" s="424"/>
      <c r="AD1009" s="424"/>
      <c r="AE1009" s="424"/>
      <c r="AF1009" s="424"/>
      <c r="AG1009" s="424"/>
      <c r="AH1009" s="424"/>
      <c r="AI1009" s="424"/>
      <c r="AM1009" s="424"/>
      <c r="AN1009" s="424"/>
      <c r="AO1009" s="424"/>
      <c r="AP1009" s="424"/>
      <c r="AQ1009" s="424"/>
      <c r="AR1009" s="424"/>
      <c r="AS1009" s="424"/>
      <c r="AT1009" s="424"/>
      <c r="AU1009" s="424"/>
      <c r="AV1009" s="424"/>
      <c r="AW1009" s="424"/>
      <c r="AX1009" s="424"/>
      <c r="AY1009" s="424"/>
    </row>
    <row r="1010" spans="2:51">
      <c r="B1010" s="424"/>
      <c r="C1010" s="424"/>
      <c r="D1010" s="424"/>
      <c r="E1010" s="424"/>
      <c r="F1010" s="424"/>
      <c r="G1010" s="424"/>
      <c r="H1010" s="424"/>
      <c r="I1010" s="424"/>
      <c r="J1010" s="424"/>
      <c r="K1010" s="424"/>
      <c r="L1010" s="424"/>
      <c r="M1010" s="424"/>
      <c r="N1010" s="424"/>
      <c r="O1010" s="424"/>
      <c r="P1010" s="424"/>
      <c r="Q1010" s="424"/>
      <c r="R1010" s="424"/>
      <c r="S1010" s="424"/>
      <c r="T1010" s="424"/>
      <c r="U1010" s="424"/>
      <c r="Y1010" s="424"/>
      <c r="Z1010" s="424"/>
      <c r="AA1010" s="424"/>
      <c r="AB1010" s="424"/>
      <c r="AC1010" s="424"/>
      <c r="AD1010" s="424"/>
      <c r="AE1010" s="424"/>
      <c r="AF1010" s="424"/>
      <c r="AG1010" s="424"/>
      <c r="AH1010" s="424"/>
      <c r="AI1010" s="424"/>
      <c r="AM1010" s="424"/>
      <c r="AN1010" s="424"/>
      <c r="AO1010" s="424"/>
      <c r="AP1010" s="424"/>
      <c r="AQ1010" s="424"/>
      <c r="AR1010" s="424"/>
      <c r="AS1010" s="424"/>
      <c r="AT1010" s="424"/>
      <c r="AU1010" s="424"/>
      <c r="AV1010" s="424"/>
      <c r="AW1010" s="424"/>
      <c r="AX1010" s="424"/>
      <c r="AY1010" s="424"/>
    </row>
    <row r="1011" spans="2:51">
      <c r="B1011" s="424"/>
      <c r="C1011" s="424"/>
      <c r="D1011" s="424"/>
      <c r="E1011" s="424"/>
      <c r="F1011" s="424"/>
      <c r="G1011" s="424"/>
      <c r="H1011" s="424"/>
      <c r="I1011" s="424"/>
      <c r="J1011" s="424"/>
      <c r="K1011" s="424"/>
      <c r="L1011" s="424"/>
      <c r="M1011" s="424"/>
      <c r="N1011" s="424"/>
      <c r="O1011" s="424"/>
      <c r="P1011" s="424"/>
      <c r="Q1011" s="424"/>
      <c r="R1011" s="424"/>
      <c r="S1011" s="424"/>
      <c r="T1011" s="424"/>
      <c r="U1011" s="424"/>
      <c r="Y1011" s="424"/>
      <c r="Z1011" s="424"/>
      <c r="AA1011" s="424"/>
      <c r="AB1011" s="424"/>
      <c r="AC1011" s="424"/>
      <c r="AD1011" s="424"/>
      <c r="AE1011" s="424"/>
      <c r="AF1011" s="424"/>
      <c r="AG1011" s="424"/>
      <c r="AH1011" s="424"/>
      <c r="AI1011" s="424"/>
      <c r="AM1011" s="424"/>
      <c r="AN1011" s="424"/>
      <c r="AO1011" s="424"/>
      <c r="AP1011" s="424"/>
      <c r="AQ1011" s="424"/>
      <c r="AR1011" s="424"/>
      <c r="AS1011" s="424"/>
      <c r="AT1011" s="424"/>
      <c r="AU1011" s="424"/>
      <c r="AV1011" s="424"/>
      <c r="AW1011" s="424"/>
      <c r="AX1011" s="424"/>
      <c r="AY1011" s="424"/>
    </row>
    <row r="1012" spans="2:51">
      <c r="B1012" s="424"/>
      <c r="C1012" s="424"/>
      <c r="D1012" s="424"/>
      <c r="E1012" s="424"/>
      <c r="F1012" s="424"/>
      <c r="G1012" s="424"/>
      <c r="H1012" s="424"/>
      <c r="I1012" s="424"/>
      <c r="J1012" s="424"/>
      <c r="K1012" s="424"/>
      <c r="L1012" s="424"/>
      <c r="M1012" s="424"/>
      <c r="N1012" s="424"/>
      <c r="O1012" s="424"/>
      <c r="P1012" s="424"/>
      <c r="Q1012" s="424"/>
      <c r="R1012" s="424"/>
      <c r="S1012" s="424"/>
      <c r="T1012" s="424"/>
      <c r="U1012" s="424"/>
      <c r="Y1012" s="424"/>
      <c r="Z1012" s="424"/>
      <c r="AA1012" s="424"/>
      <c r="AB1012" s="424"/>
      <c r="AC1012" s="424"/>
      <c r="AD1012" s="424"/>
      <c r="AE1012" s="424"/>
      <c r="AF1012" s="424"/>
      <c r="AG1012" s="424"/>
      <c r="AH1012" s="424"/>
      <c r="AI1012" s="424"/>
      <c r="AM1012" s="424"/>
      <c r="AN1012" s="424"/>
      <c r="AO1012" s="424"/>
      <c r="AP1012" s="424"/>
      <c r="AQ1012" s="424"/>
      <c r="AR1012" s="424"/>
      <c r="AS1012" s="424"/>
      <c r="AT1012" s="424"/>
      <c r="AU1012" s="424"/>
      <c r="AV1012" s="424"/>
      <c r="AW1012" s="424"/>
      <c r="AX1012" s="424"/>
      <c r="AY1012" s="424"/>
    </row>
    <row r="1013" spans="2:51">
      <c r="B1013" s="424"/>
      <c r="C1013" s="424"/>
      <c r="D1013" s="424"/>
      <c r="E1013" s="424"/>
      <c r="F1013" s="424"/>
      <c r="G1013" s="424"/>
      <c r="H1013" s="424"/>
      <c r="I1013" s="424"/>
      <c r="J1013" s="424"/>
      <c r="K1013" s="424"/>
      <c r="L1013" s="424"/>
      <c r="M1013" s="424"/>
      <c r="N1013" s="424"/>
      <c r="O1013" s="424"/>
      <c r="P1013" s="424"/>
      <c r="Q1013" s="424"/>
      <c r="R1013" s="424"/>
      <c r="S1013" s="424"/>
      <c r="T1013" s="424"/>
      <c r="U1013" s="424"/>
      <c r="Y1013" s="424"/>
      <c r="Z1013" s="424"/>
      <c r="AA1013" s="424"/>
      <c r="AB1013" s="424"/>
      <c r="AC1013" s="424"/>
      <c r="AD1013" s="424"/>
      <c r="AE1013" s="424"/>
      <c r="AF1013" s="424"/>
      <c r="AG1013" s="424"/>
      <c r="AH1013" s="424"/>
      <c r="AI1013" s="424"/>
      <c r="AM1013" s="424"/>
      <c r="AN1013" s="424"/>
      <c r="AO1013" s="424"/>
      <c r="AP1013" s="424"/>
      <c r="AQ1013" s="424"/>
      <c r="AR1013" s="424"/>
      <c r="AS1013" s="424"/>
      <c r="AT1013" s="424"/>
      <c r="AU1013" s="424"/>
      <c r="AV1013" s="424"/>
      <c r="AW1013" s="424"/>
      <c r="AX1013" s="424"/>
      <c r="AY1013" s="424"/>
    </row>
    <row r="1014" spans="2:51">
      <c r="B1014" s="424"/>
      <c r="C1014" s="424"/>
      <c r="D1014" s="424"/>
      <c r="E1014" s="424"/>
      <c r="F1014" s="424"/>
      <c r="G1014" s="424"/>
      <c r="H1014" s="424"/>
      <c r="I1014" s="424"/>
      <c r="J1014" s="424"/>
      <c r="K1014" s="424"/>
      <c r="L1014" s="424"/>
      <c r="M1014" s="424"/>
      <c r="N1014" s="424"/>
      <c r="O1014" s="424"/>
      <c r="P1014" s="424"/>
      <c r="Q1014" s="424"/>
      <c r="R1014" s="424"/>
      <c r="S1014" s="424"/>
      <c r="T1014" s="424"/>
      <c r="U1014" s="424"/>
      <c r="Y1014" s="424"/>
      <c r="Z1014" s="424"/>
      <c r="AA1014" s="424"/>
      <c r="AB1014" s="424"/>
      <c r="AC1014" s="424"/>
      <c r="AD1014" s="424"/>
      <c r="AE1014" s="424"/>
      <c r="AF1014" s="424"/>
      <c r="AG1014" s="424"/>
      <c r="AH1014" s="424"/>
      <c r="AI1014" s="424"/>
      <c r="AM1014" s="424"/>
      <c r="AN1014" s="424"/>
      <c r="AO1014" s="424"/>
      <c r="AP1014" s="424"/>
      <c r="AQ1014" s="424"/>
      <c r="AR1014" s="424"/>
      <c r="AS1014" s="424"/>
      <c r="AT1014" s="424"/>
      <c r="AU1014" s="424"/>
      <c r="AV1014" s="424"/>
      <c r="AW1014" s="424"/>
      <c r="AX1014" s="424"/>
      <c r="AY1014" s="424"/>
    </row>
    <row r="1015" spans="2:51">
      <c r="B1015" s="424"/>
      <c r="C1015" s="424"/>
      <c r="D1015" s="424"/>
      <c r="E1015" s="424"/>
      <c r="F1015" s="424"/>
      <c r="G1015" s="424"/>
      <c r="H1015" s="424"/>
      <c r="I1015" s="424"/>
      <c r="J1015" s="424"/>
      <c r="K1015" s="424"/>
      <c r="L1015" s="424"/>
      <c r="M1015" s="424"/>
      <c r="N1015" s="424"/>
      <c r="O1015" s="424"/>
      <c r="P1015" s="424"/>
      <c r="Q1015" s="424"/>
      <c r="R1015" s="424"/>
      <c r="S1015" s="424"/>
      <c r="T1015" s="424"/>
      <c r="U1015" s="424"/>
      <c r="Y1015" s="424"/>
      <c r="Z1015" s="424"/>
      <c r="AA1015" s="424"/>
      <c r="AB1015" s="424"/>
      <c r="AC1015" s="424"/>
      <c r="AD1015" s="424"/>
      <c r="AE1015" s="424"/>
      <c r="AF1015" s="424"/>
      <c r="AG1015" s="424"/>
      <c r="AH1015" s="424"/>
      <c r="AI1015" s="424"/>
      <c r="AM1015" s="424"/>
      <c r="AN1015" s="424"/>
      <c r="AO1015" s="424"/>
      <c r="AP1015" s="424"/>
      <c r="AQ1015" s="424"/>
      <c r="AR1015" s="424"/>
      <c r="AS1015" s="424"/>
      <c r="AT1015" s="424"/>
      <c r="AU1015" s="424"/>
      <c r="AV1015" s="424"/>
      <c r="AW1015" s="424"/>
      <c r="AX1015" s="424"/>
      <c r="AY1015" s="424"/>
    </row>
    <row r="1016" spans="2:51">
      <c r="B1016" s="424"/>
      <c r="C1016" s="424"/>
      <c r="D1016" s="424"/>
      <c r="E1016" s="424"/>
      <c r="F1016" s="424"/>
      <c r="G1016" s="424"/>
      <c r="H1016" s="424"/>
      <c r="I1016" s="424"/>
      <c r="J1016" s="424"/>
      <c r="K1016" s="424"/>
      <c r="L1016" s="424"/>
      <c r="M1016" s="424"/>
      <c r="N1016" s="424"/>
      <c r="O1016" s="424"/>
      <c r="P1016" s="424"/>
      <c r="Q1016" s="424"/>
      <c r="R1016" s="424"/>
      <c r="S1016" s="424"/>
      <c r="T1016" s="424"/>
      <c r="U1016" s="424"/>
      <c r="Y1016" s="424"/>
      <c r="Z1016" s="424"/>
      <c r="AA1016" s="424"/>
      <c r="AB1016" s="424"/>
      <c r="AC1016" s="424"/>
      <c r="AD1016" s="424"/>
      <c r="AE1016" s="424"/>
      <c r="AF1016" s="424"/>
      <c r="AG1016" s="424"/>
      <c r="AH1016" s="424"/>
      <c r="AI1016" s="424"/>
      <c r="AM1016" s="424"/>
      <c r="AN1016" s="424"/>
      <c r="AO1016" s="424"/>
      <c r="AP1016" s="424"/>
      <c r="AQ1016" s="424"/>
      <c r="AR1016" s="424"/>
      <c r="AS1016" s="424"/>
      <c r="AT1016" s="424"/>
      <c r="AU1016" s="424"/>
      <c r="AV1016" s="424"/>
      <c r="AW1016" s="424"/>
      <c r="AX1016" s="424"/>
      <c r="AY1016" s="424"/>
    </row>
    <row r="1017" spans="2:51">
      <c r="B1017" s="424"/>
      <c r="C1017" s="424"/>
      <c r="D1017" s="424"/>
      <c r="E1017" s="424"/>
      <c r="F1017" s="424"/>
      <c r="G1017" s="424"/>
      <c r="H1017" s="424"/>
      <c r="I1017" s="424"/>
      <c r="J1017" s="424"/>
      <c r="K1017" s="424"/>
      <c r="L1017" s="424"/>
      <c r="M1017" s="424"/>
      <c r="N1017" s="424"/>
      <c r="O1017" s="424"/>
      <c r="P1017" s="424"/>
      <c r="Q1017" s="424"/>
      <c r="R1017" s="424"/>
      <c r="S1017" s="424"/>
      <c r="T1017" s="424"/>
      <c r="U1017" s="424"/>
      <c r="Y1017" s="424"/>
      <c r="Z1017" s="424"/>
      <c r="AA1017" s="424"/>
      <c r="AB1017" s="424"/>
      <c r="AC1017" s="424"/>
      <c r="AD1017" s="424"/>
      <c r="AE1017" s="424"/>
      <c r="AF1017" s="424"/>
      <c r="AG1017" s="424"/>
      <c r="AH1017" s="424"/>
      <c r="AI1017" s="424"/>
      <c r="AM1017" s="424"/>
      <c r="AN1017" s="424"/>
      <c r="AO1017" s="424"/>
      <c r="AP1017" s="424"/>
      <c r="AQ1017" s="424"/>
      <c r="AR1017" s="424"/>
      <c r="AS1017" s="424"/>
      <c r="AT1017" s="424"/>
      <c r="AU1017" s="424"/>
      <c r="AV1017" s="424"/>
      <c r="AW1017" s="424"/>
      <c r="AX1017" s="424"/>
      <c r="AY1017" s="424"/>
    </row>
    <row r="1018" spans="2:51">
      <c r="B1018" s="424"/>
      <c r="C1018" s="424"/>
      <c r="D1018" s="424"/>
      <c r="E1018" s="424"/>
      <c r="F1018" s="424"/>
      <c r="G1018" s="424"/>
      <c r="H1018" s="424"/>
      <c r="I1018" s="424"/>
      <c r="J1018" s="424"/>
      <c r="K1018" s="424"/>
      <c r="L1018" s="424"/>
      <c r="M1018" s="424"/>
      <c r="N1018" s="424"/>
      <c r="O1018" s="424"/>
      <c r="P1018" s="424"/>
      <c r="Q1018" s="424"/>
      <c r="R1018" s="424"/>
      <c r="S1018" s="424"/>
      <c r="T1018" s="424"/>
      <c r="U1018" s="424"/>
      <c r="Y1018" s="424"/>
      <c r="Z1018" s="424"/>
      <c r="AA1018" s="424"/>
      <c r="AB1018" s="424"/>
      <c r="AC1018" s="424"/>
      <c r="AD1018" s="424"/>
      <c r="AE1018" s="424"/>
      <c r="AF1018" s="424"/>
      <c r="AG1018" s="424"/>
      <c r="AH1018" s="424"/>
      <c r="AI1018" s="424"/>
      <c r="AM1018" s="424"/>
      <c r="AN1018" s="424"/>
      <c r="AO1018" s="424"/>
      <c r="AP1018" s="424"/>
      <c r="AQ1018" s="424"/>
      <c r="AR1018" s="424"/>
      <c r="AS1018" s="424"/>
      <c r="AT1018" s="424"/>
      <c r="AU1018" s="424"/>
      <c r="AV1018" s="424"/>
      <c r="AW1018" s="424"/>
      <c r="AX1018" s="424"/>
      <c r="AY1018" s="424"/>
    </row>
    <row r="1019" spans="2:51">
      <c r="B1019" s="424"/>
      <c r="C1019" s="424"/>
      <c r="D1019" s="424"/>
      <c r="E1019" s="424"/>
      <c r="F1019" s="424"/>
      <c r="G1019" s="424"/>
      <c r="H1019" s="424"/>
      <c r="I1019" s="424"/>
      <c r="J1019" s="424"/>
      <c r="K1019" s="424"/>
      <c r="L1019" s="424"/>
      <c r="M1019" s="424"/>
      <c r="N1019" s="424"/>
      <c r="O1019" s="424"/>
      <c r="P1019" s="424"/>
      <c r="Q1019" s="424"/>
      <c r="R1019" s="424"/>
      <c r="S1019" s="424"/>
      <c r="T1019" s="424"/>
      <c r="U1019" s="424"/>
      <c r="Y1019" s="424"/>
      <c r="Z1019" s="424"/>
      <c r="AA1019" s="424"/>
      <c r="AB1019" s="424"/>
      <c r="AC1019" s="424"/>
      <c r="AD1019" s="424"/>
      <c r="AE1019" s="424"/>
      <c r="AF1019" s="424"/>
      <c r="AG1019" s="424"/>
      <c r="AH1019" s="424"/>
      <c r="AI1019" s="424"/>
      <c r="AM1019" s="424"/>
      <c r="AN1019" s="424"/>
      <c r="AO1019" s="424"/>
      <c r="AP1019" s="424"/>
      <c r="AQ1019" s="424"/>
      <c r="AR1019" s="424"/>
      <c r="AS1019" s="424"/>
      <c r="AT1019" s="424"/>
      <c r="AU1019" s="424"/>
      <c r="AV1019" s="424"/>
      <c r="AW1019" s="424"/>
      <c r="AX1019" s="424"/>
      <c r="AY1019" s="424"/>
    </row>
    <row r="1020" spans="2:51">
      <c r="B1020" s="424"/>
      <c r="C1020" s="424"/>
      <c r="D1020" s="424"/>
      <c r="E1020" s="424"/>
      <c r="F1020" s="424"/>
      <c r="G1020" s="424"/>
      <c r="H1020" s="424"/>
      <c r="I1020" s="424"/>
      <c r="J1020" s="424"/>
      <c r="K1020" s="424"/>
      <c r="L1020" s="424"/>
      <c r="M1020" s="424"/>
      <c r="N1020" s="424"/>
      <c r="O1020" s="424"/>
      <c r="P1020" s="424"/>
      <c r="Q1020" s="424"/>
      <c r="R1020" s="424"/>
      <c r="S1020" s="424"/>
      <c r="T1020" s="424"/>
      <c r="U1020" s="424"/>
      <c r="Y1020" s="424"/>
      <c r="Z1020" s="424"/>
      <c r="AA1020" s="424"/>
      <c r="AB1020" s="424"/>
      <c r="AC1020" s="424"/>
      <c r="AD1020" s="424"/>
      <c r="AE1020" s="424"/>
      <c r="AF1020" s="424"/>
      <c r="AG1020" s="424"/>
      <c r="AH1020" s="424"/>
      <c r="AI1020" s="424"/>
      <c r="AM1020" s="424"/>
      <c r="AN1020" s="424"/>
      <c r="AO1020" s="424"/>
      <c r="AP1020" s="424"/>
      <c r="AQ1020" s="424"/>
      <c r="AR1020" s="424"/>
      <c r="AS1020" s="424"/>
      <c r="AT1020" s="424"/>
      <c r="AU1020" s="424"/>
      <c r="AV1020" s="424"/>
      <c r="AW1020" s="424"/>
      <c r="AX1020" s="424"/>
      <c r="AY1020" s="424"/>
    </row>
    <row r="1021" spans="2:51">
      <c r="B1021" s="424"/>
      <c r="C1021" s="424"/>
      <c r="D1021" s="424"/>
      <c r="E1021" s="424"/>
      <c r="F1021" s="424"/>
      <c r="G1021" s="424"/>
      <c r="H1021" s="424"/>
      <c r="I1021" s="424"/>
      <c r="J1021" s="424"/>
      <c r="K1021" s="424"/>
      <c r="L1021" s="424"/>
      <c r="M1021" s="424"/>
      <c r="N1021" s="424"/>
      <c r="O1021" s="424"/>
      <c r="P1021" s="424"/>
      <c r="Q1021" s="424"/>
      <c r="R1021" s="424"/>
      <c r="S1021" s="424"/>
      <c r="T1021" s="424"/>
      <c r="U1021" s="424"/>
      <c r="Y1021" s="424"/>
      <c r="Z1021" s="424"/>
      <c r="AA1021" s="424"/>
      <c r="AB1021" s="424"/>
      <c r="AC1021" s="424"/>
      <c r="AD1021" s="424"/>
      <c r="AE1021" s="424"/>
      <c r="AF1021" s="424"/>
      <c r="AG1021" s="424"/>
      <c r="AH1021" s="424"/>
      <c r="AI1021" s="424"/>
      <c r="AM1021" s="424"/>
      <c r="AN1021" s="424"/>
      <c r="AO1021" s="424"/>
      <c r="AP1021" s="424"/>
      <c r="AQ1021" s="424"/>
      <c r="AR1021" s="424"/>
      <c r="AS1021" s="424"/>
      <c r="AT1021" s="424"/>
      <c r="AU1021" s="424"/>
      <c r="AV1021" s="424"/>
      <c r="AW1021" s="424"/>
      <c r="AX1021" s="424"/>
      <c r="AY1021" s="424"/>
    </row>
    <row r="1022" spans="2:51">
      <c r="B1022" s="424"/>
      <c r="C1022" s="424"/>
      <c r="D1022" s="424"/>
      <c r="E1022" s="424"/>
      <c r="F1022" s="424"/>
      <c r="G1022" s="424"/>
      <c r="H1022" s="424"/>
      <c r="I1022" s="424"/>
      <c r="J1022" s="424"/>
      <c r="K1022" s="424"/>
      <c r="L1022" s="424"/>
      <c r="M1022" s="424"/>
      <c r="N1022" s="424"/>
      <c r="O1022" s="424"/>
      <c r="P1022" s="424"/>
      <c r="Q1022" s="424"/>
      <c r="R1022" s="424"/>
      <c r="S1022" s="424"/>
      <c r="T1022" s="424"/>
      <c r="U1022" s="424"/>
      <c r="Y1022" s="424"/>
      <c r="Z1022" s="424"/>
      <c r="AA1022" s="424"/>
      <c r="AB1022" s="424"/>
      <c r="AC1022" s="424"/>
      <c r="AD1022" s="424"/>
      <c r="AE1022" s="424"/>
      <c r="AF1022" s="424"/>
      <c r="AG1022" s="424"/>
      <c r="AH1022" s="424"/>
      <c r="AI1022" s="424"/>
      <c r="AM1022" s="424"/>
      <c r="AN1022" s="424"/>
      <c r="AO1022" s="424"/>
      <c r="AP1022" s="424"/>
      <c r="AQ1022" s="424"/>
      <c r="AR1022" s="424"/>
      <c r="AS1022" s="424"/>
      <c r="AT1022" s="424"/>
      <c r="AU1022" s="424"/>
      <c r="AV1022" s="424"/>
      <c r="AW1022" s="424"/>
      <c r="AX1022" s="424"/>
      <c r="AY1022" s="424"/>
    </row>
    <row r="1023" spans="2:51">
      <c r="B1023" s="424"/>
      <c r="C1023" s="424"/>
      <c r="D1023" s="424"/>
      <c r="E1023" s="424"/>
      <c r="F1023" s="424"/>
      <c r="G1023" s="424"/>
      <c r="H1023" s="424"/>
      <c r="I1023" s="424"/>
      <c r="J1023" s="424"/>
      <c r="K1023" s="424"/>
      <c r="L1023" s="424"/>
      <c r="M1023" s="424"/>
      <c r="N1023" s="424"/>
      <c r="O1023" s="424"/>
      <c r="P1023" s="424"/>
      <c r="Q1023" s="424"/>
      <c r="R1023" s="424"/>
      <c r="S1023" s="424"/>
      <c r="T1023" s="424"/>
      <c r="U1023" s="424"/>
      <c r="Y1023" s="424"/>
      <c r="Z1023" s="424"/>
      <c r="AA1023" s="424"/>
      <c r="AB1023" s="424"/>
      <c r="AC1023" s="424"/>
      <c r="AD1023" s="424"/>
      <c r="AE1023" s="424"/>
      <c r="AF1023" s="424"/>
      <c r="AG1023" s="424"/>
      <c r="AH1023" s="424"/>
      <c r="AI1023" s="424"/>
      <c r="AM1023" s="424"/>
      <c r="AN1023" s="424"/>
      <c r="AO1023" s="424"/>
      <c r="AP1023" s="424"/>
      <c r="AQ1023" s="424"/>
      <c r="AR1023" s="424"/>
      <c r="AS1023" s="424"/>
      <c r="AT1023" s="424"/>
      <c r="AU1023" s="424"/>
      <c r="AV1023" s="424"/>
      <c r="AW1023" s="424"/>
      <c r="AX1023" s="424"/>
      <c r="AY1023" s="424"/>
    </row>
    <row r="1024" spans="2:51">
      <c r="B1024" s="424"/>
      <c r="C1024" s="424"/>
      <c r="D1024" s="424"/>
      <c r="E1024" s="424"/>
      <c r="F1024" s="424"/>
      <c r="G1024" s="424"/>
      <c r="H1024" s="424"/>
      <c r="I1024" s="424"/>
      <c r="J1024" s="424"/>
      <c r="K1024" s="424"/>
      <c r="L1024" s="424"/>
      <c r="M1024" s="424"/>
      <c r="N1024" s="424"/>
      <c r="O1024" s="424"/>
      <c r="P1024" s="424"/>
      <c r="Q1024" s="424"/>
      <c r="R1024" s="424"/>
      <c r="S1024" s="424"/>
      <c r="T1024" s="424"/>
      <c r="U1024" s="424"/>
      <c r="Y1024" s="424"/>
      <c r="Z1024" s="424"/>
      <c r="AA1024" s="424"/>
      <c r="AB1024" s="424"/>
      <c r="AC1024" s="424"/>
      <c r="AD1024" s="424"/>
      <c r="AE1024" s="424"/>
      <c r="AF1024" s="424"/>
      <c r="AG1024" s="424"/>
      <c r="AH1024" s="424"/>
      <c r="AI1024" s="424"/>
      <c r="AM1024" s="424"/>
      <c r="AN1024" s="424"/>
      <c r="AO1024" s="424"/>
      <c r="AP1024" s="424"/>
      <c r="AQ1024" s="424"/>
      <c r="AR1024" s="424"/>
      <c r="AS1024" s="424"/>
      <c r="AT1024" s="424"/>
      <c r="AU1024" s="424"/>
      <c r="AV1024" s="424"/>
      <c r="AW1024" s="424"/>
      <c r="AX1024" s="424"/>
      <c r="AY1024" s="424"/>
    </row>
    <row r="1025" spans="2:51">
      <c r="B1025" s="424"/>
      <c r="C1025" s="424"/>
      <c r="D1025" s="424"/>
      <c r="E1025" s="424"/>
      <c r="F1025" s="424"/>
      <c r="G1025" s="424"/>
      <c r="H1025" s="424"/>
      <c r="I1025" s="424"/>
      <c r="J1025" s="424"/>
      <c r="K1025" s="424"/>
      <c r="L1025" s="424"/>
      <c r="M1025" s="424"/>
      <c r="N1025" s="424"/>
      <c r="O1025" s="424"/>
      <c r="P1025" s="424"/>
      <c r="Q1025" s="424"/>
      <c r="R1025" s="424"/>
      <c r="S1025" s="424"/>
      <c r="T1025" s="424"/>
      <c r="U1025" s="424"/>
      <c r="Y1025" s="424"/>
      <c r="Z1025" s="424"/>
      <c r="AA1025" s="424"/>
      <c r="AB1025" s="424"/>
      <c r="AC1025" s="424"/>
      <c r="AD1025" s="424"/>
      <c r="AE1025" s="424"/>
      <c r="AF1025" s="424"/>
      <c r="AG1025" s="424"/>
      <c r="AH1025" s="424"/>
      <c r="AI1025" s="424"/>
      <c r="AM1025" s="424"/>
      <c r="AN1025" s="424"/>
      <c r="AO1025" s="424"/>
      <c r="AP1025" s="424"/>
      <c r="AQ1025" s="424"/>
      <c r="AR1025" s="424"/>
      <c r="AS1025" s="424"/>
      <c r="AT1025" s="424"/>
      <c r="AU1025" s="424"/>
      <c r="AV1025" s="424"/>
      <c r="AW1025" s="424"/>
      <c r="AX1025" s="424"/>
      <c r="AY1025" s="424"/>
    </row>
    <row r="1026" spans="2:51">
      <c r="B1026" s="424"/>
      <c r="C1026" s="424"/>
      <c r="D1026" s="424"/>
      <c r="E1026" s="424"/>
      <c r="F1026" s="424"/>
      <c r="G1026" s="424"/>
      <c r="H1026" s="424"/>
      <c r="I1026" s="424"/>
      <c r="J1026" s="424"/>
      <c r="K1026" s="424"/>
      <c r="L1026" s="424"/>
      <c r="M1026" s="424"/>
      <c r="N1026" s="424"/>
      <c r="O1026" s="424"/>
      <c r="P1026" s="424"/>
      <c r="Q1026" s="424"/>
      <c r="R1026" s="424"/>
      <c r="S1026" s="424"/>
      <c r="T1026" s="424"/>
      <c r="U1026" s="424"/>
      <c r="Y1026" s="424"/>
      <c r="Z1026" s="424"/>
      <c r="AA1026" s="424"/>
      <c r="AB1026" s="424"/>
      <c r="AC1026" s="424"/>
      <c r="AD1026" s="424"/>
      <c r="AE1026" s="424"/>
      <c r="AF1026" s="424"/>
      <c r="AG1026" s="424"/>
      <c r="AH1026" s="424"/>
      <c r="AI1026" s="424"/>
      <c r="AM1026" s="424"/>
      <c r="AN1026" s="424"/>
      <c r="AO1026" s="424"/>
      <c r="AP1026" s="424"/>
      <c r="AQ1026" s="424"/>
      <c r="AR1026" s="424"/>
      <c r="AS1026" s="424"/>
      <c r="AT1026" s="424"/>
      <c r="AU1026" s="424"/>
      <c r="AV1026" s="424"/>
      <c r="AW1026" s="424"/>
      <c r="AX1026" s="424"/>
      <c r="AY1026" s="424"/>
    </row>
    <row r="1027" spans="2:51">
      <c r="B1027" s="424"/>
      <c r="C1027" s="424"/>
      <c r="D1027" s="424"/>
      <c r="E1027" s="424"/>
      <c r="F1027" s="424"/>
      <c r="G1027" s="424"/>
      <c r="H1027" s="424"/>
      <c r="I1027" s="424"/>
      <c r="J1027" s="424"/>
      <c r="K1027" s="424"/>
      <c r="L1027" s="424"/>
      <c r="M1027" s="424"/>
      <c r="N1027" s="424"/>
      <c r="O1027" s="424"/>
      <c r="P1027" s="424"/>
      <c r="Q1027" s="424"/>
      <c r="R1027" s="424"/>
      <c r="S1027" s="424"/>
      <c r="T1027" s="424"/>
      <c r="U1027" s="424"/>
      <c r="Y1027" s="424"/>
      <c r="Z1027" s="424"/>
      <c r="AA1027" s="424"/>
      <c r="AB1027" s="424"/>
      <c r="AC1027" s="424"/>
      <c r="AD1027" s="424"/>
      <c r="AE1027" s="424"/>
      <c r="AF1027" s="424"/>
      <c r="AG1027" s="424"/>
      <c r="AH1027" s="424"/>
      <c r="AI1027" s="424"/>
      <c r="AM1027" s="424"/>
      <c r="AN1027" s="424"/>
      <c r="AO1027" s="424"/>
      <c r="AP1027" s="424"/>
      <c r="AQ1027" s="424"/>
      <c r="AR1027" s="424"/>
      <c r="AS1027" s="424"/>
      <c r="AT1027" s="424"/>
      <c r="AU1027" s="424"/>
      <c r="AV1027" s="424"/>
      <c r="AW1027" s="424"/>
      <c r="AX1027" s="424"/>
      <c r="AY1027" s="424"/>
    </row>
    <row r="1028" spans="2:51">
      <c r="B1028" s="424"/>
      <c r="C1028" s="424"/>
      <c r="D1028" s="424"/>
      <c r="E1028" s="424"/>
      <c r="F1028" s="424"/>
      <c r="G1028" s="424"/>
      <c r="H1028" s="424"/>
      <c r="I1028" s="424"/>
      <c r="J1028" s="424"/>
      <c r="K1028" s="424"/>
      <c r="L1028" s="424"/>
      <c r="M1028" s="424"/>
      <c r="N1028" s="424"/>
      <c r="O1028" s="424"/>
      <c r="P1028" s="424"/>
      <c r="Q1028" s="424"/>
      <c r="R1028" s="424"/>
      <c r="S1028" s="424"/>
      <c r="T1028" s="424"/>
      <c r="U1028" s="424"/>
      <c r="Y1028" s="424"/>
      <c r="Z1028" s="424"/>
      <c r="AA1028" s="424"/>
      <c r="AB1028" s="424"/>
      <c r="AC1028" s="424"/>
      <c r="AD1028" s="424"/>
      <c r="AE1028" s="424"/>
      <c r="AF1028" s="424"/>
      <c r="AG1028" s="424"/>
      <c r="AH1028" s="424"/>
      <c r="AI1028" s="424"/>
      <c r="AM1028" s="424"/>
      <c r="AN1028" s="424"/>
      <c r="AO1028" s="424"/>
      <c r="AP1028" s="424"/>
      <c r="AQ1028" s="424"/>
      <c r="AR1028" s="424"/>
      <c r="AS1028" s="424"/>
      <c r="AT1028" s="424"/>
      <c r="AU1028" s="424"/>
      <c r="AV1028" s="424"/>
      <c r="AW1028" s="424"/>
      <c r="AX1028" s="424"/>
      <c r="AY1028" s="424"/>
    </row>
    <row r="1029" spans="2:51">
      <c r="B1029" s="424"/>
      <c r="C1029" s="424"/>
      <c r="D1029" s="424"/>
      <c r="E1029" s="424"/>
      <c r="F1029" s="424"/>
      <c r="G1029" s="424"/>
      <c r="H1029" s="424"/>
      <c r="I1029" s="424"/>
      <c r="J1029" s="424"/>
      <c r="K1029" s="424"/>
      <c r="L1029" s="424"/>
      <c r="M1029" s="424"/>
      <c r="N1029" s="424"/>
      <c r="O1029" s="424"/>
      <c r="P1029" s="424"/>
      <c r="Q1029" s="424"/>
      <c r="R1029" s="424"/>
      <c r="S1029" s="424"/>
      <c r="T1029" s="424"/>
      <c r="U1029" s="424"/>
      <c r="Y1029" s="424"/>
      <c r="Z1029" s="424"/>
      <c r="AA1029" s="424"/>
      <c r="AB1029" s="424"/>
      <c r="AC1029" s="424"/>
      <c r="AD1029" s="424"/>
      <c r="AE1029" s="424"/>
      <c r="AF1029" s="424"/>
      <c r="AG1029" s="424"/>
      <c r="AH1029" s="424"/>
      <c r="AI1029" s="424"/>
      <c r="AM1029" s="424"/>
      <c r="AN1029" s="424"/>
      <c r="AO1029" s="424"/>
      <c r="AP1029" s="424"/>
      <c r="AQ1029" s="424"/>
      <c r="AR1029" s="424"/>
      <c r="AS1029" s="424"/>
      <c r="AT1029" s="424"/>
      <c r="AU1029" s="424"/>
      <c r="AV1029" s="424"/>
      <c r="AW1029" s="424"/>
      <c r="AX1029" s="424"/>
      <c r="AY1029" s="424"/>
    </row>
    <row r="1030" spans="2:51">
      <c r="B1030" s="424"/>
      <c r="C1030" s="424"/>
      <c r="D1030" s="424"/>
      <c r="E1030" s="424"/>
      <c r="F1030" s="424"/>
      <c r="G1030" s="424"/>
      <c r="H1030" s="424"/>
      <c r="I1030" s="424"/>
      <c r="J1030" s="424"/>
      <c r="K1030" s="424"/>
      <c r="L1030" s="424"/>
      <c r="M1030" s="424"/>
      <c r="N1030" s="424"/>
      <c r="O1030" s="424"/>
      <c r="P1030" s="424"/>
      <c r="Q1030" s="424"/>
      <c r="R1030" s="424"/>
      <c r="S1030" s="424"/>
      <c r="T1030" s="424"/>
      <c r="U1030" s="424"/>
      <c r="Y1030" s="424"/>
      <c r="Z1030" s="424"/>
      <c r="AA1030" s="424"/>
      <c r="AB1030" s="424"/>
      <c r="AC1030" s="424"/>
      <c r="AD1030" s="424"/>
      <c r="AE1030" s="424"/>
      <c r="AF1030" s="424"/>
      <c r="AG1030" s="424"/>
      <c r="AH1030" s="424"/>
      <c r="AI1030" s="424"/>
      <c r="AM1030" s="424"/>
      <c r="AN1030" s="424"/>
      <c r="AO1030" s="424"/>
      <c r="AP1030" s="424"/>
      <c r="AQ1030" s="424"/>
      <c r="AR1030" s="424"/>
      <c r="AS1030" s="424"/>
      <c r="AT1030" s="424"/>
      <c r="AU1030" s="424"/>
      <c r="AV1030" s="424"/>
      <c r="AW1030" s="424"/>
      <c r="AX1030" s="424"/>
      <c r="AY1030" s="424"/>
    </row>
    <row r="1031" spans="2:51">
      <c r="B1031" s="424"/>
      <c r="C1031" s="424"/>
      <c r="D1031" s="424"/>
      <c r="E1031" s="424"/>
      <c r="F1031" s="424"/>
      <c r="G1031" s="424"/>
      <c r="H1031" s="424"/>
      <c r="I1031" s="424"/>
      <c r="J1031" s="424"/>
      <c r="K1031" s="424"/>
      <c r="L1031" s="424"/>
      <c r="M1031" s="424"/>
      <c r="N1031" s="424"/>
      <c r="O1031" s="424"/>
      <c r="P1031" s="424"/>
      <c r="Q1031" s="424"/>
      <c r="R1031" s="424"/>
      <c r="S1031" s="424"/>
      <c r="T1031" s="424"/>
      <c r="U1031" s="424"/>
      <c r="Y1031" s="424"/>
      <c r="Z1031" s="424"/>
      <c r="AA1031" s="424"/>
      <c r="AB1031" s="424"/>
      <c r="AC1031" s="424"/>
      <c r="AD1031" s="424"/>
      <c r="AE1031" s="424"/>
      <c r="AF1031" s="424"/>
      <c r="AG1031" s="424"/>
      <c r="AH1031" s="424"/>
      <c r="AI1031" s="424"/>
      <c r="AM1031" s="424"/>
      <c r="AN1031" s="424"/>
      <c r="AO1031" s="424"/>
      <c r="AP1031" s="424"/>
      <c r="AQ1031" s="424"/>
      <c r="AR1031" s="424"/>
      <c r="AS1031" s="424"/>
      <c r="AT1031" s="424"/>
      <c r="AU1031" s="424"/>
      <c r="AV1031" s="424"/>
      <c r="AW1031" s="424"/>
      <c r="AX1031" s="424"/>
      <c r="AY1031" s="424"/>
    </row>
    <row r="1032" spans="2:51">
      <c r="B1032" s="424"/>
      <c r="C1032" s="424"/>
      <c r="D1032" s="424"/>
      <c r="E1032" s="424"/>
      <c r="F1032" s="424"/>
      <c r="G1032" s="424"/>
      <c r="H1032" s="424"/>
      <c r="I1032" s="424"/>
      <c r="J1032" s="424"/>
      <c r="K1032" s="424"/>
      <c r="L1032" s="424"/>
      <c r="M1032" s="424"/>
      <c r="N1032" s="424"/>
      <c r="O1032" s="424"/>
      <c r="P1032" s="424"/>
      <c r="Q1032" s="424"/>
      <c r="R1032" s="424"/>
      <c r="S1032" s="424"/>
      <c r="T1032" s="424"/>
      <c r="U1032" s="424"/>
      <c r="Y1032" s="424"/>
      <c r="Z1032" s="424"/>
      <c r="AA1032" s="424"/>
      <c r="AB1032" s="424"/>
      <c r="AC1032" s="424"/>
      <c r="AD1032" s="424"/>
      <c r="AE1032" s="424"/>
      <c r="AF1032" s="424"/>
      <c r="AG1032" s="424"/>
      <c r="AH1032" s="424"/>
      <c r="AI1032" s="424"/>
      <c r="AM1032" s="424"/>
      <c r="AN1032" s="424"/>
      <c r="AO1032" s="424"/>
      <c r="AP1032" s="424"/>
      <c r="AQ1032" s="424"/>
      <c r="AR1032" s="424"/>
      <c r="AS1032" s="424"/>
      <c r="AT1032" s="424"/>
      <c r="AU1032" s="424"/>
      <c r="AV1032" s="424"/>
      <c r="AW1032" s="424"/>
      <c r="AX1032" s="424"/>
      <c r="AY1032" s="424"/>
    </row>
    <row r="1033" spans="2:51">
      <c r="B1033" s="424"/>
      <c r="C1033" s="424"/>
      <c r="D1033" s="424"/>
      <c r="E1033" s="424"/>
      <c r="F1033" s="424"/>
      <c r="G1033" s="424"/>
      <c r="H1033" s="424"/>
      <c r="I1033" s="424"/>
      <c r="J1033" s="424"/>
      <c r="K1033" s="424"/>
      <c r="L1033" s="424"/>
      <c r="M1033" s="424"/>
      <c r="N1033" s="424"/>
      <c r="O1033" s="424"/>
      <c r="P1033" s="424"/>
      <c r="Q1033" s="424"/>
      <c r="R1033" s="424"/>
      <c r="S1033" s="424"/>
      <c r="T1033" s="424"/>
      <c r="U1033" s="424"/>
      <c r="Y1033" s="424"/>
      <c r="Z1033" s="424"/>
      <c r="AA1033" s="424"/>
      <c r="AB1033" s="424"/>
      <c r="AC1033" s="424"/>
      <c r="AD1033" s="424"/>
      <c r="AE1033" s="424"/>
      <c r="AF1033" s="424"/>
      <c r="AG1033" s="424"/>
      <c r="AH1033" s="424"/>
      <c r="AI1033" s="424"/>
      <c r="AM1033" s="424"/>
      <c r="AN1033" s="424"/>
      <c r="AO1033" s="424"/>
      <c r="AP1033" s="424"/>
      <c r="AQ1033" s="424"/>
      <c r="AR1033" s="424"/>
      <c r="AS1033" s="424"/>
      <c r="AT1033" s="424"/>
      <c r="AU1033" s="424"/>
      <c r="AV1033" s="424"/>
      <c r="AW1033" s="424"/>
      <c r="AX1033" s="424"/>
      <c r="AY1033" s="424"/>
    </row>
    <row r="1034" spans="2:51">
      <c r="B1034" s="424"/>
      <c r="C1034" s="424"/>
      <c r="D1034" s="424"/>
      <c r="E1034" s="424"/>
      <c r="F1034" s="424"/>
      <c r="G1034" s="424"/>
      <c r="H1034" s="424"/>
      <c r="I1034" s="424"/>
      <c r="J1034" s="424"/>
      <c r="K1034" s="424"/>
      <c r="L1034" s="424"/>
      <c r="M1034" s="424"/>
      <c r="N1034" s="424"/>
      <c r="O1034" s="424"/>
      <c r="P1034" s="424"/>
      <c r="Q1034" s="424"/>
      <c r="R1034" s="424"/>
      <c r="S1034" s="424"/>
      <c r="T1034" s="424"/>
      <c r="U1034" s="424"/>
      <c r="Y1034" s="424"/>
      <c r="Z1034" s="424"/>
      <c r="AA1034" s="424"/>
      <c r="AB1034" s="424"/>
      <c r="AC1034" s="424"/>
      <c r="AD1034" s="424"/>
      <c r="AE1034" s="424"/>
      <c r="AF1034" s="424"/>
      <c r="AG1034" s="424"/>
      <c r="AH1034" s="424"/>
      <c r="AI1034" s="424"/>
      <c r="AM1034" s="424"/>
      <c r="AN1034" s="424"/>
      <c r="AO1034" s="424"/>
      <c r="AP1034" s="424"/>
      <c r="AQ1034" s="424"/>
      <c r="AR1034" s="424"/>
      <c r="AS1034" s="424"/>
      <c r="AT1034" s="424"/>
      <c r="AU1034" s="424"/>
      <c r="AV1034" s="424"/>
      <c r="AW1034" s="424"/>
      <c r="AX1034" s="424"/>
      <c r="AY1034" s="424"/>
    </row>
    <row r="1035" spans="2:51">
      <c r="B1035" s="424"/>
      <c r="C1035" s="424"/>
      <c r="D1035" s="424"/>
      <c r="E1035" s="424"/>
      <c r="F1035" s="424"/>
      <c r="G1035" s="424"/>
      <c r="H1035" s="424"/>
      <c r="I1035" s="424"/>
      <c r="J1035" s="424"/>
      <c r="K1035" s="424"/>
      <c r="L1035" s="424"/>
      <c r="M1035" s="424"/>
      <c r="N1035" s="424"/>
      <c r="O1035" s="424"/>
      <c r="P1035" s="424"/>
      <c r="Q1035" s="424"/>
      <c r="R1035" s="424"/>
      <c r="S1035" s="424"/>
      <c r="T1035" s="424"/>
      <c r="U1035" s="424"/>
      <c r="Y1035" s="424"/>
      <c r="Z1035" s="424"/>
      <c r="AA1035" s="424"/>
      <c r="AB1035" s="424"/>
      <c r="AC1035" s="424"/>
      <c r="AD1035" s="424"/>
      <c r="AE1035" s="424"/>
      <c r="AF1035" s="424"/>
      <c r="AG1035" s="424"/>
      <c r="AH1035" s="424"/>
      <c r="AI1035" s="424"/>
      <c r="AM1035" s="424"/>
      <c r="AN1035" s="424"/>
      <c r="AO1035" s="424"/>
      <c r="AP1035" s="424"/>
      <c r="AQ1035" s="424"/>
      <c r="AR1035" s="424"/>
      <c r="AS1035" s="424"/>
      <c r="AT1035" s="424"/>
      <c r="AU1035" s="424"/>
      <c r="AV1035" s="424"/>
      <c r="AW1035" s="424"/>
      <c r="AX1035" s="424"/>
      <c r="AY1035" s="424"/>
    </row>
    <row r="1036" spans="2:51">
      <c r="B1036" s="424"/>
      <c r="C1036" s="424"/>
      <c r="D1036" s="424"/>
      <c r="E1036" s="424"/>
      <c r="F1036" s="424"/>
      <c r="G1036" s="424"/>
      <c r="H1036" s="424"/>
      <c r="I1036" s="424"/>
      <c r="J1036" s="424"/>
      <c r="K1036" s="424"/>
      <c r="L1036" s="424"/>
      <c r="M1036" s="424"/>
      <c r="N1036" s="424"/>
      <c r="O1036" s="424"/>
      <c r="P1036" s="424"/>
      <c r="Q1036" s="424"/>
      <c r="R1036" s="424"/>
      <c r="S1036" s="424"/>
      <c r="T1036" s="424"/>
      <c r="U1036" s="424"/>
      <c r="Y1036" s="424"/>
      <c r="Z1036" s="424"/>
      <c r="AA1036" s="424"/>
      <c r="AB1036" s="424"/>
      <c r="AC1036" s="424"/>
      <c r="AD1036" s="424"/>
      <c r="AE1036" s="424"/>
      <c r="AF1036" s="424"/>
      <c r="AG1036" s="424"/>
      <c r="AH1036" s="424"/>
      <c r="AI1036" s="424"/>
      <c r="AM1036" s="424"/>
      <c r="AN1036" s="424"/>
      <c r="AO1036" s="424"/>
      <c r="AP1036" s="424"/>
      <c r="AQ1036" s="424"/>
      <c r="AR1036" s="424"/>
      <c r="AS1036" s="424"/>
      <c r="AT1036" s="424"/>
      <c r="AU1036" s="424"/>
      <c r="AV1036" s="424"/>
      <c r="AW1036" s="424"/>
      <c r="AX1036" s="424"/>
      <c r="AY1036" s="424"/>
    </row>
    <row r="1037" spans="2:51">
      <c r="B1037" s="424"/>
      <c r="C1037" s="424"/>
      <c r="D1037" s="424"/>
      <c r="E1037" s="424"/>
      <c r="F1037" s="424"/>
      <c r="G1037" s="424"/>
      <c r="H1037" s="424"/>
      <c r="I1037" s="424"/>
      <c r="J1037" s="424"/>
      <c r="K1037" s="424"/>
      <c r="L1037" s="424"/>
      <c r="M1037" s="424"/>
      <c r="N1037" s="424"/>
      <c r="O1037" s="424"/>
      <c r="P1037" s="424"/>
      <c r="Q1037" s="424"/>
      <c r="R1037" s="424"/>
      <c r="S1037" s="424"/>
      <c r="T1037" s="424"/>
      <c r="U1037" s="424"/>
      <c r="Y1037" s="424"/>
      <c r="Z1037" s="424"/>
      <c r="AA1037" s="424"/>
      <c r="AB1037" s="424"/>
      <c r="AC1037" s="424"/>
      <c r="AD1037" s="424"/>
      <c r="AE1037" s="424"/>
      <c r="AF1037" s="424"/>
      <c r="AG1037" s="424"/>
      <c r="AH1037" s="424"/>
      <c r="AI1037" s="424"/>
      <c r="AM1037" s="424"/>
      <c r="AN1037" s="424"/>
      <c r="AO1037" s="424"/>
      <c r="AP1037" s="424"/>
      <c r="AQ1037" s="424"/>
      <c r="AR1037" s="424"/>
      <c r="AS1037" s="424"/>
      <c r="AT1037" s="424"/>
      <c r="AU1037" s="424"/>
      <c r="AV1037" s="424"/>
      <c r="AW1037" s="424"/>
      <c r="AX1037" s="424"/>
      <c r="AY1037" s="424"/>
    </row>
    <row r="1038" spans="2:51">
      <c r="B1038" s="424"/>
      <c r="C1038" s="424"/>
      <c r="D1038" s="424"/>
      <c r="E1038" s="424"/>
      <c r="F1038" s="424"/>
      <c r="G1038" s="424"/>
      <c r="H1038" s="424"/>
      <c r="I1038" s="424"/>
      <c r="J1038" s="424"/>
      <c r="K1038" s="424"/>
      <c r="L1038" s="424"/>
      <c r="M1038" s="424"/>
      <c r="N1038" s="424"/>
      <c r="O1038" s="424"/>
      <c r="P1038" s="424"/>
      <c r="Q1038" s="424"/>
      <c r="R1038" s="424"/>
      <c r="S1038" s="424"/>
      <c r="T1038" s="424"/>
      <c r="U1038" s="424"/>
      <c r="Y1038" s="424"/>
      <c r="Z1038" s="424"/>
      <c r="AA1038" s="424"/>
      <c r="AB1038" s="424"/>
      <c r="AC1038" s="424"/>
      <c r="AD1038" s="424"/>
      <c r="AE1038" s="424"/>
      <c r="AF1038" s="424"/>
      <c r="AG1038" s="424"/>
      <c r="AH1038" s="424"/>
      <c r="AI1038" s="424"/>
      <c r="AM1038" s="424"/>
      <c r="AN1038" s="424"/>
      <c r="AO1038" s="424"/>
      <c r="AP1038" s="424"/>
      <c r="AQ1038" s="424"/>
      <c r="AR1038" s="424"/>
      <c r="AS1038" s="424"/>
      <c r="AT1038" s="424"/>
      <c r="AU1038" s="424"/>
      <c r="AV1038" s="424"/>
      <c r="AW1038" s="424"/>
      <c r="AX1038" s="424"/>
      <c r="AY1038" s="424"/>
    </row>
    <row r="1039" spans="2:51">
      <c r="B1039" s="424"/>
      <c r="C1039" s="424"/>
      <c r="D1039" s="424"/>
      <c r="E1039" s="424"/>
      <c r="F1039" s="424"/>
      <c r="G1039" s="424"/>
      <c r="H1039" s="424"/>
      <c r="I1039" s="424"/>
      <c r="J1039" s="424"/>
      <c r="K1039" s="424"/>
      <c r="L1039" s="424"/>
      <c r="M1039" s="424"/>
      <c r="N1039" s="424"/>
      <c r="O1039" s="424"/>
      <c r="P1039" s="424"/>
      <c r="Q1039" s="424"/>
      <c r="R1039" s="424"/>
      <c r="S1039" s="424"/>
      <c r="T1039" s="424"/>
      <c r="U1039" s="424"/>
      <c r="Y1039" s="424"/>
      <c r="Z1039" s="424"/>
      <c r="AA1039" s="424"/>
      <c r="AB1039" s="424"/>
      <c r="AC1039" s="424"/>
      <c r="AD1039" s="424"/>
      <c r="AE1039" s="424"/>
      <c r="AF1039" s="424"/>
      <c r="AG1039" s="424"/>
      <c r="AH1039" s="424"/>
      <c r="AI1039" s="424"/>
      <c r="AM1039" s="424"/>
      <c r="AN1039" s="424"/>
      <c r="AO1039" s="424"/>
      <c r="AP1039" s="424"/>
      <c r="AQ1039" s="424"/>
      <c r="AR1039" s="424"/>
      <c r="AS1039" s="424"/>
      <c r="AT1039" s="424"/>
      <c r="AU1039" s="424"/>
      <c r="AV1039" s="424"/>
      <c r="AW1039" s="424"/>
      <c r="AX1039" s="424"/>
      <c r="AY1039" s="424"/>
    </row>
    <row r="1040" spans="2:51">
      <c r="B1040" s="424"/>
      <c r="C1040" s="424"/>
      <c r="D1040" s="424"/>
      <c r="E1040" s="424"/>
      <c r="F1040" s="424"/>
      <c r="G1040" s="424"/>
      <c r="H1040" s="424"/>
      <c r="I1040" s="424"/>
      <c r="J1040" s="424"/>
      <c r="K1040" s="424"/>
      <c r="L1040" s="424"/>
      <c r="M1040" s="424"/>
      <c r="N1040" s="424"/>
      <c r="O1040" s="424"/>
      <c r="P1040" s="424"/>
      <c r="Q1040" s="424"/>
      <c r="R1040" s="424"/>
      <c r="S1040" s="424"/>
      <c r="T1040" s="424"/>
      <c r="U1040" s="424"/>
      <c r="Y1040" s="424"/>
      <c r="Z1040" s="424"/>
      <c r="AA1040" s="424"/>
      <c r="AB1040" s="424"/>
      <c r="AC1040" s="424"/>
      <c r="AD1040" s="424"/>
      <c r="AE1040" s="424"/>
      <c r="AF1040" s="424"/>
      <c r="AG1040" s="424"/>
      <c r="AH1040" s="424"/>
      <c r="AI1040" s="424"/>
      <c r="AM1040" s="424"/>
      <c r="AN1040" s="424"/>
      <c r="AO1040" s="424"/>
      <c r="AP1040" s="424"/>
      <c r="AQ1040" s="424"/>
      <c r="AR1040" s="424"/>
      <c r="AS1040" s="424"/>
      <c r="AT1040" s="424"/>
      <c r="AU1040" s="424"/>
      <c r="AV1040" s="424"/>
      <c r="AW1040" s="424"/>
      <c r="AX1040" s="424"/>
      <c r="AY1040" s="424"/>
    </row>
    <row r="1041" spans="2:51">
      <c r="B1041" s="424"/>
      <c r="C1041" s="424"/>
      <c r="D1041" s="424"/>
      <c r="E1041" s="424"/>
      <c r="F1041" s="424"/>
      <c r="G1041" s="424"/>
      <c r="H1041" s="424"/>
      <c r="I1041" s="424"/>
      <c r="J1041" s="424"/>
      <c r="K1041" s="424"/>
      <c r="L1041" s="424"/>
      <c r="M1041" s="424"/>
      <c r="N1041" s="424"/>
      <c r="O1041" s="424"/>
      <c r="P1041" s="424"/>
      <c r="Q1041" s="424"/>
      <c r="R1041" s="424"/>
      <c r="S1041" s="424"/>
      <c r="T1041" s="424"/>
      <c r="U1041" s="424"/>
      <c r="Y1041" s="424"/>
      <c r="Z1041" s="424"/>
      <c r="AA1041" s="424"/>
      <c r="AB1041" s="424"/>
      <c r="AC1041" s="424"/>
      <c r="AD1041" s="424"/>
      <c r="AE1041" s="424"/>
      <c r="AF1041" s="424"/>
      <c r="AG1041" s="424"/>
      <c r="AH1041" s="424"/>
      <c r="AI1041" s="424"/>
      <c r="AM1041" s="424"/>
      <c r="AN1041" s="424"/>
      <c r="AO1041" s="424"/>
      <c r="AP1041" s="424"/>
      <c r="AQ1041" s="424"/>
      <c r="AR1041" s="424"/>
      <c r="AS1041" s="424"/>
      <c r="AT1041" s="424"/>
      <c r="AU1041" s="424"/>
      <c r="AV1041" s="424"/>
      <c r="AW1041" s="424"/>
      <c r="AX1041" s="424"/>
      <c r="AY1041" s="424"/>
    </row>
    <row r="1042" spans="2:51">
      <c r="B1042" s="424"/>
      <c r="C1042" s="424"/>
      <c r="D1042" s="424"/>
      <c r="E1042" s="424"/>
      <c r="F1042" s="424"/>
      <c r="G1042" s="424"/>
      <c r="H1042" s="424"/>
      <c r="I1042" s="424"/>
      <c r="J1042" s="424"/>
      <c r="K1042" s="424"/>
      <c r="L1042" s="424"/>
      <c r="M1042" s="424"/>
      <c r="N1042" s="424"/>
      <c r="O1042" s="424"/>
      <c r="P1042" s="424"/>
      <c r="Q1042" s="424"/>
      <c r="R1042" s="424"/>
      <c r="S1042" s="424"/>
      <c r="T1042" s="424"/>
      <c r="U1042" s="424"/>
      <c r="Y1042" s="424"/>
      <c r="Z1042" s="424"/>
      <c r="AA1042" s="424"/>
      <c r="AB1042" s="424"/>
      <c r="AC1042" s="424"/>
      <c r="AD1042" s="424"/>
      <c r="AE1042" s="424"/>
      <c r="AF1042" s="424"/>
      <c r="AG1042" s="424"/>
      <c r="AH1042" s="424"/>
      <c r="AI1042" s="424"/>
      <c r="AM1042" s="424"/>
      <c r="AN1042" s="424"/>
      <c r="AO1042" s="424"/>
      <c r="AP1042" s="424"/>
      <c r="AQ1042" s="424"/>
      <c r="AR1042" s="424"/>
      <c r="AS1042" s="424"/>
      <c r="AT1042" s="424"/>
      <c r="AU1042" s="424"/>
      <c r="AV1042" s="424"/>
      <c r="AW1042" s="424"/>
      <c r="AX1042" s="424"/>
      <c r="AY1042" s="424"/>
    </row>
    <row r="1043" spans="2:51">
      <c r="B1043" s="424"/>
      <c r="C1043" s="424"/>
      <c r="D1043" s="424"/>
      <c r="E1043" s="424"/>
      <c r="F1043" s="424"/>
      <c r="G1043" s="424"/>
      <c r="H1043" s="424"/>
      <c r="I1043" s="424"/>
      <c r="J1043" s="424"/>
      <c r="K1043" s="424"/>
      <c r="L1043" s="424"/>
      <c r="M1043" s="424"/>
      <c r="N1043" s="424"/>
      <c r="O1043" s="424"/>
      <c r="P1043" s="424"/>
      <c r="Q1043" s="424"/>
      <c r="R1043" s="424"/>
      <c r="S1043" s="424"/>
      <c r="T1043" s="424"/>
      <c r="U1043" s="424"/>
      <c r="Y1043" s="424"/>
      <c r="Z1043" s="424"/>
      <c r="AA1043" s="424"/>
      <c r="AB1043" s="424"/>
      <c r="AC1043" s="424"/>
      <c r="AD1043" s="424"/>
      <c r="AE1043" s="424"/>
      <c r="AF1043" s="424"/>
      <c r="AG1043" s="424"/>
      <c r="AH1043" s="424"/>
      <c r="AI1043" s="424"/>
      <c r="AM1043" s="424"/>
      <c r="AN1043" s="424"/>
      <c r="AO1043" s="424"/>
      <c r="AP1043" s="424"/>
      <c r="AQ1043" s="424"/>
      <c r="AR1043" s="424"/>
      <c r="AS1043" s="424"/>
      <c r="AT1043" s="424"/>
      <c r="AU1043" s="424"/>
      <c r="AV1043" s="424"/>
      <c r="AW1043" s="424"/>
      <c r="AX1043" s="424"/>
      <c r="AY1043" s="424"/>
    </row>
    <row r="1044" spans="2:51">
      <c r="B1044" s="424"/>
      <c r="C1044" s="424"/>
      <c r="D1044" s="424"/>
      <c r="E1044" s="424"/>
      <c r="F1044" s="424"/>
      <c r="G1044" s="424"/>
      <c r="H1044" s="424"/>
      <c r="I1044" s="424"/>
      <c r="J1044" s="424"/>
      <c r="K1044" s="424"/>
      <c r="L1044" s="424"/>
      <c r="M1044" s="424"/>
      <c r="N1044" s="424"/>
      <c r="O1044" s="424"/>
      <c r="P1044" s="424"/>
      <c r="Q1044" s="424"/>
      <c r="R1044" s="424"/>
      <c r="S1044" s="424"/>
      <c r="T1044" s="424"/>
      <c r="U1044" s="424"/>
      <c r="Y1044" s="424"/>
      <c r="Z1044" s="424"/>
      <c r="AA1044" s="424"/>
      <c r="AB1044" s="424"/>
      <c r="AC1044" s="424"/>
      <c r="AD1044" s="424"/>
      <c r="AE1044" s="424"/>
      <c r="AF1044" s="424"/>
      <c r="AG1044" s="424"/>
      <c r="AH1044" s="424"/>
      <c r="AI1044" s="424"/>
      <c r="AM1044" s="424"/>
      <c r="AN1044" s="424"/>
      <c r="AO1044" s="424"/>
      <c r="AP1044" s="424"/>
      <c r="AQ1044" s="424"/>
      <c r="AR1044" s="424"/>
      <c r="AS1044" s="424"/>
      <c r="AT1044" s="424"/>
      <c r="AU1044" s="424"/>
      <c r="AV1044" s="424"/>
      <c r="AW1044" s="424"/>
      <c r="AX1044" s="424"/>
      <c r="AY1044" s="424"/>
    </row>
    <row r="1045" spans="2:51">
      <c r="B1045" s="424"/>
      <c r="C1045" s="424"/>
      <c r="D1045" s="424"/>
      <c r="E1045" s="424"/>
      <c r="F1045" s="424"/>
      <c r="G1045" s="424"/>
      <c r="H1045" s="424"/>
      <c r="I1045" s="424"/>
      <c r="J1045" s="424"/>
      <c r="K1045" s="424"/>
      <c r="L1045" s="424"/>
      <c r="M1045" s="424"/>
      <c r="N1045" s="424"/>
      <c r="O1045" s="424"/>
      <c r="P1045" s="424"/>
      <c r="Q1045" s="424"/>
      <c r="R1045" s="424"/>
      <c r="S1045" s="424"/>
      <c r="T1045" s="424"/>
      <c r="U1045" s="424"/>
      <c r="Y1045" s="424"/>
      <c r="Z1045" s="424"/>
      <c r="AA1045" s="424"/>
      <c r="AB1045" s="424"/>
      <c r="AC1045" s="424"/>
      <c r="AD1045" s="424"/>
      <c r="AE1045" s="424"/>
      <c r="AF1045" s="424"/>
      <c r="AG1045" s="424"/>
      <c r="AH1045" s="424"/>
      <c r="AI1045" s="424"/>
      <c r="AM1045" s="424"/>
      <c r="AN1045" s="424"/>
      <c r="AO1045" s="424"/>
      <c r="AP1045" s="424"/>
      <c r="AQ1045" s="424"/>
      <c r="AR1045" s="424"/>
      <c r="AS1045" s="424"/>
      <c r="AT1045" s="424"/>
      <c r="AU1045" s="424"/>
      <c r="AV1045" s="424"/>
      <c r="AW1045" s="424"/>
      <c r="AX1045" s="424"/>
      <c r="AY1045" s="424"/>
    </row>
    <row r="1046" spans="2:51">
      <c r="B1046" s="424"/>
      <c r="C1046" s="424"/>
      <c r="D1046" s="424"/>
      <c r="E1046" s="424"/>
      <c r="F1046" s="424"/>
      <c r="G1046" s="424"/>
      <c r="H1046" s="424"/>
      <c r="I1046" s="424"/>
      <c r="J1046" s="424"/>
      <c r="K1046" s="424"/>
      <c r="L1046" s="424"/>
      <c r="M1046" s="424"/>
      <c r="N1046" s="424"/>
      <c r="O1046" s="424"/>
      <c r="P1046" s="424"/>
      <c r="Q1046" s="424"/>
      <c r="R1046" s="424"/>
      <c r="S1046" s="424"/>
      <c r="T1046" s="424"/>
      <c r="U1046" s="424"/>
      <c r="Y1046" s="424"/>
      <c r="Z1046" s="424"/>
      <c r="AA1046" s="424"/>
      <c r="AB1046" s="424"/>
      <c r="AC1046" s="424"/>
      <c r="AD1046" s="424"/>
      <c r="AE1046" s="424"/>
      <c r="AF1046" s="424"/>
      <c r="AG1046" s="424"/>
      <c r="AH1046" s="424"/>
      <c r="AI1046" s="424"/>
      <c r="AM1046" s="424"/>
      <c r="AN1046" s="424"/>
      <c r="AO1046" s="424"/>
      <c r="AP1046" s="424"/>
      <c r="AQ1046" s="424"/>
      <c r="AR1046" s="424"/>
      <c r="AS1046" s="424"/>
      <c r="AT1046" s="424"/>
      <c r="AU1046" s="424"/>
      <c r="AV1046" s="424"/>
      <c r="AW1046" s="424"/>
      <c r="AX1046" s="424"/>
      <c r="AY1046" s="424"/>
    </row>
    <row r="1047" spans="2:51">
      <c r="B1047" s="424"/>
      <c r="C1047" s="424"/>
      <c r="D1047" s="424"/>
      <c r="E1047" s="424"/>
      <c r="F1047" s="424"/>
      <c r="G1047" s="424"/>
      <c r="H1047" s="424"/>
      <c r="I1047" s="424"/>
      <c r="J1047" s="424"/>
      <c r="K1047" s="424"/>
      <c r="L1047" s="424"/>
      <c r="M1047" s="424"/>
      <c r="N1047" s="424"/>
      <c r="O1047" s="424"/>
      <c r="P1047" s="424"/>
      <c r="Q1047" s="424"/>
      <c r="R1047" s="424"/>
      <c r="S1047" s="424"/>
      <c r="T1047" s="424"/>
      <c r="U1047" s="424"/>
      <c r="Y1047" s="424"/>
      <c r="Z1047" s="424"/>
      <c r="AA1047" s="424"/>
      <c r="AB1047" s="424"/>
      <c r="AC1047" s="424"/>
      <c r="AD1047" s="424"/>
      <c r="AE1047" s="424"/>
      <c r="AF1047" s="424"/>
      <c r="AG1047" s="424"/>
      <c r="AH1047" s="424"/>
      <c r="AI1047" s="424"/>
      <c r="AM1047" s="424"/>
      <c r="AN1047" s="424"/>
      <c r="AO1047" s="424"/>
      <c r="AP1047" s="424"/>
      <c r="AQ1047" s="424"/>
      <c r="AR1047" s="424"/>
      <c r="AS1047" s="424"/>
      <c r="AT1047" s="424"/>
      <c r="AU1047" s="424"/>
      <c r="AV1047" s="424"/>
      <c r="AW1047" s="424"/>
      <c r="AX1047" s="424"/>
      <c r="AY1047" s="424"/>
    </row>
    <row r="1048" spans="2:51">
      <c r="B1048" s="424"/>
      <c r="C1048" s="424"/>
      <c r="D1048" s="424"/>
      <c r="E1048" s="424"/>
      <c r="F1048" s="424"/>
      <c r="G1048" s="424"/>
      <c r="H1048" s="424"/>
      <c r="I1048" s="424"/>
      <c r="J1048" s="424"/>
      <c r="K1048" s="424"/>
      <c r="L1048" s="424"/>
      <c r="M1048" s="424"/>
      <c r="N1048" s="424"/>
      <c r="O1048" s="424"/>
      <c r="P1048" s="424"/>
      <c r="Q1048" s="424"/>
      <c r="R1048" s="424"/>
      <c r="S1048" s="424"/>
      <c r="T1048" s="424"/>
      <c r="U1048" s="424"/>
      <c r="Y1048" s="424"/>
      <c r="Z1048" s="424"/>
      <c r="AA1048" s="424"/>
      <c r="AB1048" s="424"/>
      <c r="AC1048" s="424"/>
      <c r="AD1048" s="424"/>
      <c r="AE1048" s="424"/>
      <c r="AF1048" s="424"/>
      <c r="AG1048" s="424"/>
      <c r="AH1048" s="424"/>
      <c r="AI1048" s="424"/>
      <c r="AM1048" s="424"/>
      <c r="AN1048" s="424"/>
      <c r="AO1048" s="424"/>
      <c r="AP1048" s="424"/>
      <c r="AQ1048" s="424"/>
      <c r="AR1048" s="424"/>
      <c r="AS1048" s="424"/>
      <c r="AT1048" s="424"/>
      <c r="AU1048" s="424"/>
      <c r="AV1048" s="424"/>
      <c r="AW1048" s="424"/>
      <c r="AX1048" s="424"/>
      <c r="AY1048" s="424"/>
    </row>
    <row r="1049" spans="2:51">
      <c r="B1049" s="424"/>
      <c r="C1049" s="424"/>
      <c r="D1049" s="424"/>
      <c r="E1049" s="424"/>
      <c r="F1049" s="424"/>
      <c r="G1049" s="424"/>
      <c r="H1049" s="424"/>
      <c r="I1049" s="424"/>
      <c r="J1049" s="424"/>
      <c r="K1049" s="424"/>
      <c r="L1049" s="424"/>
      <c r="M1049" s="424"/>
      <c r="N1049" s="424"/>
      <c r="O1049" s="424"/>
      <c r="P1049" s="424"/>
      <c r="Q1049" s="424"/>
      <c r="R1049" s="424"/>
      <c r="S1049" s="424"/>
      <c r="T1049" s="424"/>
      <c r="U1049" s="424"/>
      <c r="Y1049" s="424"/>
      <c r="Z1049" s="424"/>
      <c r="AA1049" s="424"/>
      <c r="AB1049" s="424"/>
      <c r="AC1049" s="424"/>
      <c r="AD1049" s="424"/>
      <c r="AE1049" s="424"/>
      <c r="AF1049" s="424"/>
      <c r="AG1049" s="424"/>
      <c r="AH1049" s="424"/>
      <c r="AI1049" s="424"/>
      <c r="AM1049" s="424"/>
      <c r="AN1049" s="424"/>
      <c r="AO1049" s="424"/>
      <c r="AP1049" s="424"/>
      <c r="AQ1049" s="424"/>
      <c r="AR1049" s="424"/>
      <c r="AS1049" s="424"/>
      <c r="AT1049" s="424"/>
      <c r="AU1049" s="424"/>
      <c r="AV1049" s="424"/>
      <c r="AW1049" s="424"/>
      <c r="AX1049" s="424"/>
      <c r="AY1049" s="424"/>
    </row>
    <row r="1050" spans="2:51">
      <c r="B1050" s="424"/>
      <c r="C1050" s="424"/>
      <c r="D1050" s="424"/>
      <c r="E1050" s="424"/>
      <c r="F1050" s="424"/>
      <c r="G1050" s="424"/>
      <c r="H1050" s="424"/>
      <c r="I1050" s="424"/>
      <c r="J1050" s="424"/>
      <c r="K1050" s="424"/>
      <c r="L1050" s="424"/>
      <c r="M1050" s="424"/>
      <c r="N1050" s="424"/>
      <c r="O1050" s="424"/>
      <c r="P1050" s="424"/>
      <c r="Q1050" s="424"/>
      <c r="R1050" s="424"/>
      <c r="S1050" s="424"/>
      <c r="T1050" s="424"/>
      <c r="U1050" s="424"/>
      <c r="Y1050" s="424"/>
      <c r="Z1050" s="424"/>
      <c r="AA1050" s="424"/>
      <c r="AB1050" s="424"/>
      <c r="AC1050" s="424"/>
      <c r="AD1050" s="424"/>
      <c r="AE1050" s="424"/>
      <c r="AF1050" s="424"/>
      <c r="AG1050" s="424"/>
      <c r="AH1050" s="424"/>
      <c r="AI1050" s="424"/>
      <c r="AM1050" s="424"/>
      <c r="AN1050" s="424"/>
      <c r="AO1050" s="424"/>
      <c r="AP1050" s="424"/>
      <c r="AQ1050" s="424"/>
      <c r="AR1050" s="424"/>
      <c r="AS1050" s="424"/>
      <c r="AT1050" s="424"/>
      <c r="AU1050" s="424"/>
      <c r="AV1050" s="424"/>
      <c r="AW1050" s="424"/>
      <c r="AX1050" s="424"/>
      <c r="AY1050" s="424"/>
    </row>
    <row r="1051" spans="2:51">
      <c r="B1051" s="424"/>
      <c r="C1051" s="424"/>
      <c r="D1051" s="424"/>
      <c r="E1051" s="424"/>
      <c r="F1051" s="424"/>
      <c r="G1051" s="424"/>
      <c r="H1051" s="424"/>
      <c r="I1051" s="424"/>
      <c r="J1051" s="424"/>
      <c r="K1051" s="424"/>
      <c r="L1051" s="424"/>
      <c r="M1051" s="424"/>
      <c r="N1051" s="424"/>
      <c r="O1051" s="424"/>
      <c r="P1051" s="424"/>
      <c r="Q1051" s="424"/>
      <c r="R1051" s="424"/>
      <c r="S1051" s="424"/>
      <c r="T1051" s="424"/>
      <c r="U1051" s="424"/>
      <c r="Y1051" s="424"/>
      <c r="Z1051" s="424"/>
      <c r="AA1051" s="424"/>
      <c r="AB1051" s="424"/>
      <c r="AC1051" s="424"/>
      <c r="AD1051" s="424"/>
      <c r="AE1051" s="424"/>
      <c r="AF1051" s="424"/>
      <c r="AG1051" s="424"/>
      <c r="AH1051" s="424"/>
      <c r="AI1051" s="424"/>
      <c r="AM1051" s="424"/>
      <c r="AN1051" s="424"/>
      <c r="AO1051" s="424"/>
      <c r="AP1051" s="424"/>
      <c r="AQ1051" s="424"/>
      <c r="AR1051" s="424"/>
      <c r="AS1051" s="424"/>
      <c r="AT1051" s="424"/>
      <c r="AU1051" s="424"/>
      <c r="AV1051" s="424"/>
      <c r="AW1051" s="424"/>
      <c r="AX1051" s="424"/>
      <c r="AY1051" s="424"/>
    </row>
    <row r="1052" spans="2:51">
      <c r="B1052" s="424"/>
      <c r="C1052" s="424"/>
      <c r="D1052" s="424"/>
      <c r="E1052" s="424"/>
      <c r="F1052" s="424"/>
      <c r="G1052" s="424"/>
      <c r="H1052" s="424"/>
      <c r="I1052" s="424"/>
      <c r="J1052" s="424"/>
      <c r="K1052" s="424"/>
      <c r="L1052" s="424"/>
      <c r="M1052" s="424"/>
      <c r="N1052" s="424"/>
      <c r="O1052" s="424"/>
      <c r="P1052" s="424"/>
      <c r="Q1052" s="424"/>
      <c r="R1052" s="424"/>
      <c r="S1052" s="424"/>
      <c r="T1052" s="424"/>
      <c r="U1052" s="424"/>
      <c r="Y1052" s="424"/>
      <c r="Z1052" s="424"/>
      <c r="AA1052" s="424"/>
      <c r="AB1052" s="424"/>
      <c r="AC1052" s="424"/>
      <c r="AD1052" s="424"/>
      <c r="AE1052" s="424"/>
      <c r="AF1052" s="424"/>
      <c r="AG1052" s="424"/>
      <c r="AH1052" s="424"/>
      <c r="AI1052" s="424"/>
      <c r="AM1052" s="424"/>
      <c r="AN1052" s="424"/>
      <c r="AO1052" s="424"/>
      <c r="AP1052" s="424"/>
      <c r="AQ1052" s="424"/>
      <c r="AR1052" s="424"/>
      <c r="AS1052" s="424"/>
      <c r="AT1052" s="424"/>
      <c r="AU1052" s="424"/>
      <c r="AV1052" s="424"/>
      <c r="AW1052" s="424"/>
      <c r="AX1052" s="424"/>
      <c r="AY1052" s="424"/>
    </row>
    <row r="1053" spans="2:51">
      <c r="B1053" s="424"/>
      <c r="C1053" s="424"/>
      <c r="D1053" s="424"/>
      <c r="E1053" s="424"/>
      <c r="F1053" s="424"/>
      <c r="G1053" s="424"/>
      <c r="H1053" s="424"/>
      <c r="I1053" s="424"/>
      <c r="J1053" s="424"/>
      <c r="K1053" s="424"/>
      <c r="L1053" s="424"/>
      <c r="M1053" s="424"/>
      <c r="N1053" s="424"/>
      <c r="O1053" s="424"/>
      <c r="P1053" s="424"/>
      <c r="Q1053" s="424"/>
      <c r="R1053" s="424"/>
      <c r="S1053" s="424"/>
      <c r="T1053" s="424"/>
      <c r="U1053" s="424"/>
      <c r="Y1053" s="424"/>
      <c r="Z1053" s="424"/>
      <c r="AA1053" s="424"/>
      <c r="AB1053" s="424"/>
      <c r="AC1053" s="424"/>
      <c r="AD1053" s="424"/>
      <c r="AE1053" s="424"/>
      <c r="AF1053" s="424"/>
      <c r="AG1053" s="424"/>
      <c r="AH1053" s="424"/>
      <c r="AI1053" s="424"/>
      <c r="AM1053" s="424"/>
      <c r="AN1053" s="424"/>
      <c r="AO1053" s="424"/>
      <c r="AP1053" s="424"/>
      <c r="AQ1053" s="424"/>
      <c r="AR1053" s="424"/>
      <c r="AS1053" s="424"/>
      <c r="AT1053" s="424"/>
      <c r="AU1053" s="424"/>
      <c r="AV1053" s="424"/>
      <c r="AW1053" s="424"/>
      <c r="AX1053" s="424"/>
      <c r="AY1053" s="424"/>
    </row>
    <row r="1054" spans="2:51">
      <c r="B1054" s="424"/>
      <c r="C1054" s="424"/>
      <c r="D1054" s="424"/>
      <c r="E1054" s="424"/>
      <c r="F1054" s="424"/>
      <c r="G1054" s="424"/>
      <c r="H1054" s="424"/>
      <c r="I1054" s="424"/>
      <c r="J1054" s="424"/>
      <c r="K1054" s="424"/>
      <c r="L1054" s="424"/>
      <c r="M1054" s="424"/>
      <c r="N1054" s="424"/>
      <c r="O1054" s="424"/>
      <c r="P1054" s="424"/>
      <c r="Q1054" s="424"/>
      <c r="R1054" s="424"/>
      <c r="S1054" s="424"/>
      <c r="T1054" s="424"/>
      <c r="U1054" s="424"/>
      <c r="Y1054" s="424"/>
      <c r="Z1054" s="424"/>
      <c r="AA1054" s="424"/>
      <c r="AB1054" s="424"/>
      <c r="AC1054" s="424"/>
      <c r="AD1054" s="424"/>
      <c r="AE1054" s="424"/>
      <c r="AF1054" s="424"/>
      <c r="AG1054" s="424"/>
      <c r="AH1054" s="424"/>
      <c r="AI1054" s="424"/>
      <c r="AM1054" s="424"/>
      <c r="AN1054" s="424"/>
      <c r="AO1054" s="424"/>
      <c r="AP1054" s="424"/>
      <c r="AQ1054" s="424"/>
      <c r="AR1054" s="424"/>
      <c r="AS1054" s="424"/>
      <c r="AT1054" s="424"/>
      <c r="AU1054" s="424"/>
      <c r="AV1054" s="424"/>
      <c r="AW1054" s="424"/>
      <c r="AX1054" s="424"/>
      <c r="AY1054" s="424"/>
    </row>
    <row r="1055" spans="2:51">
      <c r="B1055" s="424"/>
      <c r="C1055" s="424"/>
      <c r="D1055" s="424"/>
      <c r="E1055" s="424"/>
      <c r="F1055" s="424"/>
      <c r="G1055" s="424"/>
      <c r="H1055" s="424"/>
      <c r="I1055" s="424"/>
      <c r="J1055" s="424"/>
      <c r="K1055" s="424"/>
      <c r="L1055" s="424"/>
      <c r="M1055" s="424"/>
      <c r="N1055" s="424"/>
      <c r="O1055" s="424"/>
      <c r="P1055" s="424"/>
      <c r="Q1055" s="424"/>
      <c r="R1055" s="424"/>
      <c r="S1055" s="424"/>
      <c r="T1055" s="424"/>
      <c r="U1055" s="424"/>
      <c r="Y1055" s="424"/>
      <c r="Z1055" s="424"/>
      <c r="AA1055" s="424"/>
      <c r="AB1055" s="424"/>
      <c r="AC1055" s="424"/>
      <c r="AD1055" s="424"/>
      <c r="AE1055" s="424"/>
      <c r="AF1055" s="424"/>
      <c r="AG1055" s="424"/>
      <c r="AH1055" s="424"/>
      <c r="AI1055" s="424"/>
      <c r="AM1055" s="424"/>
      <c r="AN1055" s="424"/>
      <c r="AO1055" s="424"/>
      <c r="AP1055" s="424"/>
      <c r="AQ1055" s="424"/>
      <c r="AR1055" s="424"/>
      <c r="AS1055" s="424"/>
      <c r="AT1055" s="424"/>
      <c r="AU1055" s="424"/>
      <c r="AV1055" s="424"/>
      <c r="AW1055" s="424"/>
      <c r="AX1055" s="424"/>
      <c r="AY1055" s="424"/>
    </row>
    <row r="1056" spans="2:51">
      <c r="B1056" s="424"/>
      <c r="C1056" s="424"/>
      <c r="D1056" s="424"/>
      <c r="E1056" s="424"/>
      <c r="F1056" s="424"/>
      <c r="G1056" s="424"/>
      <c r="H1056" s="424"/>
      <c r="I1056" s="424"/>
      <c r="J1056" s="424"/>
      <c r="K1056" s="424"/>
      <c r="L1056" s="424"/>
      <c r="M1056" s="424"/>
      <c r="N1056" s="424"/>
      <c r="O1056" s="424"/>
      <c r="P1056" s="424"/>
      <c r="Q1056" s="424"/>
      <c r="R1056" s="424"/>
      <c r="S1056" s="424"/>
      <c r="T1056" s="424"/>
      <c r="U1056" s="424"/>
      <c r="Y1056" s="424"/>
      <c r="Z1056" s="424"/>
      <c r="AA1056" s="424"/>
      <c r="AB1056" s="424"/>
      <c r="AC1056" s="424"/>
      <c r="AD1056" s="424"/>
      <c r="AE1056" s="424"/>
      <c r="AF1056" s="424"/>
      <c r="AG1056" s="424"/>
      <c r="AH1056" s="424"/>
      <c r="AI1056" s="424"/>
      <c r="AM1056" s="424"/>
      <c r="AN1056" s="424"/>
      <c r="AO1056" s="424"/>
      <c r="AP1056" s="424"/>
      <c r="AQ1056" s="424"/>
      <c r="AR1056" s="424"/>
      <c r="AS1056" s="424"/>
      <c r="AT1056" s="424"/>
      <c r="AU1056" s="424"/>
      <c r="AV1056" s="424"/>
      <c r="AW1056" s="424"/>
      <c r="AX1056" s="424"/>
      <c r="AY1056" s="424"/>
    </row>
    <row r="1057" spans="2:51">
      <c r="B1057" s="424"/>
      <c r="C1057" s="424"/>
      <c r="D1057" s="424"/>
      <c r="E1057" s="424"/>
      <c r="F1057" s="424"/>
      <c r="G1057" s="424"/>
      <c r="H1057" s="424"/>
      <c r="I1057" s="424"/>
      <c r="J1057" s="424"/>
      <c r="K1057" s="424"/>
      <c r="L1057" s="424"/>
      <c r="M1057" s="424"/>
      <c r="N1057" s="424"/>
      <c r="O1057" s="424"/>
      <c r="P1057" s="424"/>
      <c r="Q1057" s="424"/>
      <c r="R1057" s="424"/>
      <c r="S1057" s="424"/>
      <c r="T1057" s="424"/>
      <c r="U1057" s="424"/>
      <c r="Y1057" s="424"/>
      <c r="Z1057" s="424"/>
      <c r="AA1057" s="424"/>
      <c r="AB1057" s="424"/>
      <c r="AC1057" s="424"/>
      <c r="AD1057" s="424"/>
      <c r="AE1057" s="424"/>
      <c r="AF1057" s="424"/>
      <c r="AG1057" s="424"/>
      <c r="AH1057" s="424"/>
      <c r="AI1057" s="424"/>
      <c r="AM1057" s="424"/>
      <c r="AN1057" s="424"/>
      <c r="AO1057" s="424"/>
      <c r="AP1057" s="424"/>
      <c r="AQ1057" s="424"/>
      <c r="AR1057" s="424"/>
      <c r="AS1057" s="424"/>
      <c r="AT1057" s="424"/>
      <c r="AU1057" s="424"/>
      <c r="AV1057" s="424"/>
      <c r="AW1057" s="424"/>
      <c r="AX1057" s="424"/>
      <c r="AY1057" s="424"/>
    </row>
    <row r="1058" spans="2:51">
      <c r="B1058" s="424"/>
      <c r="C1058" s="424"/>
      <c r="D1058" s="424"/>
      <c r="E1058" s="424"/>
      <c r="F1058" s="424"/>
      <c r="G1058" s="424"/>
      <c r="H1058" s="424"/>
      <c r="I1058" s="424"/>
      <c r="J1058" s="424"/>
      <c r="K1058" s="424"/>
      <c r="L1058" s="424"/>
      <c r="M1058" s="424"/>
      <c r="N1058" s="424"/>
      <c r="O1058" s="424"/>
      <c r="P1058" s="424"/>
      <c r="Q1058" s="424"/>
      <c r="R1058" s="424"/>
      <c r="S1058" s="424"/>
      <c r="T1058" s="424"/>
      <c r="U1058" s="424"/>
      <c r="Y1058" s="424"/>
      <c r="Z1058" s="424"/>
      <c r="AA1058" s="424"/>
      <c r="AB1058" s="424"/>
      <c r="AC1058" s="424"/>
      <c r="AD1058" s="424"/>
      <c r="AE1058" s="424"/>
      <c r="AF1058" s="424"/>
      <c r="AG1058" s="424"/>
      <c r="AH1058" s="424"/>
      <c r="AI1058" s="424"/>
      <c r="AM1058" s="424"/>
      <c r="AN1058" s="424"/>
      <c r="AO1058" s="424"/>
      <c r="AP1058" s="424"/>
      <c r="AQ1058" s="424"/>
      <c r="AR1058" s="424"/>
      <c r="AS1058" s="424"/>
      <c r="AT1058" s="424"/>
      <c r="AU1058" s="424"/>
      <c r="AV1058" s="424"/>
      <c r="AW1058" s="424"/>
      <c r="AX1058" s="424"/>
      <c r="AY1058" s="424"/>
    </row>
    <row r="1059" spans="2:51">
      <c r="B1059" s="424"/>
      <c r="C1059" s="424"/>
      <c r="D1059" s="424"/>
      <c r="E1059" s="424"/>
      <c r="F1059" s="424"/>
      <c r="G1059" s="424"/>
      <c r="H1059" s="424"/>
      <c r="I1059" s="424"/>
      <c r="J1059" s="424"/>
      <c r="K1059" s="424"/>
      <c r="L1059" s="424"/>
      <c r="M1059" s="424"/>
      <c r="N1059" s="424"/>
      <c r="O1059" s="424"/>
      <c r="P1059" s="424"/>
      <c r="Q1059" s="424"/>
      <c r="R1059" s="424"/>
      <c r="S1059" s="424"/>
      <c r="T1059" s="424"/>
      <c r="U1059" s="424"/>
      <c r="Y1059" s="424"/>
      <c r="Z1059" s="424"/>
      <c r="AA1059" s="424"/>
      <c r="AB1059" s="424"/>
      <c r="AC1059" s="424"/>
      <c r="AD1059" s="424"/>
      <c r="AE1059" s="424"/>
      <c r="AF1059" s="424"/>
      <c r="AG1059" s="424"/>
      <c r="AH1059" s="424"/>
      <c r="AI1059" s="424"/>
      <c r="AM1059" s="424"/>
      <c r="AN1059" s="424"/>
      <c r="AO1059" s="424"/>
      <c r="AP1059" s="424"/>
      <c r="AQ1059" s="424"/>
      <c r="AR1059" s="424"/>
      <c r="AS1059" s="424"/>
      <c r="AT1059" s="424"/>
      <c r="AU1059" s="424"/>
      <c r="AV1059" s="424"/>
      <c r="AW1059" s="424"/>
      <c r="AX1059" s="424"/>
      <c r="AY1059" s="424"/>
    </row>
    <row r="1060" spans="2:51">
      <c r="B1060" s="424"/>
      <c r="C1060" s="424"/>
      <c r="D1060" s="424"/>
      <c r="E1060" s="424"/>
      <c r="F1060" s="424"/>
      <c r="G1060" s="424"/>
      <c r="H1060" s="424"/>
      <c r="I1060" s="424"/>
      <c r="J1060" s="424"/>
      <c r="K1060" s="424"/>
      <c r="L1060" s="424"/>
      <c r="M1060" s="424"/>
      <c r="N1060" s="424"/>
      <c r="O1060" s="424"/>
      <c r="P1060" s="424"/>
      <c r="Q1060" s="424"/>
      <c r="R1060" s="424"/>
      <c r="S1060" s="424"/>
      <c r="T1060" s="424"/>
      <c r="U1060" s="424"/>
      <c r="Y1060" s="424"/>
      <c r="Z1060" s="424"/>
      <c r="AA1060" s="424"/>
      <c r="AB1060" s="424"/>
      <c r="AC1060" s="424"/>
      <c r="AD1060" s="424"/>
      <c r="AE1060" s="424"/>
      <c r="AF1060" s="424"/>
      <c r="AG1060" s="424"/>
      <c r="AH1060" s="424"/>
      <c r="AI1060" s="424"/>
      <c r="AM1060" s="424"/>
      <c r="AN1060" s="424"/>
      <c r="AO1060" s="424"/>
      <c r="AP1060" s="424"/>
      <c r="AQ1060" s="424"/>
      <c r="AR1060" s="424"/>
      <c r="AS1060" s="424"/>
      <c r="AT1060" s="424"/>
      <c r="AU1060" s="424"/>
      <c r="AV1060" s="424"/>
      <c r="AW1060" s="424"/>
      <c r="AX1060" s="424"/>
      <c r="AY1060" s="424"/>
    </row>
    <row r="1061" spans="2:51">
      <c r="B1061" s="424"/>
      <c r="C1061" s="424"/>
      <c r="D1061" s="424"/>
      <c r="E1061" s="424"/>
      <c r="F1061" s="424"/>
      <c r="G1061" s="424"/>
      <c r="H1061" s="424"/>
      <c r="I1061" s="424"/>
      <c r="J1061" s="424"/>
      <c r="K1061" s="424"/>
      <c r="L1061" s="424"/>
      <c r="M1061" s="424"/>
      <c r="N1061" s="424"/>
      <c r="O1061" s="424"/>
      <c r="P1061" s="424"/>
      <c r="Q1061" s="424"/>
      <c r="R1061" s="424"/>
      <c r="S1061" s="424"/>
      <c r="T1061" s="424"/>
      <c r="U1061" s="424"/>
      <c r="Y1061" s="424"/>
      <c r="Z1061" s="424"/>
      <c r="AA1061" s="424"/>
      <c r="AB1061" s="424"/>
      <c r="AC1061" s="424"/>
      <c r="AD1061" s="424"/>
      <c r="AE1061" s="424"/>
      <c r="AF1061" s="424"/>
      <c r="AG1061" s="424"/>
      <c r="AH1061" s="424"/>
      <c r="AI1061" s="424"/>
      <c r="AM1061" s="424"/>
      <c r="AN1061" s="424"/>
      <c r="AO1061" s="424"/>
      <c r="AP1061" s="424"/>
      <c r="AQ1061" s="424"/>
      <c r="AR1061" s="424"/>
      <c r="AS1061" s="424"/>
      <c r="AT1061" s="424"/>
      <c r="AU1061" s="424"/>
      <c r="AV1061" s="424"/>
      <c r="AW1061" s="424"/>
      <c r="AX1061" s="424"/>
      <c r="AY1061" s="424"/>
    </row>
    <row r="1062" spans="2:51">
      <c r="B1062" s="424"/>
      <c r="C1062" s="424"/>
      <c r="D1062" s="424"/>
      <c r="E1062" s="424"/>
      <c r="F1062" s="424"/>
      <c r="G1062" s="424"/>
      <c r="H1062" s="424"/>
      <c r="I1062" s="424"/>
      <c r="J1062" s="424"/>
      <c r="K1062" s="424"/>
      <c r="L1062" s="424"/>
      <c r="M1062" s="424"/>
      <c r="N1062" s="424"/>
      <c r="O1062" s="424"/>
      <c r="P1062" s="424"/>
      <c r="Q1062" s="424"/>
      <c r="R1062" s="424"/>
      <c r="S1062" s="424"/>
      <c r="T1062" s="424"/>
      <c r="U1062" s="424"/>
      <c r="Y1062" s="424"/>
      <c r="Z1062" s="424"/>
      <c r="AA1062" s="424"/>
      <c r="AB1062" s="424"/>
      <c r="AC1062" s="424"/>
      <c r="AD1062" s="424"/>
      <c r="AE1062" s="424"/>
      <c r="AF1062" s="424"/>
      <c r="AG1062" s="424"/>
      <c r="AH1062" s="424"/>
      <c r="AI1062" s="424"/>
      <c r="AM1062" s="424"/>
      <c r="AN1062" s="424"/>
      <c r="AO1062" s="424"/>
      <c r="AP1062" s="424"/>
      <c r="AQ1062" s="424"/>
      <c r="AR1062" s="424"/>
      <c r="AS1062" s="424"/>
      <c r="AT1062" s="424"/>
      <c r="AU1062" s="424"/>
      <c r="AV1062" s="424"/>
      <c r="AW1062" s="424"/>
      <c r="AX1062" s="424"/>
      <c r="AY1062" s="424"/>
    </row>
    <row r="1063" spans="2:51">
      <c r="B1063" s="424"/>
      <c r="C1063" s="424"/>
      <c r="D1063" s="424"/>
      <c r="E1063" s="424"/>
      <c r="F1063" s="424"/>
      <c r="G1063" s="424"/>
      <c r="H1063" s="424"/>
      <c r="I1063" s="424"/>
      <c r="J1063" s="424"/>
      <c r="K1063" s="424"/>
      <c r="L1063" s="424"/>
      <c r="M1063" s="424"/>
      <c r="N1063" s="424"/>
      <c r="O1063" s="424"/>
      <c r="P1063" s="424"/>
      <c r="Q1063" s="424"/>
      <c r="R1063" s="424"/>
      <c r="S1063" s="424"/>
      <c r="T1063" s="424"/>
      <c r="U1063" s="424"/>
      <c r="Y1063" s="424"/>
      <c r="Z1063" s="424"/>
      <c r="AA1063" s="424"/>
      <c r="AB1063" s="424"/>
      <c r="AC1063" s="424"/>
      <c r="AD1063" s="424"/>
      <c r="AE1063" s="424"/>
      <c r="AF1063" s="424"/>
      <c r="AG1063" s="424"/>
      <c r="AH1063" s="424"/>
      <c r="AI1063" s="424"/>
      <c r="AM1063" s="424"/>
      <c r="AN1063" s="424"/>
      <c r="AO1063" s="424"/>
      <c r="AP1063" s="424"/>
      <c r="AQ1063" s="424"/>
      <c r="AR1063" s="424"/>
      <c r="AS1063" s="424"/>
      <c r="AT1063" s="424"/>
      <c r="AU1063" s="424"/>
      <c r="AV1063" s="424"/>
      <c r="AW1063" s="424"/>
      <c r="AX1063" s="424"/>
      <c r="AY1063" s="424"/>
    </row>
    <row r="1064" spans="2:51">
      <c r="B1064" s="424"/>
      <c r="C1064" s="424"/>
      <c r="D1064" s="424"/>
      <c r="E1064" s="424"/>
      <c r="F1064" s="424"/>
      <c r="G1064" s="424"/>
      <c r="H1064" s="424"/>
      <c r="I1064" s="424"/>
      <c r="J1064" s="424"/>
      <c r="K1064" s="424"/>
      <c r="L1064" s="424"/>
      <c r="M1064" s="424"/>
      <c r="N1064" s="424"/>
      <c r="O1064" s="424"/>
      <c r="P1064" s="424"/>
      <c r="Q1064" s="424"/>
      <c r="R1064" s="424"/>
      <c r="S1064" s="424"/>
      <c r="T1064" s="424"/>
      <c r="U1064" s="424"/>
      <c r="Y1064" s="424"/>
      <c r="Z1064" s="424"/>
      <c r="AA1064" s="424"/>
      <c r="AB1064" s="424"/>
      <c r="AC1064" s="424"/>
      <c r="AD1064" s="424"/>
      <c r="AE1064" s="424"/>
      <c r="AF1064" s="424"/>
      <c r="AG1064" s="424"/>
      <c r="AH1064" s="424"/>
      <c r="AI1064" s="424"/>
      <c r="AM1064" s="424"/>
      <c r="AN1064" s="424"/>
      <c r="AO1064" s="424"/>
      <c r="AP1064" s="424"/>
      <c r="AQ1064" s="424"/>
      <c r="AR1064" s="424"/>
      <c r="AS1064" s="424"/>
      <c r="AT1064" s="424"/>
      <c r="AU1064" s="424"/>
      <c r="AV1064" s="424"/>
      <c r="AW1064" s="424"/>
      <c r="AX1064" s="424"/>
      <c r="AY1064" s="424"/>
    </row>
    <row r="1065" spans="2:51">
      <c r="B1065" s="424"/>
      <c r="C1065" s="424"/>
      <c r="D1065" s="424"/>
      <c r="E1065" s="424"/>
      <c r="F1065" s="424"/>
      <c r="G1065" s="424"/>
      <c r="H1065" s="424"/>
      <c r="I1065" s="424"/>
      <c r="J1065" s="424"/>
      <c r="K1065" s="424"/>
      <c r="L1065" s="424"/>
      <c r="M1065" s="424"/>
      <c r="N1065" s="424"/>
      <c r="O1065" s="424"/>
      <c r="P1065" s="424"/>
      <c r="Q1065" s="424"/>
      <c r="R1065" s="424"/>
      <c r="S1065" s="424"/>
      <c r="T1065" s="424"/>
      <c r="U1065" s="424"/>
      <c r="Y1065" s="424"/>
      <c r="Z1065" s="424"/>
      <c r="AA1065" s="424"/>
      <c r="AB1065" s="424"/>
      <c r="AC1065" s="424"/>
      <c r="AD1065" s="424"/>
      <c r="AE1065" s="424"/>
      <c r="AF1065" s="424"/>
      <c r="AG1065" s="424"/>
      <c r="AH1065" s="424"/>
      <c r="AI1065" s="424"/>
      <c r="AM1065" s="424"/>
      <c r="AN1065" s="424"/>
      <c r="AO1065" s="424"/>
      <c r="AP1065" s="424"/>
      <c r="AQ1065" s="424"/>
      <c r="AR1065" s="424"/>
      <c r="AS1065" s="424"/>
      <c r="AT1065" s="424"/>
      <c r="AU1065" s="424"/>
      <c r="AV1065" s="424"/>
      <c r="AW1065" s="424"/>
      <c r="AX1065" s="424"/>
      <c r="AY1065" s="424"/>
    </row>
    <row r="1066" spans="2:51">
      <c r="B1066" s="424"/>
      <c r="C1066" s="424"/>
      <c r="D1066" s="424"/>
      <c r="E1066" s="424"/>
      <c r="F1066" s="424"/>
      <c r="G1066" s="424"/>
      <c r="H1066" s="424"/>
      <c r="I1066" s="424"/>
      <c r="J1066" s="424"/>
      <c r="K1066" s="424"/>
      <c r="L1066" s="424"/>
      <c r="M1066" s="424"/>
      <c r="N1066" s="424"/>
      <c r="O1066" s="424"/>
      <c r="P1066" s="424"/>
      <c r="Q1066" s="424"/>
      <c r="R1066" s="424"/>
      <c r="S1066" s="424"/>
      <c r="T1066" s="424"/>
      <c r="U1066" s="424"/>
      <c r="Y1066" s="424"/>
      <c r="Z1066" s="424"/>
      <c r="AA1066" s="424"/>
      <c r="AB1066" s="424"/>
      <c r="AC1066" s="424"/>
      <c r="AD1066" s="424"/>
      <c r="AE1066" s="424"/>
      <c r="AF1066" s="424"/>
      <c r="AG1066" s="424"/>
      <c r="AH1066" s="424"/>
      <c r="AI1066" s="424"/>
      <c r="AM1066" s="424"/>
      <c r="AN1066" s="424"/>
      <c r="AO1066" s="424"/>
      <c r="AP1066" s="424"/>
      <c r="AQ1066" s="424"/>
      <c r="AR1066" s="424"/>
      <c r="AS1066" s="424"/>
      <c r="AT1066" s="424"/>
      <c r="AU1066" s="424"/>
      <c r="AV1066" s="424"/>
      <c r="AW1066" s="424"/>
      <c r="AX1066" s="424"/>
      <c r="AY1066" s="424"/>
    </row>
    <row r="1067" spans="2:51">
      <c r="B1067" s="424"/>
      <c r="C1067" s="424"/>
      <c r="D1067" s="424"/>
      <c r="E1067" s="424"/>
      <c r="F1067" s="424"/>
      <c r="G1067" s="424"/>
      <c r="H1067" s="424"/>
      <c r="I1067" s="424"/>
      <c r="J1067" s="424"/>
      <c r="K1067" s="424"/>
      <c r="L1067" s="424"/>
      <c r="M1067" s="424"/>
      <c r="N1067" s="424"/>
      <c r="O1067" s="424"/>
      <c r="P1067" s="424"/>
      <c r="Q1067" s="424"/>
      <c r="R1067" s="424"/>
      <c r="S1067" s="424"/>
      <c r="T1067" s="424"/>
      <c r="U1067" s="424"/>
      <c r="Y1067" s="424"/>
      <c r="Z1067" s="424"/>
      <c r="AA1067" s="424"/>
      <c r="AB1067" s="424"/>
      <c r="AC1067" s="424"/>
      <c r="AD1067" s="424"/>
      <c r="AE1067" s="424"/>
      <c r="AF1067" s="424"/>
      <c r="AG1067" s="424"/>
      <c r="AH1067" s="424"/>
      <c r="AI1067" s="424"/>
      <c r="AM1067" s="424"/>
      <c r="AN1067" s="424"/>
      <c r="AO1067" s="424"/>
      <c r="AP1067" s="424"/>
      <c r="AQ1067" s="424"/>
      <c r="AR1067" s="424"/>
      <c r="AS1067" s="424"/>
      <c r="AT1067" s="424"/>
      <c r="AU1067" s="424"/>
      <c r="AV1067" s="424"/>
      <c r="AW1067" s="424"/>
      <c r="AX1067" s="424"/>
      <c r="AY1067" s="424"/>
    </row>
    <row r="1068" spans="2:51">
      <c r="B1068" s="424"/>
      <c r="C1068" s="424"/>
      <c r="D1068" s="424"/>
      <c r="E1068" s="424"/>
      <c r="F1068" s="424"/>
      <c r="G1068" s="424"/>
      <c r="H1068" s="424"/>
      <c r="I1068" s="424"/>
      <c r="J1068" s="424"/>
      <c r="K1068" s="424"/>
      <c r="L1068" s="424"/>
      <c r="M1068" s="424"/>
      <c r="N1068" s="424"/>
      <c r="O1068" s="424"/>
      <c r="P1068" s="424"/>
      <c r="Q1068" s="424"/>
      <c r="R1068" s="424"/>
      <c r="S1068" s="424"/>
      <c r="T1068" s="424"/>
      <c r="U1068" s="424"/>
      <c r="Y1068" s="424"/>
      <c r="Z1068" s="424"/>
      <c r="AA1068" s="424"/>
      <c r="AB1068" s="424"/>
      <c r="AC1068" s="424"/>
      <c r="AD1068" s="424"/>
      <c r="AE1068" s="424"/>
      <c r="AF1068" s="424"/>
      <c r="AG1068" s="424"/>
      <c r="AH1068" s="424"/>
      <c r="AI1068" s="424"/>
      <c r="AM1068" s="424"/>
      <c r="AN1068" s="424"/>
      <c r="AO1068" s="424"/>
      <c r="AP1068" s="424"/>
      <c r="AQ1068" s="424"/>
      <c r="AR1068" s="424"/>
      <c r="AS1068" s="424"/>
      <c r="AT1068" s="424"/>
      <c r="AU1068" s="424"/>
      <c r="AV1068" s="424"/>
      <c r="AW1068" s="424"/>
      <c r="AX1068" s="424"/>
      <c r="AY1068" s="424"/>
    </row>
    <row r="1069" spans="2:51">
      <c r="B1069" s="424"/>
      <c r="C1069" s="424"/>
      <c r="D1069" s="424"/>
      <c r="E1069" s="424"/>
      <c r="F1069" s="424"/>
      <c r="G1069" s="424"/>
      <c r="H1069" s="424"/>
      <c r="I1069" s="424"/>
      <c r="J1069" s="424"/>
      <c r="K1069" s="424"/>
      <c r="L1069" s="424"/>
      <c r="M1069" s="424"/>
      <c r="N1069" s="424"/>
      <c r="O1069" s="424"/>
      <c r="P1069" s="424"/>
      <c r="Q1069" s="424"/>
      <c r="R1069" s="424"/>
      <c r="S1069" s="424"/>
      <c r="T1069" s="424"/>
      <c r="U1069" s="424"/>
      <c r="Y1069" s="424"/>
      <c r="Z1069" s="424"/>
      <c r="AA1069" s="424"/>
      <c r="AB1069" s="424"/>
      <c r="AC1069" s="424"/>
      <c r="AD1069" s="424"/>
      <c r="AE1069" s="424"/>
      <c r="AF1069" s="424"/>
      <c r="AG1069" s="424"/>
      <c r="AH1069" s="424"/>
      <c r="AI1069" s="424"/>
      <c r="AM1069" s="424"/>
      <c r="AN1069" s="424"/>
      <c r="AO1069" s="424"/>
      <c r="AP1069" s="424"/>
      <c r="AQ1069" s="424"/>
      <c r="AR1069" s="424"/>
      <c r="AS1069" s="424"/>
      <c r="AT1069" s="424"/>
      <c r="AU1069" s="424"/>
      <c r="AV1069" s="424"/>
      <c r="AW1069" s="424"/>
      <c r="AX1069" s="424"/>
      <c r="AY1069" s="424"/>
    </row>
    <row r="1070" spans="2:51">
      <c r="B1070" s="424"/>
      <c r="C1070" s="424"/>
      <c r="D1070" s="424"/>
      <c r="E1070" s="424"/>
      <c r="F1070" s="424"/>
      <c r="G1070" s="424"/>
      <c r="H1070" s="424"/>
      <c r="I1070" s="424"/>
      <c r="J1070" s="424"/>
      <c r="K1070" s="424"/>
      <c r="L1070" s="424"/>
      <c r="M1070" s="424"/>
      <c r="N1070" s="424"/>
      <c r="O1070" s="424"/>
      <c r="P1070" s="424"/>
      <c r="Q1070" s="424"/>
      <c r="R1070" s="424"/>
      <c r="S1070" s="424"/>
      <c r="T1070" s="424"/>
      <c r="U1070" s="424"/>
      <c r="Y1070" s="424"/>
      <c r="Z1070" s="424"/>
      <c r="AA1070" s="424"/>
      <c r="AB1070" s="424"/>
      <c r="AC1070" s="424"/>
      <c r="AD1070" s="424"/>
      <c r="AE1070" s="424"/>
      <c r="AF1070" s="424"/>
      <c r="AG1070" s="424"/>
      <c r="AH1070" s="424"/>
      <c r="AI1070" s="424"/>
      <c r="AM1070" s="424"/>
      <c r="AN1070" s="424"/>
      <c r="AO1070" s="424"/>
      <c r="AP1070" s="424"/>
      <c r="AQ1070" s="424"/>
      <c r="AR1070" s="424"/>
      <c r="AS1070" s="424"/>
      <c r="AT1070" s="424"/>
      <c r="AU1070" s="424"/>
      <c r="AV1070" s="424"/>
      <c r="AW1070" s="424"/>
      <c r="AX1070" s="424"/>
      <c r="AY1070" s="424"/>
    </row>
    <row r="1071" spans="2:51">
      <c r="B1071" s="424"/>
      <c r="C1071" s="424"/>
      <c r="D1071" s="424"/>
      <c r="E1071" s="424"/>
      <c r="F1071" s="424"/>
      <c r="G1071" s="424"/>
      <c r="H1071" s="424"/>
      <c r="I1071" s="424"/>
      <c r="J1071" s="424"/>
      <c r="K1071" s="424"/>
      <c r="L1071" s="424"/>
      <c r="M1071" s="424"/>
      <c r="N1071" s="424"/>
      <c r="O1071" s="424"/>
      <c r="P1071" s="424"/>
      <c r="Q1071" s="424"/>
      <c r="R1071" s="424"/>
      <c r="S1071" s="424"/>
      <c r="T1071" s="424"/>
      <c r="U1071" s="424"/>
      <c r="Y1071" s="424"/>
      <c r="Z1071" s="424"/>
      <c r="AA1071" s="424"/>
      <c r="AB1071" s="424"/>
      <c r="AC1071" s="424"/>
      <c r="AD1071" s="424"/>
      <c r="AE1071" s="424"/>
      <c r="AF1071" s="424"/>
      <c r="AG1071" s="424"/>
      <c r="AH1071" s="424"/>
      <c r="AI1071" s="424"/>
      <c r="AM1071" s="424"/>
      <c r="AN1071" s="424"/>
      <c r="AO1071" s="424"/>
      <c r="AP1071" s="424"/>
      <c r="AQ1071" s="424"/>
      <c r="AR1071" s="424"/>
      <c r="AS1071" s="424"/>
      <c r="AT1071" s="424"/>
      <c r="AU1071" s="424"/>
      <c r="AV1071" s="424"/>
      <c r="AW1071" s="424"/>
      <c r="AX1071" s="424"/>
      <c r="AY1071" s="424"/>
    </row>
    <row r="1072" spans="2:51">
      <c r="B1072" s="424"/>
      <c r="C1072" s="424"/>
      <c r="D1072" s="424"/>
      <c r="E1072" s="424"/>
      <c r="F1072" s="424"/>
      <c r="G1072" s="424"/>
      <c r="H1072" s="424"/>
      <c r="I1072" s="424"/>
      <c r="J1072" s="424"/>
      <c r="K1072" s="424"/>
      <c r="L1072" s="424"/>
      <c r="M1072" s="424"/>
      <c r="N1072" s="424"/>
      <c r="O1072" s="424"/>
      <c r="P1072" s="424"/>
      <c r="Q1072" s="424"/>
      <c r="R1072" s="424"/>
      <c r="S1072" s="424"/>
      <c r="T1072" s="424"/>
      <c r="U1072" s="424"/>
      <c r="Y1072" s="424"/>
      <c r="Z1072" s="424"/>
      <c r="AA1072" s="424"/>
      <c r="AB1072" s="424"/>
      <c r="AC1072" s="424"/>
      <c r="AD1072" s="424"/>
      <c r="AE1072" s="424"/>
      <c r="AF1072" s="424"/>
      <c r="AG1072" s="424"/>
      <c r="AH1072" s="424"/>
      <c r="AI1072" s="424"/>
      <c r="AM1072" s="424"/>
      <c r="AN1072" s="424"/>
      <c r="AO1072" s="424"/>
      <c r="AP1072" s="424"/>
      <c r="AQ1072" s="424"/>
      <c r="AR1072" s="424"/>
      <c r="AS1072" s="424"/>
      <c r="AT1072" s="424"/>
      <c r="AU1072" s="424"/>
      <c r="AV1072" s="424"/>
      <c r="AW1072" s="424"/>
      <c r="AX1072" s="424"/>
      <c r="AY1072" s="424"/>
    </row>
    <row r="1073" spans="2:51">
      <c r="B1073" s="424"/>
      <c r="C1073" s="424"/>
      <c r="D1073" s="424"/>
      <c r="E1073" s="424"/>
      <c r="F1073" s="424"/>
      <c r="G1073" s="424"/>
      <c r="H1073" s="424"/>
      <c r="I1073" s="424"/>
      <c r="J1073" s="424"/>
      <c r="K1073" s="424"/>
      <c r="L1073" s="424"/>
      <c r="M1073" s="424"/>
      <c r="N1073" s="424"/>
      <c r="O1073" s="424"/>
      <c r="P1073" s="424"/>
      <c r="Q1073" s="424"/>
      <c r="R1073" s="424"/>
      <c r="S1073" s="424"/>
      <c r="T1073" s="424"/>
      <c r="U1073" s="424"/>
      <c r="Y1073" s="424"/>
      <c r="Z1073" s="424"/>
      <c r="AA1073" s="424"/>
      <c r="AB1073" s="424"/>
      <c r="AC1073" s="424"/>
      <c r="AD1073" s="424"/>
      <c r="AE1073" s="424"/>
      <c r="AF1073" s="424"/>
      <c r="AG1073" s="424"/>
      <c r="AH1073" s="424"/>
      <c r="AI1073" s="424"/>
      <c r="AM1073" s="424"/>
      <c r="AN1073" s="424"/>
      <c r="AO1073" s="424"/>
      <c r="AP1073" s="424"/>
      <c r="AQ1073" s="424"/>
      <c r="AR1073" s="424"/>
      <c r="AS1073" s="424"/>
      <c r="AT1073" s="424"/>
      <c r="AU1073" s="424"/>
      <c r="AV1073" s="424"/>
      <c r="AW1073" s="424"/>
      <c r="AX1073" s="424"/>
      <c r="AY1073" s="424"/>
    </row>
    <row r="1074" spans="2:51">
      <c r="B1074" s="424"/>
      <c r="C1074" s="424"/>
      <c r="D1074" s="424"/>
      <c r="E1074" s="424"/>
      <c r="F1074" s="424"/>
      <c r="G1074" s="424"/>
      <c r="H1074" s="424"/>
      <c r="I1074" s="424"/>
      <c r="J1074" s="424"/>
      <c r="K1074" s="424"/>
      <c r="L1074" s="424"/>
      <c r="M1074" s="424"/>
      <c r="N1074" s="424"/>
      <c r="O1074" s="424"/>
      <c r="P1074" s="424"/>
      <c r="Q1074" s="424"/>
      <c r="R1074" s="424"/>
      <c r="S1074" s="424"/>
      <c r="T1074" s="424"/>
      <c r="U1074" s="424"/>
      <c r="Y1074" s="424"/>
      <c r="Z1074" s="424"/>
      <c r="AA1074" s="424"/>
      <c r="AB1074" s="424"/>
      <c r="AC1074" s="424"/>
      <c r="AD1074" s="424"/>
      <c r="AE1074" s="424"/>
      <c r="AF1074" s="424"/>
      <c r="AG1074" s="424"/>
      <c r="AH1074" s="424"/>
      <c r="AI1074" s="424"/>
      <c r="AM1074" s="424"/>
      <c r="AN1074" s="424"/>
      <c r="AO1074" s="424"/>
      <c r="AP1074" s="424"/>
      <c r="AQ1074" s="424"/>
      <c r="AR1074" s="424"/>
      <c r="AS1074" s="424"/>
      <c r="AT1074" s="424"/>
      <c r="AU1074" s="424"/>
      <c r="AV1074" s="424"/>
      <c r="AW1074" s="424"/>
      <c r="AX1074" s="424"/>
      <c r="AY1074" s="424"/>
    </row>
    <row r="1075" spans="2:51">
      <c r="B1075" s="424"/>
      <c r="C1075" s="424"/>
      <c r="D1075" s="424"/>
      <c r="E1075" s="424"/>
      <c r="F1075" s="424"/>
      <c r="G1075" s="424"/>
      <c r="H1075" s="424"/>
      <c r="I1075" s="424"/>
      <c r="J1075" s="424"/>
      <c r="K1075" s="424"/>
      <c r="L1075" s="424"/>
      <c r="M1075" s="424"/>
      <c r="N1075" s="424"/>
      <c r="O1075" s="424"/>
      <c r="P1075" s="424"/>
      <c r="Q1075" s="424"/>
      <c r="R1075" s="424"/>
      <c r="S1075" s="424"/>
      <c r="T1075" s="424"/>
      <c r="U1075" s="424"/>
      <c r="Y1075" s="424"/>
      <c r="Z1075" s="424"/>
      <c r="AA1075" s="424"/>
      <c r="AB1075" s="424"/>
      <c r="AC1075" s="424"/>
      <c r="AD1075" s="424"/>
      <c r="AE1075" s="424"/>
      <c r="AF1075" s="424"/>
      <c r="AG1075" s="424"/>
      <c r="AH1075" s="424"/>
      <c r="AI1075" s="424"/>
      <c r="AM1075" s="424"/>
      <c r="AN1075" s="424"/>
      <c r="AO1075" s="424"/>
      <c r="AP1075" s="424"/>
      <c r="AQ1075" s="424"/>
      <c r="AR1075" s="424"/>
      <c r="AS1075" s="424"/>
      <c r="AT1075" s="424"/>
      <c r="AU1075" s="424"/>
      <c r="AV1075" s="424"/>
      <c r="AW1075" s="424"/>
      <c r="AX1075" s="424"/>
      <c r="AY1075" s="424"/>
    </row>
    <row r="1076" spans="2:51">
      <c r="B1076" s="424"/>
      <c r="C1076" s="424"/>
      <c r="D1076" s="424"/>
      <c r="E1076" s="424"/>
      <c r="F1076" s="424"/>
      <c r="G1076" s="424"/>
      <c r="H1076" s="424"/>
      <c r="I1076" s="424"/>
      <c r="J1076" s="424"/>
      <c r="K1076" s="424"/>
      <c r="L1076" s="424"/>
      <c r="M1076" s="424"/>
      <c r="N1076" s="424"/>
      <c r="O1076" s="424"/>
      <c r="P1076" s="424"/>
      <c r="Q1076" s="424"/>
      <c r="R1076" s="424"/>
      <c r="S1076" s="424"/>
      <c r="T1076" s="424"/>
      <c r="U1076" s="424"/>
      <c r="Y1076" s="424"/>
      <c r="Z1076" s="424"/>
      <c r="AA1076" s="424"/>
      <c r="AB1076" s="424"/>
      <c r="AC1076" s="424"/>
      <c r="AD1076" s="424"/>
      <c r="AE1076" s="424"/>
      <c r="AF1076" s="424"/>
      <c r="AG1076" s="424"/>
      <c r="AH1076" s="424"/>
      <c r="AI1076" s="424"/>
      <c r="AM1076" s="424"/>
      <c r="AN1076" s="424"/>
      <c r="AO1076" s="424"/>
      <c r="AP1076" s="424"/>
      <c r="AQ1076" s="424"/>
      <c r="AR1076" s="424"/>
      <c r="AS1076" s="424"/>
      <c r="AT1076" s="424"/>
      <c r="AU1076" s="424"/>
      <c r="AV1076" s="424"/>
      <c r="AW1076" s="424"/>
      <c r="AX1076" s="424"/>
      <c r="AY1076" s="424"/>
    </row>
    <row r="1077" spans="2:51">
      <c r="B1077" s="424"/>
      <c r="C1077" s="424"/>
      <c r="D1077" s="424"/>
      <c r="E1077" s="424"/>
      <c r="F1077" s="424"/>
      <c r="G1077" s="424"/>
      <c r="H1077" s="424"/>
      <c r="I1077" s="424"/>
      <c r="J1077" s="424"/>
      <c r="K1077" s="424"/>
      <c r="L1077" s="424"/>
      <c r="M1077" s="424"/>
      <c r="N1077" s="424"/>
      <c r="O1077" s="424"/>
      <c r="P1077" s="424"/>
      <c r="Q1077" s="424"/>
      <c r="R1077" s="424"/>
      <c r="S1077" s="424"/>
      <c r="T1077" s="424"/>
      <c r="U1077" s="424"/>
      <c r="Y1077" s="424"/>
      <c r="Z1077" s="424"/>
      <c r="AA1077" s="424"/>
      <c r="AB1077" s="424"/>
      <c r="AC1077" s="424"/>
      <c r="AD1077" s="424"/>
      <c r="AE1077" s="424"/>
      <c r="AF1077" s="424"/>
      <c r="AG1077" s="424"/>
      <c r="AH1077" s="424"/>
      <c r="AI1077" s="424"/>
      <c r="AM1077" s="424"/>
      <c r="AN1077" s="424"/>
      <c r="AO1077" s="424"/>
      <c r="AP1077" s="424"/>
      <c r="AQ1077" s="424"/>
      <c r="AR1077" s="424"/>
      <c r="AS1077" s="424"/>
      <c r="AT1077" s="424"/>
      <c r="AU1077" s="424"/>
      <c r="AV1077" s="424"/>
      <c r="AW1077" s="424"/>
      <c r="AX1077" s="424"/>
      <c r="AY1077" s="424"/>
    </row>
    <row r="1078" spans="2:51">
      <c r="B1078" s="424"/>
      <c r="C1078" s="424"/>
      <c r="D1078" s="424"/>
      <c r="E1078" s="424"/>
      <c r="F1078" s="424"/>
      <c r="G1078" s="424"/>
      <c r="H1078" s="424"/>
      <c r="I1078" s="424"/>
      <c r="J1078" s="424"/>
      <c r="K1078" s="424"/>
      <c r="L1078" s="424"/>
      <c r="M1078" s="424"/>
      <c r="N1078" s="424"/>
      <c r="O1078" s="424"/>
      <c r="P1078" s="424"/>
      <c r="Q1078" s="424"/>
      <c r="R1078" s="424"/>
      <c r="S1078" s="424"/>
      <c r="T1078" s="424"/>
      <c r="U1078" s="424"/>
      <c r="Y1078" s="424"/>
      <c r="Z1078" s="424"/>
      <c r="AA1078" s="424"/>
      <c r="AB1078" s="424"/>
      <c r="AC1078" s="424"/>
      <c r="AD1078" s="424"/>
      <c r="AE1078" s="424"/>
      <c r="AF1078" s="424"/>
      <c r="AG1078" s="424"/>
      <c r="AH1078" s="424"/>
      <c r="AI1078" s="424"/>
      <c r="AM1078" s="424"/>
      <c r="AN1078" s="424"/>
      <c r="AO1078" s="424"/>
      <c r="AP1078" s="424"/>
      <c r="AQ1078" s="424"/>
      <c r="AR1078" s="424"/>
      <c r="AS1078" s="424"/>
      <c r="AT1078" s="424"/>
      <c r="AU1078" s="424"/>
      <c r="AV1078" s="424"/>
      <c r="AW1078" s="424"/>
      <c r="AX1078" s="424"/>
      <c r="AY1078" s="424"/>
    </row>
    <row r="1079" spans="2:51">
      <c r="B1079" s="424"/>
      <c r="C1079" s="424"/>
      <c r="D1079" s="424"/>
      <c r="E1079" s="424"/>
      <c r="F1079" s="424"/>
      <c r="G1079" s="424"/>
      <c r="H1079" s="424"/>
      <c r="I1079" s="424"/>
      <c r="J1079" s="424"/>
      <c r="K1079" s="424"/>
      <c r="L1079" s="424"/>
      <c r="M1079" s="424"/>
      <c r="N1079" s="424"/>
      <c r="O1079" s="424"/>
      <c r="P1079" s="424"/>
      <c r="Q1079" s="424"/>
      <c r="R1079" s="424"/>
      <c r="S1079" s="424"/>
      <c r="T1079" s="424"/>
      <c r="U1079" s="424"/>
      <c r="Y1079" s="424"/>
      <c r="Z1079" s="424"/>
      <c r="AA1079" s="424"/>
      <c r="AB1079" s="424"/>
      <c r="AC1079" s="424"/>
      <c r="AD1079" s="424"/>
      <c r="AE1079" s="424"/>
      <c r="AF1079" s="424"/>
      <c r="AG1079" s="424"/>
      <c r="AH1079" s="424"/>
      <c r="AI1079" s="424"/>
      <c r="AM1079" s="424"/>
      <c r="AN1079" s="424"/>
      <c r="AO1079" s="424"/>
      <c r="AP1079" s="424"/>
      <c r="AQ1079" s="424"/>
      <c r="AR1079" s="424"/>
      <c r="AS1079" s="424"/>
      <c r="AT1079" s="424"/>
    </row>
    <row r="1080" spans="2:51">
      <c r="B1080" s="424"/>
      <c r="C1080" s="424"/>
      <c r="D1080" s="424"/>
      <c r="E1080" s="424"/>
      <c r="F1080" s="424"/>
      <c r="G1080" s="424"/>
      <c r="H1080" s="424"/>
      <c r="I1080" s="424"/>
      <c r="J1080" s="424"/>
      <c r="K1080" s="424"/>
      <c r="L1080" s="424"/>
      <c r="M1080" s="424"/>
      <c r="N1080" s="424"/>
      <c r="O1080" s="424"/>
      <c r="P1080" s="424"/>
      <c r="Q1080" s="424"/>
      <c r="R1080" s="424"/>
      <c r="S1080" s="424"/>
      <c r="T1080" s="424"/>
      <c r="U1080" s="424"/>
      <c r="Y1080" s="424"/>
      <c r="Z1080" s="424"/>
      <c r="AA1080" s="424"/>
      <c r="AB1080" s="424"/>
      <c r="AC1080" s="424"/>
      <c r="AD1080" s="424"/>
      <c r="AE1080" s="424"/>
      <c r="AF1080" s="424"/>
      <c r="AG1080" s="424"/>
      <c r="AH1080" s="424"/>
      <c r="AI1080" s="424"/>
      <c r="AM1080" s="424"/>
      <c r="AN1080" s="424"/>
      <c r="AO1080" s="424"/>
      <c r="AP1080" s="424"/>
      <c r="AQ1080" s="424"/>
      <c r="AR1080" s="424"/>
      <c r="AS1080" s="424"/>
      <c r="AT1080" s="424"/>
    </row>
    <row r="1081" spans="2:51">
      <c r="B1081" s="424"/>
      <c r="C1081" s="424"/>
      <c r="D1081" s="424"/>
      <c r="E1081" s="424"/>
      <c r="F1081" s="424"/>
      <c r="G1081" s="424"/>
      <c r="H1081" s="424"/>
      <c r="I1081" s="424"/>
      <c r="J1081" s="424"/>
      <c r="K1081" s="424"/>
      <c r="L1081" s="424"/>
      <c r="M1081" s="424"/>
      <c r="N1081" s="424"/>
      <c r="O1081" s="424"/>
      <c r="P1081" s="424"/>
      <c r="Q1081" s="424"/>
      <c r="R1081" s="424"/>
      <c r="S1081" s="424"/>
      <c r="T1081" s="424"/>
      <c r="U1081" s="424"/>
      <c r="Y1081" s="424"/>
      <c r="Z1081" s="424"/>
      <c r="AA1081" s="424"/>
      <c r="AB1081" s="424"/>
      <c r="AC1081" s="424"/>
      <c r="AD1081" s="424"/>
      <c r="AE1081" s="424"/>
      <c r="AF1081" s="424"/>
      <c r="AG1081" s="424"/>
      <c r="AH1081" s="424"/>
      <c r="AI1081" s="424"/>
      <c r="AM1081" s="424"/>
    </row>
    <row r="1082" spans="2:51">
      <c r="B1082" s="424"/>
      <c r="C1082" s="424"/>
      <c r="D1082" s="424"/>
      <c r="E1082" s="424"/>
      <c r="F1082" s="424"/>
      <c r="G1082" s="424"/>
      <c r="H1082" s="424"/>
      <c r="I1082" s="424"/>
      <c r="J1082" s="424"/>
      <c r="K1082" s="424"/>
      <c r="L1082" s="424"/>
      <c r="M1082" s="424"/>
      <c r="N1082" s="424"/>
      <c r="O1082" s="424"/>
      <c r="P1082" s="424"/>
      <c r="Q1082" s="424"/>
      <c r="R1082" s="424"/>
      <c r="S1082" s="424"/>
      <c r="T1082" s="424"/>
      <c r="U1082" s="424"/>
      <c r="Y1082" s="424"/>
      <c r="Z1082" s="424"/>
      <c r="AA1082" s="424"/>
      <c r="AB1082" s="424"/>
      <c r="AC1082" s="424"/>
      <c r="AD1082" s="424"/>
      <c r="AE1082" s="424"/>
      <c r="AF1082" s="424"/>
      <c r="AG1082" s="424"/>
      <c r="AH1082" s="424"/>
      <c r="AI1082" s="424"/>
      <c r="AM1082" s="424"/>
    </row>
    <row r="1083" spans="2:51">
      <c r="B1083" s="424"/>
      <c r="C1083" s="424"/>
      <c r="D1083" s="424"/>
      <c r="E1083" s="424"/>
      <c r="F1083" s="424"/>
      <c r="G1083" s="424"/>
      <c r="H1083" s="424"/>
      <c r="I1083" s="424"/>
      <c r="J1083" s="424"/>
      <c r="K1083" s="424"/>
      <c r="L1083" s="424"/>
      <c r="M1083" s="424"/>
      <c r="N1083" s="424"/>
      <c r="O1083" s="424"/>
      <c r="P1083" s="424"/>
      <c r="Q1083" s="424"/>
      <c r="R1083" s="424"/>
      <c r="S1083" s="424"/>
      <c r="T1083" s="424"/>
      <c r="U1083" s="424"/>
      <c r="Y1083" s="424"/>
      <c r="Z1083" s="424"/>
      <c r="AA1083" s="424"/>
      <c r="AB1083" s="424"/>
      <c r="AC1083" s="424"/>
      <c r="AD1083" s="424"/>
      <c r="AE1083" s="424"/>
      <c r="AF1083" s="424"/>
      <c r="AG1083" s="424"/>
      <c r="AH1083" s="424"/>
      <c r="AI1083" s="424"/>
      <c r="AM1083" s="424"/>
    </row>
    <row r="1084" spans="2:51">
      <c r="B1084" s="424"/>
      <c r="C1084" s="424"/>
      <c r="D1084" s="424"/>
      <c r="E1084" s="424"/>
      <c r="F1084" s="424"/>
      <c r="G1084" s="424"/>
      <c r="H1084" s="424"/>
      <c r="I1084" s="424"/>
      <c r="J1084" s="424"/>
      <c r="K1084" s="424"/>
      <c r="L1084" s="424"/>
      <c r="M1084" s="424"/>
      <c r="N1084" s="424"/>
      <c r="O1084" s="424"/>
      <c r="P1084" s="424"/>
      <c r="Q1084" s="424"/>
      <c r="R1084" s="424"/>
      <c r="S1084" s="424"/>
      <c r="T1084" s="424"/>
      <c r="U1084" s="424"/>
      <c r="Y1084" s="424"/>
      <c r="Z1084" s="424"/>
      <c r="AA1084" s="424"/>
      <c r="AB1084" s="424"/>
      <c r="AC1084" s="424"/>
      <c r="AD1084" s="424"/>
      <c r="AE1084" s="424"/>
      <c r="AF1084" s="424"/>
      <c r="AG1084" s="424"/>
      <c r="AH1084" s="424"/>
      <c r="AI1084" s="424"/>
      <c r="AM1084" s="424"/>
    </row>
    <row r="1085" spans="2:51">
      <c r="B1085" s="424"/>
      <c r="C1085" s="424"/>
      <c r="D1085" s="424"/>
      <c r="E1085" s="424"/>
      <c r="F1085" s="424"/>
      <c r="G1085" s="424"/>
      <c r="H1085" s="424"/>
      <c r="I1085" s="424"/>
      <c r="J1085" s="424"/>
      <c r="K1085" s="424"/>
      <c r="L1085" s="424"/>
      <c r="M1085" s="424"/>
      <c r="N1085" s="424"/>
      <c r="O1085" s="424"/>
      <c r="P1085" s="424"/>
      <c r="Q1085" s="424"/>
      <c r="R1085" s="424"/>
      <c r="S1085" s="424"/>
      <c r="T1085" s="424"/>
      <c r="U1085" s="424"/>
      <c r="Y1085" s="424"/>
      <c r="Z1085" s="424"/>
      <c r="AA1085" s="424"/>
      <c r="AB1085" s="424"/>
      <c r="AC1085" s="424"/>
      <c r="AD1085" s="424"/>
      <c r="AE1085" s="424"/>
      <c r="AF1085" s="424"/>
      <c r="AG1085" s="424"/>
      <c r="AH1085" s="424"/>
      <c r="AI1085" s="424"/>
      <c r="AM1085" s="424"/>
    </row>
    <row r="1086" spans="2:51">
      <c r="B1086" s="424"/>
      <c r="C1086" s="424"/>
      <c r="D1086" s="424"/>
      <c r="E1086" s="424"/>
      <c r="F1086" s="424"/>
      <c r="G1086" s="424"/>
      <c r="H1086" s="424"/>
      <c r="I1086" s="424"/>
      <c r="J1086" s="424"/>
      <c r="K1086" s="424"/>
      <c r="L1086" s="424"/>
      <c r="M1086" s="424"/>
      <c r="N1086" s="424"/>
      <c r="O1086" s="424"/>
      <c r="P1086" s="424"/>
      <c r="Q1086" s="424"/>
      <c r="R1086" s="424"/>
      <c r="S1086" s="424"/>
      <c r="T1086" s="424"/>
      <c r="U1086" s="424"/>
      <c r="Y1086" s="424"/>
      <c r="Z1086" s="424"/>
      <c r="AA1086" s="424"/>
      <c r="AB1086" s="424"/>
      <c r="AC1086" s="424"/>
      <c r="AD1086" s="424"/>
      <c r="AE1086" s="424"/>
      <c r="AF1086" s="424"/>
      <c r="AG1086" s="424"/>
      <c r="AH1086" s="424"/>
      <c r="AI1086" s="424"/>
      <c r="AM1086" s="424"/>
    </row>
    <row r="1087" spans="2:51">
      <c r="B1087" s="424"/>
      <c r="C1087" s="424"/>
      <c r="D1087" s="424"/>
      <c r="E1087" s="424"/>
      <c r="F1087" s="424"/>
      <c r="G1087" s="424"/>
      <c r="H1087" s="424"/>
      <c r="I1087" s="424"/>
      <c r="J1087" s="424"/>
      <c r="K1087" s="424"/>
      <c r="L1087" s="424"/>
      <c r="M1087" s="424"/>
      <c r="N1087" s="424"/>
      <c r="O1087" s="424"/>
      <c r="P1087" s="424"/>
      <c r="Q1087" s="424"/>
      <c r="R1087" s="424"/>
      <c r="S1087" s="424"/>
      <c r="T1087" s="424"/>
      <c r="U1087" s="424"/>
      <c r="Y1087" s="424"/>
      <c r="Z1087" s="424"/>
      <c r="AA1087" s="424"/>
      <c r="AB1087" s="424"/>
      <c r="AC1087" s="424"/>
      <c r="AD1087" s="424"/>
      <c r="AE1087" s="424"/>
      <c r="AF1087" s="424"/>
      <c r="AG1087" s="424"/>
      <c r="AH1087" s="424"/>
      <c r="AI1087" s="424"/>
      <c r="AM1087" s="424"/>
    </row>
    <row r="1088" spans="2:51">
      <c r="B1088" s="424"/>
      <c r="C1088" s="424"/>
      <c r="D1088" s="424"/>
      <c r="H1088" s="424"/>
      <c r="I1088" s="424"/>
      <c r="J1088" s="424"/>
      <c r="K1088" s="424"/>
      <c r="L1088" s="424"/>
      <c r="M1088" s="424"/>
      <c r="N1088" s="424"/>
      <c r="O1088" s="424"/>
      <c r="P1088" s="424"/>
      <c r="Q1088" s="424"/>
      <c r="R1088" s="424"/>
      <c r="S1088" s="424"/>
      <c r="T1088" s="424"/>
      <c r="U1088" s="424"/>
      <c r="Y1088" s="424"/>
      <c r="Z1088" s="424"/>
      <c r="AA1088" s="424"/>
      <c r="AB1088" s="424"/>
      <c r="AC1088" s="424"/>
      <c r="AD1088" s="424"/>
      <c r="AE1088" s="424"/>
      <c r="AF1088" s="424"/>
      <c r="AG1088" s="424"/>
      <c r="AH1088" s="424"/>
      <c r="AI1088" s="424"/>
      <c r="AM1088" s="424"/>
    </row>
    <row r="1089" spans="3:4">
      <c r="C1089" s="424"/>
      <c r="D1089" s="424"/>
    </row>
  </sheetData>
  <protectedRanges>
    <protectedRange sqref="A610:A613 A235:A282 A191:A202 A615:A625 A63:A80 A390:A392 A628:A655 A204:A230 A82 A3:A23 A291:A385 A394:A608 A28:A61 A84:A188" name="区域2_3"/>
    <protectedRange sqref="J3:J4 E12 J14 AI16 E46 E441 J34 E408 E418 E429 E435 E367 J42:K42 C42:F42 C40 C36:D39 AF42:AI42 Z42:AA42 Y398 Y413 Y432 Y434 Z471:Z472 Y363 Y365 Y369 Y372 E20:F23 J46 E36:F40 N42:O42 E494 E55 J55 J64 N47 N56 E64:E65 J72 N65 R42:T42 J6 E383 AF16:AG16 E32:E33 R35:T40 E454 AF15:AJ15 B655:B656 C15:F19 Z15:AA19 AF17:AI19 Q15:T19 J41 N35:O40 C35:F35 AF35:AJ40 Z35:AA40 J35:K40 N14:N23 J15:K23 E72:E80 E82 E28 N28:N29 B3:B645" name="区域2_4"/>
    <protectedRange sqref="W5:Y5 J5:K5 Y6 AB12:AE12 P14:Q14 D11:F11 N5 AB28:AE28 Y441 L3:M6 Y604:Y607 Y423 Y435 X372 Y364 Y370:Y371 AA11:AJ11 AA5:AJ5 W11:X11 W8:Y8 X28 X363 X369 D5:E5 P15:P16 X12:Y12 O12 L602:M607 Y46 Q481 L481:M481 AB494:AE494 O602:P607 Y55 O56:P56 L46:M47 L55:M56 Y64 L72:M72 O72:P72 Y72 O64:P65 L64:M65 R5:T5 J11:O11 L441:M441 O441:P441 P442:P448 Q8:T8 Y383 L382:M383 Y373:Y381 Q11:T11 P55 AA8:AI8 L362:M379 P423:P427 J8:O8 D8:E8 P47 O423:O426 L397:M398 Y366:Y367 Y426:Y427 P450:P451 L449:M449 O449:P449 Y454 L494:M506 O362:O383 L454:M454 L12:M12 AJ17:AJ19 O3:Q6 Y35:Y42 Y471 O454:P472 Y16:Y23 Y414:Y418 O427:P427 O397:P405 Y400:Y405 Y408 L400:M406 O406:O407 O408:P422 L408:M427 O14:O16 P7:P8 O34:P46 L34:M42 L14:M23 O17:P23 L471:M472 L28:M29 O28:P29 P10:P13 Y429 O429:P439 L429:M439" name="区域2_11"/>
    <protectedRange sqref="D12 W12 J12:K12 W28 Q46 N12 J28:K29 D28:D29 J47:K47 D47 J56:K56 D56 Q72 J65:K65 D65 Q55:Q56 Q64:Q65 D494:D506 R65:T65 R494:T494 Q494:Q506 R56:T56 Q20:Q23 Q34:Q42 Q47:T47 Q12:T12 Q28:T29" name="区域2_12"/>
    <protectedRange sqref="N3 E3 W3:Y3 E34:F34 C34 E14 K34 Y34 N34 K41 N46:O46 AA14 K46 E397 E409 E419 E430 E436 E362 Q362 E368 E29 Y11 Y14:Y15 AK46 Y472 Y397 Y412 Y419 Y424 Y430 Y436 Y602:Y603 Y409:Y410 AA34 AF34:AJ34 W362:Y362 W373:W375 W4:X4 AB6:AE6 W364:X364 W367:X367 W370:X371 AA56:AJ56 AF41:AJ41 AB362:AE362 AB4:AE4 AK4:AK6 AB364:AE364 AC370:AE371 AA41 AF14:AJ14 AB441:AE441 AJ397 AJ409 AJ419 AJ430 AJ436 AJ362 AJ368 Q397:Q398 AK441 C46 AA29:AJ29 W29:Y29 AK28:AK29 E41:F41 C41 H57:I57 W6:X6 R41:T41 AK602:AK607 AB46:AE46 W46:X46 E481 X481 AA481:AJ481 H481 AB602:AE607 K55 C55 G55 AB55:AE55 W55:X55 K64 AK64 C64 AB64:AE64 W64:X64 H47 E47 W47:Y47 AA47:AK47 H46:I46 E56 W56:Y56 AK55:AK56 O64 K72 AK72 C72 AB72:AE72 W72:X72 N72:O72 E65 W65:Y65 G56:I56 G64:I65 R3:T3 R14:T14 R34:T34 R46:T46 R481:T481 R55:T55 R64:T64 R72:T72 Q441 W602:X607 AJ442:AJ448 G3:I5 AB454:AE454 W383:X383 W441:X448 AC373:AE379 AK383 H59:I60 AK362:AK365 G71 W368:Y368 AB367:AE368 AK367:AK379 AA20:AA23 AD20:AD23 H8:I8 AB383:AE383 W397:X398 AK397:AK398 H6:I6 G76:G77 G79:G80 AK14:AK19 G92:G93 G97:G98 G101:G102 G105:G106 G109:G110 G113:G114 G118:G119 G122:G123 G126:G127 G130:G131 G134:G135 G138:G140 G147:G148 G6:G8 G159:G160 AJ450:AJ451 E449 Q449 AJ449:AK449 AB449:AE449 W449:Y449 Q454 G494:G506 AA65:AK65 AA3:AK3 H40:I42 AK494:AK506 W450:X451 X373:X381 AK8 G14:I23 O20:O23 AB14:AE19 AK11:AK12 W14:X19 G68 H66:I69 H71:I72 G74 N41:O41 H11:I12 W471:X472 AK454:AK488 W454:X454 AB397:AE405 W400:X405 Q400:Q405 AL406 G143:G144 Q408:Q427 W407:X427 AB408:AE427 AK400:AK427 G89 G40:G47 AK34:AK42 W34:X42 AB34:AE42 AB471:AE472 G10:G12 Q429:Q439 W429:X439 AB429:AE439 AK429:AK439 G28:I39 G87" name="区域2_1_1"/>
    <protectedRange sqref="N4 K3:K4 Y4 C3:D4 Z14 K6 AA6 AF6:AK6 K14 C14:D14 D34 E4 C28:C30 C11:C12 Y425 Y433 AJ425 Z64:Z65 AA4 Z11:Z12 D6:E6 R6:T6 Z28:Z29 AF4:AJ4 Z372 Z454 D46 D41 Z449 D481 Z481 Z494 D55 D64 Z55:Z56 C47 Z46:Z47 C56 D72 Z72 C65 R4:T4 Z3:Z6 Z441 Z34 N6 Z383 Z60 Z8 Z362:Z369 Z397:Z398 C5:C8 Z41 Z400:Z405 Z408:Z427 Z429:Z439" name="区域2_2_1"/>
    <protectedRange sqref="U28:U29 U19 U46:V47 V482:V493 U481:V481 V57 V69 V66 U55:V56 U72:V72 U64:V65 V440 U441:V441 U602:V607 U3:V6 V442:V448 V474:V480 V515:V517 V622 V59:V60 U383:V383 V382 V116 U397:V398 U362:V379 V48:V54 V568 V571 V450:V451 U449:V449 V528 U494:V506 U454:V454 U8:V8 V507:V513 V545:V547 V549 V536:V537 V539:V540 V554 U11:V12 V19:V23 U14:V18 U400:V405 U408:V427 U34:V42 U471:V472 V28:V30 U429:V439" name="区域2_5"/>
    <protectedRange sqref="AJ398 AF408:AJ408 Y437:AA439 Y411 AA441 I362:K362 N362 D362 AF383:AJ383 Y431 Z425:AA425 AF367:AJ367 AA362 AF397:AI397 AF398:AH398 D449 AF362:AI362 AF409:AI409 AF419:AI419 AA449 AF430:AI430 AA454 D441 AF436:AI436 AF437:AJ439 AF368:AI368 E398:F398 N397:N398 N441 R362:T362 E400:F404 R441:T441 E437:F439 AA383 D367:D368 J367:K368 AA367:AA368 R367:T368 R383:T383 AF427:AJ427 D383 AA397:AA398 R397:T398 N454 R454:T454 D454 AF449:AI449 AF454:AJ454 N449 R449:T449 AF441:AJ441 I363:I367 Y420:Y422 AA408:AA424 AF410:AJ418 E431:F434 AF431:AJ435 AA426:AA427 E410:F417 AA400:AA405 D397:D405 AF400:AJ405 F405 R400:T427 E406:F406 D407:D427 AF423:AI426 E420:F427 I397:I427 AF420:AJ422 N400:N427 AF429:AJ429 AA429:AA436 R429:T439 D429:D439 I429:I441 N429:N439" name="区域2_2"/>
    <protectedRange sqref="N605:O606 H602:N604 Z602:AA607 AF602:AJ607 Z370:Z371 N607 H605:K607 P604:Q604 Q605:Q607 Z373:Z379 D602:F607 AI440 Q440 AI30 Q30 Q602:T603 Q473:Q480 R604:T607 AI116 AI382 Q382" name="区域2_6"/>
    <protectedRange sqref="H397:H398 H362:H367 H400:H427 H429:H441" name="区域2_7"/>
    <protectedRange sqref="C397:C398 C454 C449 C400:C405 C408:C427 C429:C441" name="区域2_2_3"/>
    <protectedRange sqref="AJ8" name="区域2_11_2"/>
    <protectedRange sqref="U474:U480 R382:V382 R116:V116 D116:F116 D440:F440 AJ440 N440 Y440:AA440 AF440:AH440 R440:V440 D30:F30 AJ30 J30:K30 N30 AF30:AH30 R30:V30 AJ116 Y116:AA116 AJ382 J622:K622 Y624 U473:V473 Y622 N382 Y30:AA30 Y382:AA382 AF382:AH382 AF116:AH116 D382:F382 J596:K600" name="区域2_9" securityDescriptor=""/>
    <protectedRange sqref="C482:I493 T487:U493 W486:W487 AD482:AJ483 AD484:AD486 AF487:AI487 AF484:AI485 Q486:Q493 C481 I481 O481:P481 O486:O494 R485:S493 O482:Q485 AL487 W488:X494 Z487:AD493 W481:W483 W484:X485 Z482:AB486 AF486:AJ486 AF489:AK493 H501:I506 H494:I494 H495:H500 X495:X506 C494:C506 R482:U486 AF488:AJ488" name="区域2_15"/>
    <protectedRange sqref="C57 N57:P57 AB57 AB66 AB50:AB51 N66:O66 AE57 AE50:AE51 AE482:AE493 N69 N64 AB59:AB60 AE440 O440 AB440 AE30 O30 AB30 AB473:AB480 AE473:AE480 O473:O480 AB622 O622 C59:C60 N59:O60 AE59:AE60 N48:N55 AB116 AE382 AB382 AE116 H48:H55 AE536:AE537 AE568 AB568 O568 AE571 AB571 AE622 AD596:AD600 AE624 AE528 O507:O513 AE507:AE517 AB507:AB513 AE553:AE554 O545:O547 AE539:AE540 O540 O536:O537 AB539:AB540 AE545:AE549 AB536:AB537 O515:O517 AB515:AB528 AB542:AB554 AB596:AB600" name="区域2_1_1_4"/>
    <protectedRange sqref="U57 U59:U60" name="区域2_5_4"/>
    <protectedRange sqref="J57 J59:J60" name="区域2_5_2_1"/>
    <protectedRange sqref="Z57:AA57 C57:F57 N57 N66 N69 AF57:AH57 N59:N60 AA60:AA61 AJ57 AJ568 AJ59 C59:F59 AF59:AH60 AJ571 Z59:AA59 AA63 C60:D60 AJ528 AJ513 AJ545:AJ547 AJ549 AJ536:AJ537 AJ539:AJ540 AJ554 N64 N50:N52 K57:K60 R57:T60 AJ515:AJ517" name="区域2_4_2_1_1"/>
    <protectedRange sqref="L57:M57 O66 P50:P51 Y57 Y59:Y60 O440:P440 O30:P30 O515:P517 O473:P480 O622:P622 L59:M60 P71 O568:P568 P571 P481:P506 O507:P513 P528:P535 P548:P549 P541 O545:P547 O540:P540 P538:P539 O536:P537 P67:P68 O57:P60 P553:P558 P596:P600" name="区域2_11_1_1_1"/>
    <protectedRange sqref="G57 W66 W69 W57:X57 X50:X51 AB66 AB57:AE57 AB50:AE51 AB622:AE622 AK57 AL485 AK66 AE482:AE493 AK59:AK60 W440:X440 AB440:AE440 AK440 AB30:AE30 AK69:AL69 AB473:AE480 W473:X480 AK622 W622:X622 G59:G60 W59:X60 AB59:AE60 AK30 G610:G612 W382:X382 AB382:AE382 AK382 AC529:AE529 X528 X116 AB116:AE116 AK116 AK20:AK23 X20:X23 W568:X568 AB568:AE568 AJ568:AK568 AB571:AE571 AJ571:AK571 X571 G66:G67 G72:G73 G75 G82 G628 G90:G91 G99:G100 G103:G104 G107:G108 G111:G112 G120:G121 G124:G125 G128:G129 G132:G133 G136:G137 G141:G142 G145:G146 X542:X549 G149:G158 AK596:AK600 W30:X30 G622 AB624:AE624 G624:G625 AC482:AC494 AJ528:AK528 AB528:AE528 AK517:AK527 X482:X506 AJ517 G507:G513 AB507:AE517 AJ512:AK513 AK507:AK511 W507:X513 G654:G655 AJ549:AK549 X553:X554 X537 AJ545:AK547 AJ539:AK540 AJ536:AK537 AB545:AE554 AB536:AE537 G545:G549 X539:X540 G528:G541 AB539:AE540 W536:X536 AJ554:AK554 W515:X527 I47:I55 W50:W52 G115:G117 G96 G634 G630:G632 G636:G638 G515:G517 AJ515:AK516 G78 AK50:AL52 G553:G558 G568:G607 AB596:AE600 G86" name="区域2_1_1_1_1_1"/>
    <protectedRange sqref="C66 C69 C50:C52" name="区域2_1_1_5"/>
    <protectedRange sqref="U50:U51" name="区域2_5_5"/>
    <protectedRange sqref="J50:J51" name="区域2_5_2_2"/>
    <protectedRange sqref="C66 C69 C50:C52" name="区域2_4_2_1_2"/>
    <protectedRange sqref="Y66 Y69 Y50:Y52" name="区域2_11_1_1_2"/>
    <protectedRange sqref="D50:G51 L50:M51 Z50:AA51 AF50:AJ51 L482:M493 R50:T51 L440:M440 Z440 L30:M30 AI622 Z473:Z480 L473:M480 Z622 L553:M554 Z116 L382:M382 Z382 L570 Z30 AI568 L568:M568 L571:M571 L622:M622 L624:M624 L507:M513 L536:M537 L539:M540 L545:M549 AI536 L515:M517 L596:M600" name="区域2_19_1"/>
    <protectedRange sqref="AQ66" name="允许编辑_1_3"/>
    <protectedRange sqref="AP66" name="允许编辑_2_3"/>
    <protectedRange sqref="AR48:AR49 AR53:AR55 AR66:AR68 AR71" name="允许编辑_6_3"/>
    <protectedRange sqref="AM66:AN66" name="允许编辑_7_1_3"/>
    <protectedRange sqref="AQ69" name="允许编辑_1_1_1"/>
    <protectedRange sqref="AP69" name="允许编辑_2_1_1"/>
    <protectedRange sqref="AR69" name="允许编辑_6_1_1"/>
    <protectedRange sqref="AM69:AN69" name="允许编辑_7_1_1_1"/>
    <protectedRange sqref="AQ52" name="允许编辑_1_2_1"/>
    <protectedRange sqref="AP52" name="允许编辑_2_2_1"/>
    <protectedRange sqref="AR52" name="允许编辑_6_2_1"/>
    <protectedRange sqref="AM52:AN52" name="允许编辑_7_1_2_1"/>
    <protectedRange sqref="O49:P49 U54 L53:M54 U53:V53 L48:M49 AB53:AE54 C48:D49 AB48:AE49 C53:D54 U48:U49 W54 W49 P54 O47:O48 O50:O55" name="区域2"/>
    <protectedRange sqref="AJ484" name="区域2_15_1"/>
    <protectedRange sqref="AJ487" name="区域2_15_3"/>
    <protectedRange sqref="C568 C571 C528 C507:C513 C539:C540 C545:C549 C536:C537 C553:C554 C515:C517" name="区域2_13_1"/>
    <protectedRange sqref="D571 D546:D547 D568 D549 D536:D537 D539:D540 D554" name="区域2_10_1"/>
    <protectedRange sqref="D545" name="区域2_10_8"/>
    <protectedRange sqref="D569" name="区域2_10"/>
    <protectedRange sqref="D570" name="区域2_3_1_2"/>
    <protectedRange sqref="AJ42" name="区域2_4_2_1"/>
    <protectedRange sqref="AI57 AI59:AI60" name="区域2_1_1_1_1_1_1"/>
    <protectedRange sqref="AA177:AD177 W177 F104 AA104 AF104:AJ104 AA112:AD113 W163:W165 AF112:AJ113 AA164:AB165 AD96 AD174 AA174:AB174 AF169:AJ171 AA169:AD171 AD164:AD165 E167:F167 N164:O164 C163:D163 AA167:AD167 AF167:AJ167 R204:S204 N204:O207 I204:K207 C163:C164 AF90:AJ90 E169:F171 AA204:AD205 I177:K177 P163:Q164 W112:W113 C112:F113 K112:K113 AF204:AJ205 C104 W90 N92:O92 AA90:AB90 AD90 N111:O112 J111:K111 N89:O90 AF97:AJ102 AF164:AJ165 I92:K92 I97:K104 W97:W102 C97:F102 AF92:AJ92 AA97:AD102 N163:Q163 C204:F205 N97:O102 N104:O104 Q92:T92 I89:K90 I167:K171 O96 W167:W171 S167:T175 C167:D171 D164:F164 AF177:AJ177 E184 I174:K175 W174 C174:F174 W204:W205 Q204:Q205 T204:T205 I163:K165 N165:Q165 C90:F93 AA92 W92:W93 C116 N113 N174:R175 O176 C177:F177 C165:E165 AF174:AJ174 N177:T177 Q96:T102 Q112:T113 Q90:T90 N167:R171 R163:T165 O113:O115 O117" name="区域2_1_4"/>
    <protectedRange sqref="Y97 E104 Y112:Y113 Y169:Y170 Y164:Y165 Y90 Y92" name="区域2_4_4"/>
    <protectedRange sqref="Y167 Y174 L204:M207 L177:M177 Y104 P163:P165 P89:P90 L104:M104 P104 P97:P102 Y177 L97:M102 Y98:Y102 P177 P167:P171 P111:P113 L111:M113 L167:M171 P174:P175 L174:M174 P204:P205 L163:M165 P92 L89:M93 L116:M116" name="区域2_11_5"/>
    <protectedRange sqref="Q104 D89 D111 Q89:T89 Q111:T111" name="区域2_12_1"/>
    <protectedRange sqref="E168 E89 Y89 AA168:AB168 AD168 AF89:AJ89 AF168:AJ168 E163 X163:Y163 Y171 AK177 G420:G424 X182 W89 AA89:AB89 AD89 AA111:AJ111 AE112:AE113 AC112:AC113 AB104:AE104 W104:X104 AE97:AE102 X204:Y205 R104:T104 AK97:AK102 AC97:AC102 AC89:AC90 X89:X90 AK89:AK90 X206:X207 AC177 E111 W111:Y111 AK111:AK113 Y167:Y168 G167:G171 AE164:AE165 AC164:AC165 AE167:AE174 AC167:AC171 AK174 AC174:AC175 G174 X174 AK104 AE204:AE205 AC204:AC205 AE177 X177 X92:X93 AE89:AE93 X96:X102 E181 G305:G306 G308:G309 AK204:AK205 G177 G162:G165 G181:G182 AK164:AK171 G184:G186 G311:G312 G188 G192:G193 G195:G196 G204:G205 G207:G209 G211:G212 G214:G215 G217:G218 G220:G221 G223:G224 G226:G227 G372:G373 G375:G376 G378:G379 G381:G382 G390:G391 G397:G398 G400:G401 G403:G404 G408:G409 G411:G412 G414:G415 G426:G427 G430:G431 G433:G434 G436:G437 G439:G440 G442:G443 G445:G446 G471:G473 G475:G476 G478:G479 G481 G448:G450 AA163:AK163 X164:X165 G417:G418 X167:X171 AE116 G229:G230 X112:X115 G314:G315 G363:G364 G366:G367 G369:G370 G302:G303" name="区域2_1_1_6"/>
    <protectedRange sqref="D104 C89 Z177 Z104 Z89:Z90 Z97:Z102 C111 Z111:Z113 Z167:Z171 Z174 Z204:Z205 Z163:Z165 Z92" name="区域2_2_1_4"/>
    <protectedRange sqref="U163:V165 U104:V104 U89:V90 U97:V102 U111:V113 U167:V171 U174:V174 U204:V205 U177:V177 U92:V93" name="区域2_5_6"/>
    <protectedRange sqref="H104 H89:H90 H97:H102 H204:H207 H167:H171 H174 H177 H92 H163:H165" name="区域2_8_2"/>
    <protectedRange sqref="O176 AD175 AA175:AB175 C175:F175 W175 I175:K175 AF175:AJ175 N175:T175" name="区域2_1_2_1"/>
    <protectedRange sqref="P175 L175:M175" name="区域2_11_1_1"/>
    <protectedRange sqref="AC175 AE175 X175:Y175 AK175 G175" name="区域2_1_1_1_1"/>
    <protectedRange sqref="Z175" name="区域2_2_1_1_1"/>
    <protectedRange sqref="U175:V175" name="区域2_5_1_1"/>
    <protectedRange sqref="H175" name="区域2_8_1_1"/>
    <protectedRange sqref="H184 H181:H182 H111:H117" name="区域2_8_16_2"/>
    <protectedRange sqref="L572 O572 C572:F572 AF572:AF575 AJ572:AJ575 Q572 D576:D595 C573:E575 R572:W575" name="区域2_8"/>
    <protectedRange sqref="Q573:Q575 F573:F575 L573:M575 O573:O575" name="区域2_13"/>
    <protectedRange sqref="H572:I575" name="区域2_8_3"/>
    <protectedRange sqref="AL481 AL71 AL441 AL602:AL607 AL383 AL362:AL365 AL367:AL379 AL397:AL398 AL449 AL30 AL494 AL508:AL509 AL454 AL512:AL513 AL14:AL23 AL400:AL405 AL407:AL427 AL81 AL471:AL472 AL3:AL8 AL28 AL10:AL12 AL429:AL439 AL83 AL33:AL47" name="区域2_1_1_1"/>
    <protectedRange sqref="AL484 AL486:AL493 AL495:AL506" name="区域2_15_2"/>
    <protectedRange sqref="AL545 AL57 AL69 AL485 AL440 AL482:AL483 AL59:AL60 AL549 AL473:AL480 AL116 AL382 AL516 AL539 AL596:AL600 AL568 AL570:AL571 AL621:AL622 AL528 AL536 AL64:AL66 AL50:AL52" name="区域2_1_1_1_1_1_2"/>
    <protectedRange sqref="AL89:AL90 AL97:AL102 AL111 AL167:AL171 AL177 AL163:AL165 AL92:AL93 AL174:AL175" name="区域2_1_1_6_1"/>
    <protectedRange sqref="J7" name="区域2_4_3_2"/>
    <protectedRange sqref="AJ7 Q7 AB7:AE7" name="区域2_11_6"/>
    <protectedRange sqref="W7:X7" name="区域2_1_1_5_1"/>
    <protectedRange sqref="N7 D7:E7 AF7:AI7" name="区域2_2_1_6"/>
    <protectedRange sqref="H10:I10" name="区域2_1_1_2_2"/>
    <protectedRange sqref="V10" name="区域2_5_2_2_1"/>
    <protectedRange sqref="J10" name="区域2_4_3_1_1"/>
    <protectedRange sqref="O10 L10:M10 Q10" name="区域2_11_3_1"/>
    <protectedRange sqref="N10 W10:Y10 R10:T10 E10:F10 AA10:AK10" name="区域2_1_1_2_1_1"/>
    <protectedRange sqref="K10 Z10 C10:D10" name="区域2_2_1_2_1"/>
    <protectedRange sqref="U10" name="区域2_5_3_1"/>
    <protectedRange sqref="AK44 AA44" name="区域2_1_1_3_1"/>
    <protectedRange sqref="AA44 AF44:AG44 AI44 O44" name="区域2_4_6"/>
    <protectedRange sqref="O44:P44 L44:M44" name="区域2_11_4_1"/>
    <protectedRange sqref="Q44" name="区域2_12_1_1"/>
    <protectedRange sqref="AB44:AE44 AK44 W44:X44" name="区域2_1_1_3_1_1"/>
    <protectedRange sqref="U44:V44" name="区域2_5_4_1"/>
    <protectedRange sqref="K44" name="区域2_1_1_10"/>
    <protectedRange sqref="N44 C44:F44 J44:K44 AH44 R44:T44 Z44" name="区域2_4_6_1"/>
    <protectedRange sqref="Y44" name="区域2_11_4_1_1"/>
    <protectedRange sqref="H44:I44" name="区域2_1_1_3_1_1_1"/>
    <protectedRange sqref="AJ44" name="区域2_4_2_1_2_1"/>
    <protectedRange sqref="AA43 AK43" name="区域2_1_1_4_1"/>
    <protectedRange sqref="Z43:AA43 O43 AF43:AG43 AI43" name="区域2_4_6_2"/>
    <protectedRange sqref="L43:M43 O43:P43" name="区域2_11_4_2"/>
    <protectedRange sqref="Q43" name="区域2_12_1_1_1"/>
    <protectedRange sqref="W43:X43 AB43:AE43 AK43" name="区域2_1_1_3_2"/>
    <protectedRange sqref="U43:V43" name="区域2_5_4_1_1"/>
    <protectedRange sqref="K43" name="区域2_1_1_10_1"/>
    <protectedRange sqref="N43 C43:F43 J43:K43 AH43 S43:T43" name="区域2_4_6_1_1"/>
    <protectedRange sqref="Y43" name="区域2_11_4_1_1_1"/>
    <protectedRange sqref="H43:I43" name="区域2_1_1_3_1_2"/>
    <protectedRange sqref="AJ43" name="区域2_4_2_1_2_1_1"/>
    <protectedRange sqref="AF45:AJ45 J45:K45" name="区域2_4_7"/>
    <protectedRange sqref="Y45" name="区域2_11_1"/>
    <protectedRange sqref="J45:K45 C45:F45 N45:O45 Z45:AA45 AF45:AJ45 R45:T45" name="区域2_4_8"/>
    <protectedRange sqref="L45:M45 O45:P45 Y45" name="区域2_11_8"/>
    <protectedRange sqref="Q45" name="区域2_12_2"/>
    <protectedRange sqref="H45:I45 W45:X45 AB45:AE45 AK45" name="区域2_1_1_9"/>
    <protectedRange sqref="U45:V45" name="区域2_5_7"/>
    <protectedRange sqref="AC58" name="区域2_1_1_8"/>
    <protectedRange sqref="P58" name="区域2_1_1_4_1_1"/>
    <protectedRange sqref="P58" name="区域2_11_1_1_1_1"/>
    <protectedRange sqref="J58" name="区域2_4_4_1"/>
    <protectedRange sqref="L58:M58 O58 Q58" name="区域2_11_7"/>
    <protectedRange sqref="E58 N58 G58:I58 W58:Y58 AB58:AE58 AJ58:AL58" name="区域2_1_1_7_2"/>
    <protectedRange sqref="AF58:AI58 C58:D58 F58 K58 Z58:AA58 R58:T58" name="区域2_2_1_3_1"/>
    <protectedRange sqref="U58:V58" name="区域2_5_8"/>
    <protectedRange sqref="J67:J68 J71" name="区域2_4_6_3"/>
    <protectedRange sqref="L71:O71 L67:O68 O69" name="区域2_11_6_1"/>
    <protectedRange sqref="R71:T71 E71 W71:Y71 AA71:AK71 AL72 W67:Y68 E67:E68 R67:T68 AA67:AE68" name="区域2_1_1_6_3"/>
    <protectedRange sqref="K71 Z71 Z67:Z68 K67:K68 C67:D68 C71:D71" name="区域2_2_1_6_1"/>
    <protectedRange sqref="U67:V68 U71:V71" name="区域2_5_6_1"/>
    <protectedRange sqref="H73:H80 H82" name="区域2_1_1_4_2"/>
    <protectedRange sqref="Y73" name="区域2_11_1_1_1_2"/>
    <protectedRange sqref="J73 J76:J77 J31:J33" name="区域2_4_6_2_1"/>
    <protectedRange sqref="L73:P73 L76:P77 L31:P31 N74:N75 N78:N80 N82 L32:N33" name="区域2_11_6_1_1"/>
    <protectedRange sqref="W73:X73 E73 E76:E77 R73:T73 W76:Y77 W31:Y31 AA31:AI31 AK31:AL31 R76:T77 AA76:AL77 AA73:AL73 R31:T31 I86 I73:I80 I82" name="区域2_1_1_6_1_1"/>
    <protectedRange sqref="Z31 C73:D73 K73 Z73 Z76:Z77 C76:D77 K76:K77 C31:D31 K31:K33" name="区域2_2_1_6_1_1"/>
    <protectedRange sqref="U73:V73 U76:V77 U31:V31" name="区域2_5_6_1_1"/>
    <protectedRange sqref="J74:J75 J78:J80 J82 J86:J87" name="区域2_4_6_3_1"/>
    <protectedRange sqref="L74:M75 O74:P75 L86:P86 O82:P82 O78:P80 L78:M80 L82:M82 O84:P85 O32:P33 M87" name="区域2_11_6_2"/>
    <protectedRange sqref="AA74:AI74 AK74:AL74 H86 E32:E33 AA75:AL75 W86:AN86 R32:T33 R74:T75 E74:E75 W74:Y75 W82:Y82 AA82:AI82 AK82:AL82 R86:T86 E82 R82:T82 AA78:AL80 R78:T80 E78:E80 W78:Y80 W32:Y33 AA32:AL32 AA33:AK33 W87 AI87" name="区域2_1_1_6_2_1"/>
    <protectedRange sqref="Z32:Z33 Z74:Z75 K74:K75 C74:D75 C82:D82 K78:K80 Z78:Z80 C78:D80 Z82 K82 C84:D86 C32:D33 C87 K86:K87" name="区域2_2_1_6_2"/>
    <protectedRange sqref="U74:V75 U78:V80 U82:V82 U32:V33 U86:V87" name="区域2_5_6_2"/>
    <protectedRange sqref="C93:F93 I91:K91 C91:F91 AD91:AD93 C116 I93:K93 J116:K116" name="区域2_1_4_1"/>
    <protectedRange sqref="P91 P93 P116" name="区域2_11_5_1"/>
    <protectedRange sqref="AE91:AE93" name="区域2_1_1_6_4"/>
    <protectedRange sqref="C93:F93 I91:K91 C91:F91 AD91:AD93 C116 I93:K93 J116:K116" name="区域2_1_4_1_1"/>
    <protectedRange sqref="P91 P93 P116" name="区域2_11_5_1_1"/>
    <protectedRange sqref="AE91:AE93" name="区域2_1_1_6_4_1"/>
    <protectedRange sqref="C93:F93 I91:K91 C91:F91 AD91:AD93 C116 I93:K93 J116:K116" name="区域2_1_4_1_1_1"/>
    <protectedRange sqref="P91 P93 P116" name="区域2_11_5_1_1_1"/>
    <protectedRange sqref="AE91:AE93" name="区域2_1_1_6_3_1"/>
    <protectedRange sqref="AF93:AJ93 AA93 C93:D93 N91:O91 I91:K91 W91 C91:D91 AA91:AD91 N93:O93 AB92:AD95 I93:K93 C116 AF91:AJ91 Q93:T93 Q91:T91 J116:K116 Q116" name="区域2_1_6"/>
    <protectedRange sqref="Y93 P91 L91:M91 Y91 L93:M93 P116 L116:M116 P93:P95" name="区域2_11_11"/>
    <protectedRange sqref="AK91:AL91 X91 AC91:AC93 AE91:AE93 AK92:AK95" name="区域2_1_1_13"/>
    <protectedRange sqref="Z93 Z91" name="区域2_2_1_1"/>
    <protectedRange sqref="U91:V91" name="区域2_5_10"/>
    <protectedRange sqref="H91 H93" name="区域2_8_1"/>
    <protectedRange sqref="E93:F93 E91:F91" name="区域2_1_5_1"/>
    <protectedRange sqref="AD96 W96" name="区域2_1_4_2"/>
    <protectedRange sqref="AK96 AC96" name="区域2_1_1_6_5"/>
    <protectedRange sqref="AL96" name="区域2_1_1_6_1_2"/>
    <protectedRange sqref="W96 AD96" name="区域2_1_4_2_1"/>
    <protectedRange sqref="X96" name="区域2_1_1_6_5_1"/>
    <protectedRange sqref="AD96 W96" name="区域2_1_4_2_1_1"/>
    <protectedRange sqref="X96" name="区域2_1_1_6_4_1_1"/>
    <protectedRange sqref="AF96:AI96 AA96:AD96 Q96:T96" name="区域2_1_7"/>
    <protectedRange sqref="L96:M96 P96" name="区域2_11_13"/>
    <protectedRange sqref="AE96 AC96 X96" name="区域2_1_1_15"/>
    <protectedRange sqref="U96:V96" name="区域2_5_12"/>
    <protectedRange sqref="W96" name="区域2_11_5_1_1_1_1"/>
    <protectedRange sqref="R96:T96 C96:F96 I96:K96 N96 AJ96" name="区域2_1_3_2"/>
    <protectedRange sqref="Y96" name="区域2_11_9_1"/>
    <protectedRange sqref="Z96" name="区域2_2_1_7"/>
    <protectedRange sqref="H96" name="区域2_8_3_1"/>
    <protectedRange sqref="N103:O103 I103:K103" name="区域2_1_4_3"/>
    <protectedRange sqref="L103:M103" name="区域2_11_5_2"/>
    <protectedRange sqref="X103" name="区域2_1_1_6_6"/>
    <protectedRange sqref="Q103:T103" name="区域2_1_4_3_1"/>
    <protectedRange sqref="L103:M103" name="区域2_11_5_2_1"/>
    <protectedRange sqref="C103 N103:O103 I103:K103 Q103:T103" name="区域2_1_10"/>
    <protectedRange sqref="AA103:AJ103 D103:F103 W103:Y103 P103 L103:M103" name="区域2_11_14"/>
    <protectedRange sqref="AK103:AL103 AL104" name="区域2_1_1_16"/>
    <protectedRange sqref="Z103" name="区域2_2_1_5"/>
    <protectedRange sqref="U103:V103" name="区域2_5_13"/>
    <protectedRange sqref="H103" name="区域2_8_4"/>
    <protectedRange sqref="L105:M110 L117:M117" name="区域2_11_5_3"/>
    <protectedRange sqref="L105:M110 L117:M117" name="区域2_11_5_3_1"/>
    <protectedRange sqref="L105:M110 L117:M117" name="区域2_11_5_2_1_1"/>
    <protectedRange sqref="I105:K110 E106:F108 W105:W110 AE110:AK110 N105:Q110 AA106:AB109 C109:F110 C105:D108 AA110 J117:K117 N117 W117 C117:F117 AA117 AE117:AK117 R110:T110 P117:T117 AD106:AJ109" name="区域2_1_12_5"/>
    <protectedRange sqref="Y106:Y109" name="区域2_4_15_1"/>
    <protectedRange sqref="L105:M110 Y110 P105:P110 Y117 P117 L117:M117" name="区域2_11_16_1"/>
    <protectedRange sqref="E105 X105:Y105 AK106:AL110 AK117:AL117 AC106:AC110 X106:X110 AB110:AE110 AE106:AE109 X117 AB117:AE117 AA105:AL105" name="区域2_1_1_18_3"/>
    <protectedRange sqref="Z105:Z110 Z117" name="区域2_2_1_10_1"/>
    <protectedRange sqref="U105:V110 U117:V117" name="区域2_5_15_1"/>
    <protectedRange sqref="H105:H110" name="区域2_8_7_1"/>
    <protectedRange sqref="H183" name="区域2_8_16_2_1"/>
    <protectedRange sqref="N183" name="区域2_1_4_5"/>
    <protectedRange sqref="P183" name="区域2_11_5_4"/>
    <protectedRange sqref="X183:X184" name="区域2_1_1_6_7"/>
    <protectedRange sqref="C172:D173" name="区域2_1_4_6"/>
    <protectedRange sqref="P172:P173" name="区域2_11_5_5"/>
    <protectedRange sqref="AE172:AE173 AK172:AK173" name="区域2_1_1_6_9"/>
    <protectedRange sqref="I172:K173 AA172:AD173 N172:T173" name="区域2_1_8"/>
    <protectedRange sqref="L172:M173" name="区域2_11_17"/>
    <protectedRange sqref="AE172:AE173 AL172:AL173" name="区域2_1_1_19"/>
    <protectedRange sqref="U172:V173" name="区域2_5_16"/>
    <protectedRange sqref="C172:F173 I172:K173 AA172:AA173 AF172:AK173 N172:T173" name="区域2_1_8_1"/>
    <protectedRange sqref="L172:M173 P172:P173" name="区域2_11_12_1"/>
    <protectedRange sqref="G172:G173 W172:Y173 AB172:AE173" name="区域2_1_1_14_1"/>
    <protectedRange sqref="Z172:Z173" name="区域2_2_1_9_1"/>
    <protectedRange sqref="U172:V173" name="区域2_5_11_1"/>
    <protectedRange sqref="H172:H173" name="区域2_8_6_1"/>
    <protectedRange sqref="I176:K176" name="区域2_1_4_8"/>
    <protectedRange sqref="C176:D176" name="区域2_1_9"/>
    <protectedRange sqref="P176" name="区域2_11_18"/>
    <protectedRange sqref="X176:Y176 G176 AL176" name="区域2_1_1_20"/>
    <protectedRange sqref="I176:K176 N176 Q176:T176" name="区域2_1_9_1"/>
    <protectedRange sqref="C176:F176 I176:K176 N176 AA176:AJ176 Q176:T176" name="区域2_1_2_1_1"/>
    <protectedRange sqref="L176:M176 P176" name="区域2_11_1_1_3"/>
    <protectedRange sqref="G176 AK176 W176:Y176" name="区域2_1_1_1_1_3"/>
    <protectedRange sqref="Z176" name="区域2_2_1_1_1_1"/>
    <protectedRange sqref="U176:V176" name="区域2_5_1_1_1"/>
    <protectedRange sqref="H176" name="区域2_8_1_1_1"/>
    <protectedRange sqref="L399:M399 Y399 P397:P399" name="区域2_11_16"/>
    <protectedRange sqref="W399:X399 AB399:AE399 AK399:AL399 Q399" name="区域2_1_1_22"/>
    <protectedRange sqref="Z399" name="区域2_2_1_9"/>
    <protectedRange sqref="U399:V399" name="区域2_5_15"/>
    <protectedRange sqref="AJ399 AA399 R399:T399 D399:F399 N399 AF399:AH399" name="区域2_2_4"/>
    <protectedRange sqref="H399" name="区域2_7_1"/>
    <protectedRange sqref="C399" name="区域2_2_3_1"/>
    <protectedRange sqref="I399" name="区域2_2_4_1"/>
    <protectedRange sqref="I208:I209" name="区域2_1_26"/>
    <protectedRange sqref="W208:W209 T208:T209 C208:F209 J208:K209 N208:N209 AA208:AD209 AF208:AL209 Q208:Q209" name="区域2_1_10_2"/>
    <protectedRange sqref="Y208:Y209 P208:P209" name="区域2_11_13_1"/>
    <protectedRange sqref="AC208:AC209 AE208:AE209 L208:M209 X208:Y209 AK208:AL209" name="区域2_1_1_15_1"/>
    <protectedRange sqref="Z208:Z209" name="区域2_2_1_10_2"/>
    <protectedRange sqref="U208:V209" name="区域2_5_13_1"/>
    <protectedRange sqref="AK208:AL209" name="区域2_1_1_1_2_1"/>
    <protectedRange sqref="U208:V209" name="区域2_5_1_2"/>
    <protectedRange sqref="H208:H209" name="区域2_8_1_2"/>
    <protectedRange sqref="R208:S209" name="区域2_1_10_1_2"/>
    <protectedRange sqref="AA227:AD228 W227:W228 J227:K228 T227:T228 C227:F228 AF227:AL228 Q227:Q228" name="区域2_1_10_3"/>
    <protectedRange sqref="Y227:Y228 P227:P228" name="区域2_11_13_2"/>
    <protectedRange sqref="AE227:AE228 AC227:AC228 X227:Y228 L227:M228 AK227:AL228" name="区域2_1_1_15_2"/>
    <protectedRange sqref="Z227:Z228" name="区域2_2_1_10"/>
    <protectedRange sqref="U227:V228" name="区域2_5_13_2"/>
    <protectedRange sqref="AK227:AL228" name="区域2_1_1_1_2_2"/>
    <protectedRange sqref="U227:V228" name="区域2_5_1_2_1"/>
    <protectedRange sqref="AD301:AD302 AB293:AB302" name="区域2_1_13_1"/>
    <protectedRange sqref="AC301:AC302 AE291:AE302" name="区域2_1_1_17_1"/>
    <protectedRange sqref="D181 C301 C305 C303 R181:T181 W181" name="区域2_1_13_1_1"/>
    <protectedRange sqref="L181:M184" name="区域2_11_16_1_1"/>
    <protectedRange sqref="G477 G480 X181 G405 G307 G183 G454:G470 G301 G187 G304 G191 G194 G197:G202 G206 G210 G213 G216 G219 G222 G225 G228 G310 G313 G362 G365 G368 G371 G374 G377 G380 G383 G392 G399 G402 G451 G410 G413 G419 G416 G425 G429 G432 G435 G438 G441 G444 G447 G474" name="区域2_1_1_17_1_1"/>
    <protectedRange sqref="V184 U181:V181" name="区域2_5_14_1_1"/>
    <protectedRange sqref="C302 C304" name="区域2_1_13_2"/>
    <protectedRange sqref="AL601 AL610:AL612 AL631 AL636 AL624:AL625 AL620 AL628" name="区域2_1_1_1_6"/>
    <protectedRange sqref="V624" name="区域2_5_14"/>
    <protectedRange sqref="Y624 J624:K624" name="区域2_9_1" securityDescriptor=""/>
    <protectedRange sqref="O624 AB624 AE624" name="区域2_1_1_4_4"/>
    <protectedRange sqref="O624:P624" name="区域2_11_1_1_1_3"/>
    <protectedRange sqref="AB624:AE624 W624:X624 AK624" name="区域2_1_1_1_1_1_3"/>
    <protectedRange sqref="AI624 L624:M624 Z624" name="区域2_19_1_1"/>
    <protectedRange sqref="AP532" name="允许编辑_2_3_3_1"/>
    <protectedRange sqref="AP548 AP538 AP553" name="允许编辑_2_3_3_2"/>
    <protectedRange sqref="AF134:AJ134 AA134:AD134 AD139:AD140 AD131 AA131:AB131 D120 N120:O120 N119:Q119 C119:D119 E120:F124 AF120:AJ124 E126:F126 C121:D126 W134 C134:F134 AA139:AB140 AF139:AI140 C119:C120 C133:D133 C127:F128 I134:K134 W131 C131:F131 AF126:AJ128 AA126:AD130 W139:W140 O139:O140 J139:K140 C139:F140 Y139:Y140 I118:K132 W119:W128 AD120:AD124 AA120:AB124 AF131:AJ131 N134:T134 Q139:T140 N121:T132 P119:T120 AF143:AG148 AA143:AA148 N143:Q148 D143:F148 AI143:AI148 I141:I162" name="区域2_1_3_4"/>
    <protectedRange sqref="Y120:Y121 Y126:Y127 Y139:Y140" name="区域2_4_5_1"/>
    <protectedRange sqref="Y124 Y131 Y134 L134:M134 P131:P134 P139:P140 L139:M140 Y118 P119:P128 L119:M131 L143:M148" name="区域2_11_20_2"/>
    <protectedRange sqref="E125 AA125:AB125 AD125 AF125:AJ125 Y122:Y125 E119 X119:Y119 Y133 AE134 AK134:AL134 X131 X133:X134 AK131:AL131 AC131:AC132 AC134 X120:X128 Y128 AL132:AL133 AK139:AK140 X139:X140 AE139:AE140 AC139:AC140 AE118 AL129:AL130 AC120:AC128 AE120:AE131 AK120:AL128 AA119:AL119" name="区域2_1_1_27_2"/>
    <protectedRange sqref="U134:V134 U139:V140 U119:V131 U143:V148" name="区域2_5_19_2"/>
    <protectedRange sqref="H134 H131 H119:H128" name="区域2_8_6_2"/>
    <protectedRange sqref="AD132 AA132:AB132 C132:F132 W132 I132:K132 AF132:AJ132 N132:T132" name="区域2_1_2_2"/>
    <protectedRange sqref="L132:M132 P132" name="区域2_11_1_3"/>
    <protectedRange sqref="AE132 X132:Y132 AK132 AC132" name="区域2_1_1_1_6_1"/>
    <protectedRange sqref="Z132" name="区域2_2_1_1_2"/>
    <protectedRange sqref="U132:V132" name="区域2_5_1_3"/>
    <protectedRange sqref="H132" name="区域2_8_1_3"/>
    <protectedRange sqref="AH143:AH148 AB143:AE148 R143:T148 N143:P148 J143:K148 C143:F148 AJ143:AJ148 W143:X148" name="区域2_1_7_7"/>
    <protectedRange sqref="Y143:Y148" name="区域2_11_11_4"/>
    <protectedRange sqref="Z143:Z148" name="区域2_2_1_8_4"/>
    <protectedRange sqref="H143:H148" name="区域2_8_5_1"/>
    <protectedRange sqref="L129:M130 P129:P130" name="区域2_11_12_2"/>
    <protectedRange sqref="W129:Y130 AB129:AE130" name="区域2_1_1_14_2"/>
    <protectedRange sqref="U129:V130" name="区域2_5_11_2"/>
    <protectedRange sqref="H129:H130" name="区域2_8_6_2_1"/>
    <protectedRange sqref="I133:K133 N133 Q133:T133" name="区域2_1_9_2"/>
    <protectedRange sqref="C133:F133 I133:K133 N133 AA133:AJ133 Q133:T133" name="区域2_1_2_1_2"/>
    <protectedRange sqref="L133:M133 O133:P133" name="区域2_11_1_1_4"/>
    <protectedRange sqref="W133:Y133 AK133" name="区域2_1_1_1_1_4"/>
    <protectedRange sqref="Z133" name="区域2_2_1_1_1_2"/>
    <protectedRange sqref="U133:V133" name="区域2_5_1_1_2"/>
    <protectedRange sqref="H133" name="区域2_8_1_1_2"/>
    <protectedRange sqref="AD135 N135:O135 W135 AA135:AB135 W149:W159 AA149:AD159 C135:F136 J135:K135 AA141:AD142 N141:N142 J141:K142 C141:F142 J149:K160 N149:N160 T149:T160 Q149:Q160 AF141:AJ142 AF135:AL136 AA160:AL160 AF149:AL159 Q135:T135 Q141:T142 AK142:AL148 C149:F160 AK141" name="区域2_1_10_4"/>
    <protectedRange sqref="Y135" name="区域2_4_15"/>
    <protectedRange sqref="Y141:Y142 P135 P141:P142 Y160 P149:P162" name="区域2_11_13_3"/>
    <protectedRange sqref="AI160 AC149:AC159 AE149:AE159 X135 X149:Y159 AE135 AC135:AC136 W160:Y160 L135:M135 AK135:AL136 AB160:AE160 W141:Y142 AE141:AE142 L141:M142 AC141:AC142 W161:X162 L149:M162 AK142:AL160 AK141" name="区域2_1_1_15_3"/>
    <protectedRange sqref="Z135 Z141:Z142 Z149:Z160" name="区域2_2_1_10_3"/>
    <protectedRange sqref="U135:V135 U141:V142 U149:V160" name="区域2_5_13_3"/>
    <protectedRange sqref="W135 AD135 N135:O135 C135:F135" name="区域2_1_2_2_1"/>
    <protectedRange sqref="AE135 AK135:AL135 AK142:AL160 AK141" name="区域2_1_1_1_2_3"/>
    <protectedRange sqref="U135:V135 U141:V142 U149:V160" name="区域2_5_1_2_2"/>
    <protectedRange sqref="H135 H141:H142 H149:H162" name="区域2_8_1_2_3"/>
    <protectedRange sqref="R149:S159" name="区域2_1_4_2_2"/>
    <protectedRange sqref="C136:F136 AF136:AL136" name="区域2_1_10_2_1"/>
    <protectedRange sqref="AC136 AK136:AL136" name="区域2_1_1_15_1_1"/>
    <protectedRange sqref="H136" name="区域2_8_16_2_1_1"/>
    <protectedRange sqref="N136" name="区域2_1_4_5_1"/>
    <protectedRange sqref="P136" name="区域2_11_5_4_1"/>
    <protectedRange sqref="X136:Y136" name="区域2_1_1_6_7_1"/>
    <protectedRange sqref="Q137:Q138 J137:K138 C137:C138" name="区域2_1_12"/>
    <protectedRange sqref="AK137:AL138 AL139:AL141" name="区域2_1_1_16_1"/>
    <protectedRange sqref="Z137:Z138" name="区域2_2_1_11_1"/>
    <protectedRange sqref="H137:H140" name="区域2_8_7"/>
    <protectedRange sqref="AF137:AJ138 C137:D138" name="区域2_1_10_3_1"/>
    <protectedRange sqref="AC137:AC138" name="区域2_1_1_15_2_1"/>
    <protectedRange sqref="N137:N140" name="区域2_1_4_5_1_2"/>
    <protectedRange sqref="X137:Y138" name="区域2_1_1_6_7_1_1"/>
    <protectedRange sqref="AD118 C118:F118 I118:K118 W118 AF118:AG118 AA118:AB118 N118:Q118" name="区域2_1_15_1_1"/>
    <protectedRange sqref="Y118 P118 L118:M118" name="区域2_11_18_2_1"/>
    <protectedRange sqref="AC118 AE118 X118 AK118" name="区域2_1_1_20_2_1"/>
    <protectedRange sqref="Z118" name="区域2_2_1_13_1_1"/>
    <protectedRange sqref="U118:V118" name="区域2_5_15_2_1"/>
    <protectedRange sqref="H118" name="区域2_8_9_1"/>
    <protectedRange sqref="R118:T118" name="区域2_1_4_7_1_1"/>
    <protectedRange sqref="AH118:AJ118" name="区域2_1_11_1_1_1"/>
    <protectedRange sqref="I185:I188 I191:I202" name="区域2_1_3"/>
    <protectedRange sqref="J185:K188 N185:N188 W185:W188 T185:T188 C185:F188 AA185:AD188 Q185:Q188 J191:K202 W191:W202 C191:F202 AF191:AL202 N191:N202 T191:T202 AA191:AD202 Q191:Q202 AF185:AL188" name="区域2_1_10_4_1"/>
    <protectedRange sqref="P185:P188 Y185:Y188 Y191:Y202 P191:P202" name="区域2_11_13_3_1"/>
    <protectedRange sqref="AC185:AC188 X185:Y188 L185:M188 AE185:AE188 AC191:AC202 X191:Y202 AE191:AE202 AK191:AL202 L191:M202 AK185:AL188" name="区域2_1_1_15_3_1"/>
    <protectedRange sqref="Z185:Z188 Z191:Z202" name="区域2_2_1_10_3_1"/>
    <protectedRange sqref="U185:V188 U191:V202" name="区域2_5_13_3_1"/>
    <protectedRange sqref="AK191:AL202 AK185:AL188" name="区域2_1_1_1_2_3_1"/>
    <protectedRange sqref="U185:V188 U191:V202" name="区域2_5_1_2_2_1"/>
    <protectedRange sqref="H185:H188 H191:H202" name="区域2_8_1_2_3_1"/>
    <protectedRange sqref="R185:S188" name="区域2_1_10_1_4"/>
    <protectedRange sqref="R227:S228" name="区域2_1_10_1_4_1"/>
    <protectedRange sqref="U596:V600" name="区域2_1"/>
    <protectedRange sqref="L381" name="区域2_11_23"/>
    <protectedRange sqref="V381 W380:W381" name="区域2_1_1_26"/>
    <protectedRange sqref="U381" name="区域2_5_17"/>
    <protectedRange sqref="R380:T380 D380" name="区域2_2_8"/>
    <protectedRange sqref="AH381" name="区域2_6_4"/>
    <protectedRange sqref="AA381 AD381 N381" name="区域2_1_1_4_6"/>
    <protectedRange sqref="AJ381" name="区域2_4_2_1_1_4"/>
    <protectedRange sqref="N381:O381 O382:O383 O368:O380 O397:O408" name="区域2_11_1_1_1_6"/>
    <protectedRange sqref="AA381:AD381 AJ381" name="区域2_1_1_1_1_1_6"/>
    <protectedRange sqref="L381" name="区域2_19_1_3"/>
    <protectedRange sqref="AK381" name="区域2_1_1_1_1_1_2_4"/>
    <protectedRange sqref="L380:M380" name="区域2_11_21_4"/>
    <protectedRange sqref="Z380" name="区域2_2_1_14_4"/>
    <protectedRange sqref="U380:V380" name="区域2_5_19_5"/>
    <protectedRange sqref="C162:F162" name="区域2_1_3_4_3"/>
    <protectedRange sqref="AA162 R162:S162" name="区域2_1_3_4_4"/>
    <protectedRange sqref="T162" name="区域2_5_19_2_2"/>
    <protectedRange sqref="C161:F161" name="区域2_1_3_4_7"/>
    <protectedRange sqref="Z161:AA161 AE161:AJ161 J161:J162 N161:O162 Q161:Q162 V161:V162 Z162 AC161:AC162 AE162:AH162 R161:S161" name="区域2_1_3_4_8"/>
    <protectedRange sqref="O161:O162 K161:K162" name="区域2_11_20_2_4"/>
    <protectedRange sqref="AB161:AB162 AD161:AD162 AK162 AJ161:AK161" name="区域2_1_1_27_2_4"/>
    <protectedRange sqref="Y161:Y162" name="区域2_2_1_13_2_4"/>
    <protectedRange sqref="T161:U161 U162" name="区域2_5_19_2_4"/>
    <protectedRange sqref="G161" name="区域2_8_6_2_5"/>
    <protectedRange sqref="O610:P610" name="区域2_11_12_1_1"/>
    <protectedRange sqref="AB610:AE610" name="区域2_1_1_14_1_1"/>
    <protectedRange sqref="Z610:AA610 H610:K610 Q610:T610" name="区域2_6_4_1"/>
    <protectedRange sqref="Y610 O610:P610 L610:M610" name="区域2_11_15_1"/>
    <protectedRange sqref="AB610:AE610 W610:X610 AK610" name="区域2_1_1_18_1"/>
    <protectedRange sqref="U610:V610" name="区域2_5_12_1"/>
    <protectedRange sqref="Z610:AA610 AF610:AI610 N610:O610 H610:K610 D610:D611 E610:F610 Q610:T610" name="区域2_6_4_1_1"/>
    <protectedRange sqref="AJ610" name="区域2_6_1_1_1"/>
    <protectedRange sqref="L611:M611 O611:P611 Y611" name="区域2_11_15_2"/>
    <protectedRange sqref="W611:X611 AB611:AE611 AK611" name="区域2_1_1_18_1_1"/>
    <protectedRange sqref="U611:V611" name="区域2_5_12_2"/>
    <protectedRange sqref="E611:F611 H611:K611 N611:O611 Z611:AA611 AF611:AI611 Q611:T611" name="区域2_6_4_2"/>
    <protectedRange sqref="AJ611" name="区域2_6_1_1_1_1"/>
    <protectedRange sqref="R191:S192" name="区域2_1_7_5"/>
    <protectedRange sqref="R193:S194" name="区域2_1_7_6"/>
    <protectedRange sqref="R195:S202" name="区域2_1_7_8"/>
    <protectedRange sqref="Y391" name="区域2_4_13"/>
    <protectedRange sqref="X391 Y390 O390:O392 Y392 L390:M392" name="区域2_11_27"/>
    <protectedRange sqref="AK390:AL392" name="区域2_1_1_2"/>
    <protectedRange sqref="Z390:Z392" name="区域2_2_1_2"/>
    <protectedRange sqref="U390:V392" name="区域2_5_3"/>
    <protectedRange sqref="D390 I390:I392" name="区域2_2_7"/>
    <protectedRange sqref="H390:H392" name="区域2_7_3"/>
    <protectedRange sqref="J628:K628" name="区域2_4_1"/>
    <protectedRange sqref="M628 P628:Q628" name="区域2_11_3"/>
    <protectedRange sqref="S628 N628" name="区域2_1_1_3"/>
    <protectedRange sqref="D628" name="区域2_2_1_3"/>
    <protectedRange sqref="L628" name="区域2_87_1"/>
    <protectedRange sqref="J625:K625" name="区域2_4_14"/>
    <protectedRange sqref="P625:Q625 M625" name="区域2_11_4"/>
    <protectedRange sqref="N625" name="区域2_1_1_12"/>
    <protectedRange sqref="L625" name="区域2_87_3"/>
    <protectedRange sqref="Q630" name="区域2_11_21"/>
    <protectedRange sqref="N630" name="区域2_2_1_14"/>
    <protectedRange sqref="S630" name="区域2_4_1_2"/>
    <protectedRange sqref="AL630" name="区域2_1_1_1_10"/>
    <protectedRange sqref="I630" name="区域2_99_3"/>
    <protectedRange sqref="L630:M630" name="区域2_55_1"/>
    <protectedRange sqref="S630 D630" name="区域2_4_1_1_2"/>
    <protectedRange sqref="J631" name="区域2_4_21"/>
    <protectedRange sqref="L631:M631 P631:Q631" name="区域2_11_30"/>
    <protectedRange sqref="K631 N631" name="区域2_2_1_19"/>
    <protectedRange sqref="S631" name="区域2_1_1_2_3"/>
    <protectedRange sqref="D631" name="区域2_2_1_2_4"/>
    <protectedRange sqref="I631" name="区域2_99_5"/>
    <protectedRange sqref="Q632" name="区域2_11_31"/>
    <protectedRange sqref="N632" name="区域2_2_1_20"/>
    <protectedRange sqref="D632 S632" name="区域2_4_1_3"/>
    <protectedRange sqref="AL632" name="区域2_1_1_1_13"/>
    <protectedRange sqref="I632" name="区域2_99_6"/>
    <protectedRange sqref="L632:M632" name="区域2_55_2"/>
    <protectedRange sqref="Q636" name="区域2_11_32"/>
    <protectedRange sqref="I636" name="区域2_1_1_33"/>
    <protectedRange sqref="D636 S636" name="区域2_4_1_4"/>
    <protectedRange sqref="L636:M636" name="区域2_55_3"/>
    <protectedRange sqref="Q637" name="区域2_11_33"/>
    <protectedRange sqref="I637" name="区域2_1_1_34"/>
    <protectedRange sqref="D637 S637" name="区域2_4_1_6"/>
    <protectedRange sqref="L637:M637" name="区域2_55_5"/>
    <protectedRange sqref="Q634" name="区域2_11_34"/>
    <protectedRange sqref="I634" name="区域2_1_1_35"/>
    <protectedRange sqref="S634" name="区域2_4_1_7"/>
    <protectedRange sqref="L634:M634" name="区域2_55_6"/>
    <protectedRange sqref="S634 D634" name="区域2_4_1_1_3"/>
    <protectedRange sqref="AL634" name="区域2_1_1_1_1_5"/>
    <protectedRange sqref="Q638 Q654:Q655" name="区域2_11_35"/>
    <protectedRange sqref="I638 I654:I655" name="区域2_1_1_36"/>
    <protectedRange sqref="D638 S638 S654:S655 D655:D656" name="区域2_4_1_8"/>
    <protectedRange sqref="L638:M638 L654:M655" name="区域2_55_7"/>
    <protectedRange sqref="D612" name="区域2_6_4_1_2"/>
    <protectedRange sqref="Y612 L612:M612 O612:P612" name="区域2_11_15_2_1"/>
    <protectedRange sqref="AK612 W612:X612 AB612:AE612" name="区域2_1_1_18_1_1_1"/>
    <protectedRange sqref="U612:V612" name="区域2_5_12_2_1"/>
    <protectedRange sqref="E612:F612 Z612:AA612 AF612:AI612 H612:K612 N612:O612 Q612:T612" name="区域2_6_4_2_1"/>
    <protectedRange sqref="AJ612" name="区域2_6_1_1_1_1_1"/>
    <protectedRange sqref="AJ426" name="区域2_2_5"/>
    <protectedRange sqref="O621:P621" name="区域2_1_1_4_3"/>
    <protectedRange sqref="O621:P621" name="区域2_11_1_1_1_5"/>
    <protectedRange sqref="L621:M621" name="区域2_19_1_5"/>
    <protectedRange sqref="W621:X621" name="区域2_1_1_1_1_1_4_1"/>
    <protectedRange sqref="V623" name="区域2_5_25"/>
    <protectedRange sqref="J623:K623" name="区域2_9_13" securityDescriptor=""/>
    <protectedRange sqref="AE623 AB623 O623" name="区域2_1_1_4_16"/>
    <protectedRange sqref="O623:P623" name="区域2_11_1_1_1_21"/>
    <protectedRange sqref="AK623 AB623:AE623 G623 W623:X623" name="区域2_1_1_1_1_1_17"/>
    <protectedRange sqref="L623:M623 AI623" name="区域2_19_1_14"/>
    <protectedRange sqref="AL608:AL609" name="区域2_1_1_18_1_1_1_1"/>
    <protectedRange sqref="E608:F608" name="填写区域1"/>
    <protectedRange sqref="H620" name="区域2_9_4" securityDescriptor=""/>
    <protectedRange sqref="AF620:AG620 N619:N620 J620:K620 AA619:AA620 R620:U620 AI619:AI620 C620:D620" name="区域2_14_1" securityDescriptor=""/>
    <protectedRange sqref="AE620 AB619:AB620" name="区域2_1_1_4_10"/>
    <protectedRange sqref="P620" name="区域2_11_1_1_1_8"/>
    <protectedRange sqref="G620 X619:X620 AB620:AE620 AK619:AK620" name="区域2_1_1_1_1_1_5"/>
    <protectedRange sqref="L620:M620" name="区域2_19_1_6"/>
    <protectedRange sqref="L616:M616 P616 Y616" name="区域2_11_23_2"/>
    <protectedRange sqref="G616 W616:X616 AB616:AE616 AK616:AL616" name="区域2_1_1_27_1"/>
    <protectedRange sqref="U616:V616" name="区域2_5_60_1"/>
    <protectedRange sqref="AF616:AI616 T616 D616 H616 J616:K616 N616 Q616 Z616:AA616" name="区域2_6_3_2"/>
    <protectedRange sqref="AJ608" name="填写内容H到Y_1"/>
    <protectedRange sqref="AR562:AR567" name="允许编辑_2_3_3_4"/>
    <protectedRange sqref="AR550:AR552" name="允许编辑_2_3_3_5"/>
    <protectedRange sqref="E61 J63 E63" name="区域2_4_5"/>
    <protectedRange sqref="L63:M63 O63:P63 Y61 Y63" name="区域2_11_12"/>
    <protectedRange sqref="Q63" name="区域2_12_3"/>
    <protectedRange sqref="O63 G63:I63 R61:T61 W63:X63 AB63:AE63 AK63 K63 H61:I61 C61 R63:T63 C63" name="区域2_1_1_7"/>
    <protectedRange sqref="D61 Z61:Z63 D63" name="区域2_2_1_8"/>
    <protectedRange sqref="U63:V63 V61" name="区域2_5_11"/>
    <protectedRange sqref="AB61 N61 O61:O62 AE61 N63" name="区域2_1_1_4_7"/>
    <protectedRange sqref="U61" name="区域2_5_4_2"/>
    <protectedRange sqref="J61" name="区域2_5_2_1_1"/>
    <protectedRange sqref="K61 N61 AF61:AG62 N63" name="区域2_4_2_1_1_1"/>
    <protectedRange sqref="L61:M61 O61:P61" name="区域2_11_1_1_1_7"/>
    <protectedRange sqref="G61 W61:X61 AB61:AE61 AK61" name="区域2_1_1_1_1_1_7"/>
    <protectedRange sqref="AI61" name="区域2_1_1_1_1_1_1_1"/>
    <protectedRange sqref="AL61 AL63" name="区域2_1_1_1_1_1_2_1"/>
    <protectedRange sqref="E70" name="区域2_4_9"/>
    <protectedRange sqref="G70" name="区域2_1_1_1_1_1_8"/>
    <protectedRange sqref="H70" name="区域2_1_1_4_2_1"/>
    <protectedRange sqref="J70" name="区域2_4_6_2_1_1"/>
    <protectedRange sqref="L70:P70" name="区域2_11_6_1_1_1"/>
    <protectedRange sqref="E70 W70:Y70 AA70:AL70 I70 R70:T70" name="区域2_1_1_6_1_1_1"/>
    <protectedRange sqref="K70 C70:D70 Z70" name="区域2_2_1_6_1_1_1"/>
    <protectedRange sqref="U70:V70" name="区域2_5_6_1_1_1"/>
    <protectedRange sqref="D633" name="区域2_4_10"/>
    <protectedRange sqref="M633 P633:Q633" name="区域2_11_20"/>
    <protectedRange sqref="G633" name="区域2_1_1_14"/>
    <protectedRange sqref="L633" name="区域2_21_1"/>
    <protectedRange sqref="AM633" name="区域2_1_1_1_9"/>
    <protectedRange sqref="AA618 H618" name="区域2_9_3" securityDescriptor=""/>
    <protectedRange sqref="AI618 AF618:AG618 N618 J618:K618 R618:U618 C618:D618 C619" name="区域2_14_2" securityDescriptor=""/>
    <protectedRange sqref="AE618 AB618" name="区域2_1_1_4_12"/>
    <protectedRange sqref="P618" name="区域2_11_1_1_1_10"/>
    <protectedRange sqref="AB618:AE618 X618 G618 AK618" name="区域2_1_1_1_1_1_9"/>
    <protectedRange sqref="L618:M618" name="区域2_19_1_7"/>
    <protectedRange sqref="AL618" name="区域2_1_1_1_1_1_2_2"/>
    <protectedRange sqref="H619" name="区域2_9_5" securityDescriptor=""/>
    <protectedRange sqref="AI619 AF619:AG619 N619 J619:K619 AA619 D619 R619:U619" name="区域2_14_3" securityDescriptor=""/>
    <protectedRange sqref="AE619 AB619" name="区域2_1_1_4_13"/>
    <protectedRange sqref="P619" name="区域2_11_1_1_1_11"/>
    <protectedRange sqref="AB619:AE619 X619 G619 AK619" name="区域2_1_1_1_1_1_10"/>
    <protectedRange sqref="L619:M619" name="区域2_19_1_8"/>
    <protectedRange sqref="AL619" name="区域2_1_1_1_1_1_2_3"/>
    <protectedRange sqref="AJ82" name="区域2_1_1_6_2_1_1"/>
    <protectedRange sqref="Y464" name="区域2_4_11"/>
    <protectedRange sqref="Y455:Y457 Y470 Y461:Y462 L455:M470 O455:P470" name="区域2_11_19"/>
    <protectedRange sqref="Q458:Q460 Q463:Q465 AB455:AE470 W455:X470" name="区域2_1_1_18"/>
    <protectedRange sqref="Z455:Z459 AJ460 Y460:Z460 Z461:Z470" name="区域2_2_1_13"/>
    <protectedRange sqref="U455:V470" name="区域2_5_2"/>
    <protectedRange sqref="AA455:AA457 Y458:AA458 AF455:AJ459 AA459 Y459 Z460:AA460 AF460:AI460 Y463 Y465:AA469 AA470 AA461:AA464 AF461:AJ470 D455:D470 R455:T470" name="区域2_2_2"/>
    <protectedRange sqref="AL455:AL470" name="区域2_1_1_1_2"/>
    <protectedRange sqref="C455:C470" name="区域2_2_3_3"/>
    <protectedRange sqref="E470 E461" name="区域2_4_12"/>
    <protectedRange sqref="E455 E462" name="区域2_1_1_18_2"/>
    <protectedRange sqref="E459:E460 E463:E467" name="区域2_2_6"/>
    <protectedRange sqref="F458:F460 F463:F466" name="区域2_2_13"/>
    <protectedRange sqref="N455:N470" name="区域2_2_14"/>
    <protectedRange sqref="Q455:Q457 Q466:Q470 Q461:Q462" name="区域2_1_1_23"/>
    <protectedRange sqref="Q406 AB406:AE406" name="区域2_1_1_24"/>
    <protectedRange sqref="U406:V406" name="区域2_5_9"/>
    <protectedRange sqref="E406:F406 R406:T406" name="区域2_2_9"/>
    <protectedRange sqref="G406" name="区域2_1_1_17_1_1_1"/>
    <protectedRange sqref="C406" name="区域2_2_3_2"/>
    <protectedRange sqref="E406:F406" name="区域2_2_2_1"/>
    <protectedRange sqref="Y406" name="区域2_4_11_1"/>
    <protectedRange sqref="Z406" name="区域2_2_1_13_1"/>
    <protectedRange sqref="AA406" name="区域2_2_9_1"/>
    <protectedRange sqref="AF406" name="区域2_2_10"/>
    <protectedRange sqref="AG406:AH406" name="区域2_2_11"/>
    <protectedRange sqref="AI406:AJ406" name="区域2_2_12"/>
    <protectedRange sqref="W407:X407" name="区域2_1_1_25"/>
    <protectedRange sqref="U407:V407" name="区域2_5_18"/>
    <protectedRange sqref="G407" name="区域2_1_1_17_1_1_2"/>
    <protectedRange sqref="C407" name="区域2_2_3_2_1"/>
    <protectedRange sqref="Y407" name="区域2_4_11_2"/>
    <protectedRange sqref="Z407" name="区域2_2_1_13_2"/>
    <protectedRange sqref="AA407" name="区域2_2_9_2"/>
    <protectedRange sqref="AF407" name="区域2_2_10_1"/>
    <protectedRange sqref="AG407:AH407" name="区域2_2_11_1"/>
    <protectedRange sqref="AI407:AJ407" name="区域2_2_12_1"/>
    <protectedRange sqref="E407:F407" name="区域2_2_15_1"/>
    <protectedRange sqref="Q452" name="区域2_1_1_27"/>
    <protectedRange sqref="U452:V453" name="区域2_5_19"/>
    <protectedRange sqref="G452:G453" name="区域2_1_1_17_1_1_3"/>
    <protectedRange sqref="C452:C453" name="区域2_2_3_2_2"/>
    <protectedRange sqref="E452:F453" name="区域2_2_2_2"/>
    <protectedRange sqref="Y452:Y453" name="区域2_4_11_3"/>
    <protectedRange sqref="Z452:Z453" name="区域2_2_1_13_3"/>
    <protectedRange sqref="AA452:AA453" name="区域2_2_9_3"/>
    <protectedRange sqref="AF452:AF453" name="区域2_2_10_2"/>
    <protectedRange sqref="AG452:AH453" name="区域2_2_11_2"/>
    <protectedRange sqref="AI452:AJ453" name="区域2_2_12_2"/>
    <protectedRange sqref="G166" name="区域2_1_1_1_1_1_4"/>
    <protectedRange sqref="AA166:AB166 AD166 C166:F166 Q166:T166 J166:K166 W166 AF166:AI166" name="区域2_1_4_9"/>
    <protectedRange sqref="Y166" name="区域2_4_4_3"/>
    <protectedRange sqref="L166:M166 P166" name="区域2_11_5_7"/>
    <protectedRange sqref="AE166 X166 AC166" name="区域2_1_1_6_2"/>
    <protectedRange sqref="Z166" name="区域2_2_1_4_1"/>
    <protectedRange sqref="U166:V166" name="区域2_5_6_3"/>
    <protectedRange sqref="N166:O166 I166" name="区域2_1_4_7_1"/>
    <protectedRange sqref="H166" name="区域2_8_2_3_1"/>
    <protectedRange sqref="C291:D292" name="区域2_1_4_10"/>
    <protectedRange sqref="X291:X292 G291" name="区域2_1_1_6_10"/>
    <protectedRange sqref="W291:W292 AF291:AJ292" name="区域2_1_4_4_2"/>
    <protectedRange sqref="X291:X292" name="区域2_1_1_6_8_1"/>
    <protectedRange sqref="AF291:AJ292" name="区域2_1_4_4_1_1"/>
    <protectedRange sqref="AE291:AE292" name="区域2_1_1_6_6_1_1"/>
    <protectedRange sqref="AD291:AD292 AA291:AB292 C291:F292 J291:K292 AF291:AJ292 O291:T292" name="区域2_1_11_2"/>
    <protectedRange sqref="L291:M292 P291:P292" name="区域2_11_15_3"/>
    <protectedRange sqref="AK291:AL292 AE291:AE292 X291:Y292 AC291:AC292" name="区域2_1_1_17_3"/>
    <protectedRange sqref="Z291:Z292" name="区域2_2_1_8_1_1"/>
    <protectedRange sqref="U291:V292" name="区域2_5_14_1_2"/>
    <protectedRange sqref="G292" name="区域2_1_1_17_1_1_4"/>
    <protectedRange sqref="I291:I292 N291:N292" name="区域2_1_13_2_1"/>
    <protectedRange sqref="H291:H292" name="区域2_8_8_2_1"/>
    <protectedRange sqref="W94:W95" name="区域2_1_4_11"/>
    <protectedRange sqref="L94:M95" name="区域2_11_5_8"/>
    <protectedRange sqref="X94:X95" name="区域2_1_1_6_8"/>
    <protectedRange sqref="U94:V95" name="区域2_5_6_4"/>
    <protectedRange sqref="AL94:AL95" name="区域2_1_1_6_1_3"/>
    <protectedRange sqref="I94:K95" name="区域2_1_4_1_2"/>
    <protectedRange sqref="P94:P95" name="区域2_11_5_1_2"/>
    <protectedRange sqref="I94:K95" name="区域2_1_4_1_1_2"/>
    <protectedRange sqref="P94:P95" name="区域2_11_5_1_1_2"/>
    <protectedRange sqref="I94:K95" name="区域2_1_4_1_1_1_1"/>
    <protectedRange sqref="P94:P95" name="区域2_11_5_1_1_1_2"/>
    <protectedRange sqref="I94:K95 Q94:T95 N94:N95" name="区域2_1_6_1"/>
    <protectedRange sqref="L94:M95 P94:P95" name="区域2_11_11_1"/>
    <protectedRange sqref="H94:H95" name="区域2_8_1_4"/>
    <protectedRange sqref="C94:F94" name="区域2_16_1"/>
    <protectedRange sqref="G94" name="区域2_1_1_6_11"/>
    <protectedRange sqref="C94:F94" name="区域2_16_1_2"/>
    <protectedRange sqref="C95:F95" name="区域2_16_1_1"/>
    <protectedRange sqref="C95:F95" name="区域2_1_4_10_1"/>
    <protectedRange sqref="Y94" name="区域2_1_1_6_2_2_1"/>
    <protectedRange sqref="Y95" name="区域2_1_1_6_2_2_2"/>
    <protectedRange sqref="AJ16" name="区域2_4_2_2"/>
    <protectedRange sqref="AB235:AE282" name="区域2_1_1_37"/>
    <protectedRange sqref="G236:G237 G239:G240 G242:G243 G245:G246 G248:G249 G251:G252 G254:G255 G257:G258 G260:G261 G263:G264 G266:G267 G269:G270 G272:G273 G275:G276 G278:G279 G281:G282" name="区域2_1_1_6_2_2"/>
    <protectedRange sqref="G235 G238 G241 G244 G247 G250 G253 G256 G259 G262 G265 G268 G271 G274 G277 G280" name="区域2_1_1_17_1_1_1_1"/>
    <protectedRange sqref="AB293:AE300" name="区域2_1_1_37_1"/>
    <protectedRange sqref="G294:G295 G297:G298 G300" name="区域2_1_1_6_2_4"/>
    <protectedRange sqref="G293 G296 G299" name="区域2_1_1_17_1_1_1_2"/>
    <protectedRange sqref="AB316:AE350" name="区域2_1_1_37_2"/>
    <protectedRange sqref="G316 G318:G319 G321:G322 G324:G325 G327:G328 G330:G331 G333:G334 G336:G337 G339:G340 G342:G343 G345:G346 G348:G349 G354:G355 G357:G358 G360:G361 G351:G352" name="区域2_1_1_6_2_5"/>
    <protectedRange sqref="AD351:AD361 AB351:AB361" name="区域2_1_13_1_2"/>
    <protectedRange sqref="AC351:AC361 AE351:AE361" name="区域2_1_1_17_1_2"/>
    <protectedRange sqref="C352 C354 C356 C358 C360 J351:K361" name="区域2_1_13_1_1_1"/>
    <protectedRange sqref="L351:M361" name="区域2_11_16_1_1_1"/>
    <protectedRange sqref="G317 G320 G323 G326 G329 G332 G335 G338 G341 G344 G347 G353 G356 G359 G350" name="区域2_1_1_17_1_1_1_3"/>
    <protectedRange sqref="C351 C353 C355 C357 C359 C361" name="区域2_1_13_2_1_1"/>
    <protectedRange sqref="O348:O350 L348:M350 Y348:Y350" name="区域2_11_10_1"/>
    <protectedRange sqref="W348:W349 X348:X350 AK348:AL361" name="区域2_1_1_13_1_1"/>
    <protectedRange sqref="U348:V350" name="区域2_5_10_1_1"/>
    <protectedRange sqref="Z348:Z350" name="区域2_6_5_1"/>
    <protectedRange sqref="O179" name="区域2_1_4_17"/>
    <protectedRange sqref="E178 G178:G179" name="区域2_1_1_6_2_6"/>
    <protectedRange sqref="W178" name="区域2_1_4_4_3"/>
    <protectedRange sqref="N178:O178 N179:N180" name="区域2_1_11_2_1"/>
    <protectedRange sqref="AA179:AB179 AF179:AI179 W179 J179:K179 C179:F179 Y179 AD179 Q179:T179" name="区域2_1_27_1"/>
    <protectedRange sqref="Y179" name="区域2_4_18_1"/>
    <protectedRange sqref="L179:M179 P179" name="区域2_11_22_1"/>
    <protectedRange sqref="X179 AE179 AC179 AK179" name="区域2_1_1_29_1"/>
    <protectedRange sqref="Z179" name="区域2_2_1_11_1_1"/>
    <protectedRange sqref="U179:V179" name="区域2_5_21_1"/>
    <protectedRange sqref="H178:H180" name="区域2_8_7_2_1"/>
    <protectedRange sqref="D178 R178:T178" name="区域2_1_13_1_1_1_1"/>
    <protectedRange sqref="L178:M178" name="区域2_11_16_1_1_1_1"/>
    <protectedRange sqref="X178 G180" name="区域2_1_1_17_1_1_1_4"/>
    <protectedRange sqref="U178:V178" name="区域2_5_14_1_1_1"/>
    <protectedRange sqref="AK643" name="区域2_1_1_7_3"/>
    <protectedRange sqref="AK559 AK644" name="区域2_4_3_1"/>
    <protectedRange sqref="AK559 AK644" name="区域2_1_1_31"/>
    <protectedRange sqref="AK645" name="区域2_4_2_1_1_1_1"/>
    <protectedRange sqref="AK645" name="区域2_1_1_1_1_1_3_1"/>
    <protectedRange sqref="Q559 Q639:Q645" name="区域2_11_9"/>
    <protectedRange sqref="G559 I639:I645 G639:G645" name="区域2_1_1_11"/>
    <protectedRange sqref="D559 D639:D645" name="区域2_4_1_1"/>
    <protectedRange sqref="M559:N559 M639:N645" name="区域2_55"/>
    <protectedRange sqref="O639:O640" name="区域2_11_1_1_1_3_1"/>
    <protectedRange sqref="O641:O642" name="区域2_11_1_1_1_3_2"/>
    <protectedRange sqref="O643:O645" name="区域2_11_1_1_1_3_3"/>
    <protectedRange sqref="AJ423" name="区域2_2_15"/>
    <protectedRange sqref="AJ166" name="区域2_1_4_9_1"/>
    <protectedRange sqref="J629:K629" name="区域2_4_16"/>
    <protectedRange sqref="M629 P629:Q629" name="区域2_11_10"/>
    <protectedRange sqref="G629 N629" name="区域2_1_1_17"/>
    <protectedRange sqref="D629" name="区域2_2_1_11"/>
    <protectedRange sqref="L629" name="区域2_87"/>
    <protectedRange sqref="AM629" name="区域2_1_1_1_9_1"/>
    <protectedRange sqref="Q635" name="区域2_11_15"/>
    <protectedRange sqref="G635 I635" name="区域2_1_1_21"/>
    <protectedRange sqref="L635:M635" name="区域2_55_4"/>
    <protectedRange sqref="D635" name="区域2_4_1_1_1"/>
    <protectedRange sqref="AM635" name="区域2_1_1_1_1_2"/>
    <protectedRange sqref="J384:J385" name="区域2_4_1_9"/>
    <protectedRange sqref="Q384:Q385 L384:M385" name="区域2_11_1_5"/>
    <protectedRange sqref="E384 G384:G385 R384:T384 Y384 W384:X385 AA384:AK384 AA385:AE385 AI385 AK385" name="区域2_1_1_1_5"/>
    <protectedRange sqref="Z384 K384:K385 C384:D385" name="区域2_2_1_17"/>
    <protectedRange sqref="U384:V385" name="区域2_5_1_5"/>
    <protectedRange sqref="AL384:AL385" name="区域2_1_1_1_1_7"/>
    <protectedRange sqref="I384:I385" name="区域2_2_7_1"/>
    <protectedRange sqref="H384:H385" name="区域2_7_3_1"/>
    <protectedRange sqref="O384:O385" name="区域2_11_27_1"/>
    <protectedRange sqref="X394:X396" name="区域2_1_1_1_7"/>
    <protectedRange sqref="C394:D394" name="区域2_2_1_18"/>
    <protectedRange sqref="E394" name="区域2_4_2_4"/>
    <protectedRange sqref="Y394 L394:M396 AB394:AE396" name="区域2_11_2_2"/>
    <protectedRange sqref="J394:K394 K395:K396 Q394:T394 Q395:Q396 W394:W396" name="区域2_12_1_3"/>
    <protectedRange sqref="AK394:AK395 AL395 AK396:AL396 G394:G396" name="区域2_1_1_2_4"/>
    <protectedRange sqref="Z394" name="区域2_2_1_1_4"/>
    <protectedRange sqref="U394:V396" name="区域2_5_2_4"/>
    <protectedRange sqref="AL394" name="区域2_1_1_1_2_5"/>
    <protectedRange sqref="I394" name="区域2_2_7_2"/>
    <protectedRange sqref="H394:H396" name="区域2_7_3_2"/>
    <protectedRange sqref="O394:O396" name="区域2_11_27_2"/>
    <protectedRange sqref="L88:M88 O88:P88" name="区域2_11_22"/>
    <protectedRange sqref="J88" name="区域2_4_6_3_1_1"/>
    <protectedRange sqref="R88:T88 W88 AA88:AL88 Y88" name="区域2_1_1_6_2_1_2"/>
    <protectedRange sqref="C88:D88 K88 Z88" name="区域2_2_1_6_2_1"/>
    <protectedRange sqref="U88:V88" name="区域2_5_6_2_1"/>
    <protectedRange sqref="N84:O85 Z84:AA85 F84:F85 AF84:AK85 R84:T85 J84:K85" name="区域2_4_3"/>
    <protectedRange sqref="O84:P85 L84:M85 Y84:Y85" name="区域2_11_24"/>
    <protectedRange sqref="Q84:Q85" name="区域2_12_4"/>
    <protectedRange sqref="W84:X85 G84:I85 AB84:AE85" name="区域2_1_1_28"/>
    <protectedRange sqref="U84:V85" name="区域2_5_20"/>
    <protectedRange sqref="AL84:AL85" name="区域2_1_1_6_2_1_3"/>
    <protectedRange sqref="V13" name="区域2_5_21"/>
    <protectedRange sqref="N13:O13 AB13" name="区域2_1_1_4_5"/>
    <protectedRange sqref="N13" name="区域2_4_2_1_1_2"/>
    <protectedRange sqref="O13" name="区域2_11_1_1_1_4"/>
    <protectedRange sqref="AB13 AK13 W13 G13" name="区域2_1_1_1_1_1_11"/>
    <protectedRange sqref="C13" name="区域2_1_1_5_2"/>
    <protectedRange sqref="C13" name="区域2_4_2_1_2_2"/>
    <protectedRange sqref="Y13" name="区域2_11_1_1_2_1"/>
    <protectedRange sqref="AL13" name="区域2_1_1_1_1_1_2_5"/>
    <protectedRange sqref="H13" name="区域2_1_1_2_2_1_1"/>
    <protectedRange sqref="G514" name="区域2_1_1_1_1_1_12"/>
    <protectedRange sqref="AL514" name="区域2_1_1_1_1_1_2_6"/>
    <protectedRange sqref="V514" name="区域2_5_3_2"/>
    <protectedRange sqref="O514 AB514 AE514" name="区域2_1_1_4_1_2"/>
    <protectedRange sqref="AJ514" name="区域2_4_2_1_1_1_2"/>
    <protectedRange sqref="O514:P514" name="区域2_11_1_1_1_1_1"/>
    <protectedRange sqref="W514:X514 AB514:AE514 AJ514:AK514" name="区域2_1_1_1_1_1_1_2"/>
    <protectedRange sqref="L514:M514" name="区域2_19_1_2"/>
    <protectedRange sqref="C514" name="区域2_13_1_1"/>
    <protectedRange sqref="G283" name="区域2_1_1_1_1_1_11_1"/>
    <protectedRange sqref="N283:O283 AA283:AD283 AF283:AJ283 W283 C283:F283 K283 Q283:T283" name="区域2_1_4_17_1"/>
    <protectedRange sqref="Y283" name="区域2_4_4_2"/>
    <protectedRange sqref="P283 L283:M283" name="区域2_11_5_8_1"/>
    <protectedRange sqref="AE283 AC283 AK283 X283" name="区域2_1_1_6_2_7"/>
    <protectedRange sqref="Z283" name="区域2_2_1_4_2"/>
    <protectedRange sqref="U283:V283" name="区域2_5_6_3_1"/>
    <protectedRange sqref="H283" name="区域2_8_16_2_2"/>
    <protectedRange sqref="G284" name="区域2_1_1_37_3"/>
    <protectedRange sqref="N284:O284 AA284:AD284 AF284:AJ284 W284 C284:F284 K284 Q284:T284" name="区域2_1_4_17_2"/>
    <protectedRange sqref="Y284" name="区域2_4_4_2_1"/>
    <protectedRange sqref="P284 L284:M284" name="区域2_11_5_8_2"/>
    <protectedRange sqref="AE284 AC284 AK284 X284" name="区域2_1_1_6_2_8"/>
    <protectedRange sqref="Z284" name="区域2_2_1_4_2_1"/>
    <protectedRange sqref="U284:V284" name="区域2_5_6_3_2"/>
    <protectedRange sqref="H284" name="区域2_8_16_2_2_1"/>
    <protectedRange sqref="G285" name="区域2_1_1_37_4"/>
    <protectedRange sqref="N285:O285" name="区域2_1_4_17_3"/>
    <protectedRange sqref="X285" name="区域2_1_1_6_2_9"/>
    <protectedRange sqref="H285" name="区域2_8_16_2_2_2"/>
    <protectedRange sqref="G286" name="区域2_1_1_1_1_1_11_2"/>
    <protectedRange sqref="N286:O286" name="区域2_1_4_17_4"/>
    <protectedRange sqref="X286" name="区域2_1_1_6_2_10"/>
    <protectedRange sqref="H286" name="区域2_8_16_2_2_3"/>
    <protectedRange sqref="J287:K287 AA287:AD287 AF287:AJ287 C287:F287 W287 Q287 T287 N287:O287" name="区域2_1_4_17_5"/>
    <protectedRange sqref="L287:M287 P287" name="区域2_11_5_8_3"/>
    <protectedRange sqref="AE287 AC287 AK287 G287 X287:Y287" name="区域2_1_1_6_2_11"/>
    <protectedRange sqref="Z287" name="区域2_2_1_4_2_2"/>
    <protectedRange sqref="U287:V287" name="区域2_5_6_3_3"/>
    <protectedRange sqref="I287" name="区域2_1_13_2_1_2"/>
    <protectedRange sqref="H287" name="区域2_8_8_2_1_1"/>
    <protectedRange sqref="J288:K288 AA288:AD288 AF288:AJ288 C288:F288 W288 Q288 T288 N288:O288" name="区域2_1_4_17_6"/>
    <protectedRange sqref="L288:M288 P288" name="区域2_11_5_8_4"/>
    <protectedRange sqref="AE288 AC288 AK288 G288 X288:Y288" name="区域2_1_1_6_2_12"/>
    <protectedRange sqref="Z288" name="区域2_2_1_4_2_3"/>
    <protectedRange sqref="U288:V288" name="区域2_5_6_3_4"/>
    <protectedRange sqref="I288" name="区域2_1_13_2_1_3"/>
    <protectedRange sqref="H288" name="区域2_8_8_2_1_2"/>
    <protectedRange sqref="J289:K289 N289:O289" name="区域2_1_4_17_7"/>
    <protectedRange sqref="L289:M289" name="区域2_11_5_8_5"/>
    <protectedRange sqref="X289" name="区域2_1_1_6_2_13"/>
    <protectedRange sqref="G289" name="区域2_1_1_17_1_1_1_5"/>
    <protectedRange sqref="I289" name="区域2_1_13_2_1_4"/>
    <protectedRange sqref="H289" name="区域2_8_8_2_1_3"/>
    <protectedRange sqref="J290:K290 N290:O290" name="区域2_1_4_17_8"/>
    <protectedRange sqref="L290:M290" name="区域2_11_5_8_6"/>
    <protectedRange sqref="G290 X290" name="区域2_1_1_6_2_14"/>
    <protectedRange sqref="I290" name="区域2_1_13_2_1_5"/>
    <protectedRange sqref="H290" name="区域2_8_8_2_1_4"/>
    <protectedRange sqref="G231" name="区域2_1_1_6_2_15"/>
    <protectedRange sqref="C231:F231 J231:K231 W231 T231 AA231:AD231 Q231 AF231:AK231 AM231 N231:N234" name="区域2_1_10_4_1_1_1"/>
    <protectedRange sqref="P231 Y231" name="区域2_11_13_3_1_1_1"/>
    <protectedRange sqref="AC231 X231:Y231 L231:M231 AE231 AK231 AM231" name="区域2_1_1_15_3_1_1_1"/>
    <protectedRange sqref="Z231" name="区域2_2_1_10_3_1_1_1"/>
    <protectedRange sqref="U231:V231" name="区域2_5_13_3_1_1_1"/>
    <protectedRange sqref="AK231 AM231" name="区域2_1_1_1_2_3_1_2"/>
    <protectedRange sqref="U231:V231" name="区域2_5_1_2_2_1_1_1"/>
    <protectedRange sqref="R231:S231" name="区域2_1_7_8_1"/>
    <protectedRange sqref="G232" name="区域2_1_1_6_2_16"/>
    <protectedRange sqref="C232:F232 J232:K232 W232 T232 AA232:AD232 Q232 AF232:AK232 AM232" name="区域2_1_10_4_1_1_2"/>
    <protectedRange sqref="P232 Y232" name="区域2_11_13_3_1_1_2"/>
    <protectedRange sqref="AC232 X232:Y232 L232:M232 AE232 AK232 AM232" name="区域2_1_1_15_3_1_1_2"/>
    <protectedRange sqref="Z232" name="区域2_2_1_10_3_1_1_2"/>
    <protectedRange sqref="U232:V232" name="区域2_5_13_3_1_1_2"/>
    <protectedRange sqref="AK232 AM232" name="区域2_1_1_1_2_3_1_3"/>
    <protectedRange sqref="U232:V232" name="区域2_5_1_2_2_1_1_2"/>
    <protectedRange sqref="R232:S232" name="区域2_1_7_8_1_1"/>
    <protectedRange sqref="G233" name="区域2_1_1_6_2_17"/>
    <protectedRange sqref="C233:F233 J233:K233 W233 T233 AA233:AD233 Q233 AF233:AK233 AM233 E234" name="区域2_1_10_4_1_1_3"/>
    <protectedRange sqref="P233 Y233" name="区域2_11_13_3_1_1_3"/>
    <protectedRange sqref="AC233 X233:Y233 L233:M233 AE233 AK233 AM233" name="区域2_1_1_15_3_1_1_3"/>
    <protectedRange sqref="Z233" name="区域2_2_1_10_3_1_1_3"/>
    <protectedRange sqref="U233:V233" name="区域2_5_13_3_1_1_3"/>
    <protectedRange sqref="AK233 AM233" name="区域2_1_1_1_2_3_1_4"/>
    <protectedRange sqref="U233:V233" name="区域2_5_1_2_2_1_1_3"/>
    <protectedRange sqref="R233:S233" name="区域2_1_7_8_1_2"/>
    <protectedRange sqref="G234" name="区域2_1_1_6_2_18"/>
    <protectedRange sqref="C234:D234 J234:K234 W234 T234 AA234:AD234 Q234 AF234:AK234 AM234 F234" name="区域2_1_10_4_1_1_4"/>
    <protectedRange sqref="P234 Y234" name="区域2_11_13_3_1_1_4"/>
    <protectedRange sqref="AC234 X234:Y234 L234:M234 AE234 AK234 AM234" name="区域2_1_1_15_3_1_1_4"/>
    <protectedRange sqref="Z234" name="区域2_2_1_10_3_1_1_4"/>
    <protectedRange sqref="U234:V234" name="区域2_5_13_3_1_1_4"/>
    <protectedRange sqref="AK234 AM234" name="区域2_1_1_1_2_3_1_5"/>
    <protectedRange sqref="U234:V234" name="区域2_5_1_2_2_1_1_4"/>
    <protectedRange sqref="R234:S234" name="区域2_1_7_8_1_3"/>
    <protectedRange sqref="AM190" name="区域2_1_10_4_1_1_5"/>
    <protectedRange sqref="AM190" name="区域2_1_1_15_3_1_1_5"/>
    <protectedRange sqref="AM190" name="区域2_1_1_1_2_3_1_6"/>
    <protectedRange sqref="A190" name="区域2_3_20"/>
    <protectedRange sqref="G190" name="区域2_1_1_6_5_2"/>
    <protectedRange sqref="I190" name="区域2_1_3_3"/>
    <protectedRange sqref="J190:K190 N190 W190 T190 C190:F190 AA190:AD190 AF190:AL190 Q190" name="区域2_1_10_4_1_2"/>
    <protectedRange sqref="P190 Y190" name="区域2_11_13_3_1_2"/>
    <protectedRange sqref="AC190 AK190:AL190 X190:Y190 L190:M190 AE190" name="区域2_1_1_15_3_1_2"/>
    <protectedRange sqref="Z190" name="区域2_2_1_10_3_1_2"/>
    <protectedRange sqref="U190:V190" name="区域2_5_13_3_1_2"/>
    <protectedRange sqref="AK190:AL190" name="区域2_1_1_1_2_3_1_1_1"/>
    <protectedRange sqref="U190:V190" name="区域2_5_1_2_2_1_2"/>
    <protectedRange sqref="H190" name="区域2_8_1_2_3_1_2"/>
    <protectedRange sqref="R190:S190" name="区域2_1_7_4"/>
    <protectedRange sqref="Z62" name="区域2_2_1_8_11"/>
    <protectedRange sqref="O62" name="区域2_1_1_4_7_3"/>
    <protectedRange sqref="AF62:AG62" name="区域2_4_2_1_1_1_6"/>
    <protectedRange sqref="A62" name="区域2_3_1"/>
    <protectedRange sqref="R62:T62 K62" name="区域2_4_2_1_1_14"/>
    <protectedRange sqref="O62:P62" name="区域2_11_1_1_1_23"/>
    <protectedRange sqref="AC62" name="区域2_1_1_8_2"/>
    <protectedRange sqref="P62" name="区域2_1_1_4_1_1_1"/>
    <protectedRange sqref="P62" name="区域2_11_1_1_1_1_2"/>
    <protectedRange sqref="J62" name="区域2_4_4_1_1"/>
    <protectedRange sqref="O62 L62:M62 Q62" name="区域2_11_7_1"/>
    <protectedRange sqref="G62:I62 E62 N62 W62:Y62 AB62:AE62 AJ62:AM62" name="区域2_1_1_7_2_1"/>
    <protectedRange sqref="F62 C62:D62 R62:T62 K62 Z62:AA62 AF62:AI62" name="区域2_2_1_3_1_1"/>
    <protectedRange sqref="U62:V62" name="区域2_5_8_4"/>
    <protectedRange sqref="D609:F609" name="填写内容A到F_1"/>
    <protectedRange sqref="Y609:Z609" name="填写内容H到Y_4"/>
    <protectedRange sqref="U81:V81" name="区域2_5_24"/>
    <protectedRange sqref="AM81" name="区域2_1_1_1_10_1"/>
    <protectedRange sqref="H81" name="区域2_1_1_4_2_3"/>
    <protectedRange sqref="I81" name="区域2_1_1_6_1_1_6"/>
    <protectedRange sqref="A24:A27" name="区域2_3_2"/>
    <protectedRange sqref="Z24:AA24 C24:F27 J24:K27 N24:N27 Q24:T27 AA25:AA27 AF24:AI27" name="区域2_4_2"/>
    <protectedRange sqref="L24:M27 O24:P27 AJ24:AJ27" name="区域2_11_25"/>
    <protectedRange sqref="AK24:AK27 AB24:AE27 W24:Y27 Z25:Z27 G24:I27" name="区域2_1_1_29"/>
    <protectedRange sqref="U24:V27" name="区域2_5_1"/>
    <protectedRange sqref="AL24:AL27" name="区域2_1_1_1_3"/>
    <protectedRange sqref="A393" name="区域2_3_3"/>
    <protectedRange sqref="G393" name="区域2_1_1_17_1_1_5"/>
    <protectedRange sqref="Y393 O393 L393:M393" name="区域2_11_27_3"/>
    <protectedRange sqref="AK393:AL393" name="区域2_1_1_2_1"/>
    <protectedRange sqref="Z393" name="区域2_2_1_2_2"/>
    <protectedRange sqref="U393:V393" name="区域2_5_3_3"/>
    <protectedRange sqref="I393" name="区域2_2_7_3"/>
    <protectedRange sqref="H393" name="区域2_7_3_3"/>
    <protectedRange sqref="A386:A389" name="区域2_3_4"/>
    <protectedRange sqref="G386:G389" name="区域2_1_1_6_12"/>
    <protectedRange sqref="AH388" name="区域2_6_4_3"/>
    <protectedRange sqref="AJ388" name="区域2_4_2_1_1_4_1"/>
    <protectedRange sqref="AJ388" name="区域2_1_1_1_1_1_6_1"/>
    <protectedRange sqref="O386:O389 L386:M389 Y386:Y389" name="区域2_11_27_4"/>
    <protectedRange sqref="AK386:AL389" name="区域2_1_1_2_5"/>
    <protectedRange sqref="Z386:Z389" name="区域2_2_1_2_3"/>
    <protectedRange sqref="U386:V389" name="区域2_5_3_4"/>
    <protectedRange sqref="D386:D389 I386:I389" name="区域2_2_7_4"/>
    <protectedRange sqref="H386:H389" name="区域2_7_3_4"/>
    <protectedRange sqref="A626:A627" name="区域2_3_5"/>
    <protectedRange sqref="J626:K627" name="区域2_4_19"/>
    <protectedRange sqref="D627 M626:M627 P626:Q627" name="区域2_11_26"/>
    <protectedRange sqref="G626:G627 N626:N627" name="区域2_1_1_30"/>
    <protectedRange sqref="D626" name="区域2_2_1_12"/>
    <protectedRange sqref="L626" name="区域2_87_1_1"/>
    <protectedRange sqref="L627" name="区域2_87_2"/>
    <protectedRange sqref="AM626:AM627" name="区域2_1_1_1_9_2"/>
    <protectedRange sqref="AK189" name="区域2_1_1_2_6"/>
    <protectedRange sqref="AM189" name="区域2_1_10_4_1_1_5_1"/>
    <protectedRange sqref="AM189" name="区域2_1_1_15_3_1_1_5_1"/>
    <protectedRange sqref="AM189" name="区域2_1_1_1_2_3_1_6_1"/>
    <protectedRange sqref="A189" name="区域2_3_20_1"/>
    <protectedRange sqref="G189" name="区域2_1_1_6_5_2_1"/>
    <protectedRange sqref="I189" name="区域2_1_3_3_1"/>
    <protectedRange sqref="J189:K189 N189 W189 T189 C189:F189 AA189:AD189 Q189 AF189:AJ189 AL189" name="区域2_1_10_4_1_2_1"/>
    <protectedRange sqref="P189 Y189" name="区域2_11_13_3_1_2_1"/>
    <protectedRange sqref="AC189 X189:Y189 L189:M189 AE189 AL189" name="区域2_1_1_15_3_1_2_1"/>
    <protectedRange sqref="Z189" name="区域2_2_1_10_3_1_2_1"/>
    <protectedRange sqref="U189:V189" name="区域2_5_13_3_1_2_1"/>
    <protectedRange sqref="AL189" name="区域2_1_1_1_2_3_1_1_1_1"/>
    <protectedRange sqref="U189:V189" name="区域2_5_1_2_2_1_2_1"/>
    <protectedRange sqref="H189" name="区域2_8_1_2_3_1_2_1"/>
    <protectedRange sqref="R189:S189" name="区域2_1_7_4_1"/>
    <protectedRange sqref="A203" name="区域2_3_6"/>
    <protectedRange sqref="G203" name="区域2_1_1_17_1_1_6"/>
    <protectedRange sqref="I203" name="区域2_1_3_1"/>
    <protectedRange sqref="J203:K203 W203 C203:F203 N203 T203 AA203:AD203 Q203 AF203:AJ203 AL203" name="区域2_1_10_4_1_1"/>
    <protectedRange sqref="Y203 P203" name="区域2_11_13_3_1_1"/>
    <protectedRange sqref="AC203 X203:Y203 AE203 L203:M203 AL203" name="区域2_1_1_15_3_1_1"/>
    <protectedRange sqref="Z203" name="区域2_2_1_10_3_1_1"/>
    <protectedRange sqref="U203:V203" name="区域2_5_13_3_1_1"/>
    <protectedRange sqref="AL203" name="区域2_1_1_1_2_3_1_1"/>
    <protectedRange sqref="U203:V203" name="区域2_5_1_2_2_1_1"/>
    <protectedRange sqref="H203" name="区域2_8_1_2_3_1_1"/>
    <protectedRange sqref="R203:S203" name="区域2_1_7_8_2"/>
    <protectedRange sqref="AK203" name="区域2_1_1_2_7"/>
    <protectedRange sqref="U9:V9" name="区域2_5_24_1"/>
    <protectedRange sqref="AJ9" name="区域2_11_2_5"/>
    <protectedRange sqref="AL9" name="区域2_1_1_1_10_2"/>
    <protectedRange sqref="AF9:AI9" name="区域2_1_1_2_1_1_5"/>
    <protectedRange sqref="O428:P428 L428:M428 Y428" name="区域2_11_1_2"/>
    <protectedRange sqref="AL428 Q428 W428:X428 AB428:AE428" name="区域2_1_1_3_3"/>
    <protectedRange sqref="Z428" name="区域2_2_1_1_3"/>
    <protectedRange sqref="U428:V428" name="区域2_5_1_4"/>
    <protectedRange sqref="R428:T428 D428:F428 I428 N428 AA428 AF428:AK428" name="区域2_2_2_3"/>
    <protectedRange sqref="H428" name="区域2_7_1_1"/>
    <protectedRange sqref="C428" name="区域2_2_3_4"/>
    <protectedRange sqref="G428" name="区域2_1_1_6_1_4"/>
    <protectedRange sqref="AM428" name="区域2_1_1_1_1_6"/>
    <protectedRange sqref="Y385" name="区域2_11_27_3_1"/>
    <protectedRange sqref="Z385" name="区域2_2_1_2_2_1"/>
    <protectedRange sqref="I395:I396" name="区域2_2_7_5"/>
    <protectedRange sqref="Y395:Y396" name="区域2_4_13_1"/>
    <protectedRange sqref="Z395:Z396" name="区域2_2_1_2_5"/>
    <protectedRange sqref="A83" name="区域2_3_7"/>
    <protectedRange sqref="E83:F83 N83 J83:K83" name="区域2_4_17"/>
    <protectedRange sqref="O83:P83 L83:M83 Y83" name="区域2_11_28"/>
    <protectedRange sqref="Q83" name="区域2_12_5"/>
    <protectedRange sqref="O83 G83:I83 AA83 AD83" name="区域2_1_1_32"/>
    <protectedRange sqref="V83" name="区域2_5_22"/>
    <protectedRange sqref="X83 AK83" name="区域2_1_1_1_1_1_13"/>
    <protectedRange sqref="AJ609" name="填写内容H到Y_1_2"/>
  </protectedRanges>
  <autoFilter ref="A2:XFD646" xr:uid="{00000000-0009-0000-0000-000001000000}">
    <filterColumn colId="2">
      <filters>
        <filter val="ABM"/>
      </filters>
    </filterColumn>
    <filterColumn colId="3">
      <filters>
        <filter val="GW,VCU,BMS,MCU"/>
      </filters>
    </filterColumn>
  </autoFilter>
  <mergeCells count="39">
    <mergeCell ref="M1:M2"/>
    <mergeCell ref="AK1:AK2"/>
    <mergeCell ref="A1:A2"/>
    <mergeCell ref="B1:B2"/>
    <mergeCell ref="C1:C2"/>
    <mergeCell ref="D1:D2"/>
    <mergeCell ref="E1:E2"/>
    <mergeCell ref="F1:F2"/>
    <mergeCell ref="G1:G2"/>
    <mergeCell ref="H1:H2"/>
    <mergeCell ref="I1:I2"/>
    <mergeCell ref="J1:J2"/>
    <mergeCell ref="K1:K2"/>
    <mergeCell ref="L1:L2"/>
    <mergeCell ref="N1:N2"/>
    <mergeCell ref="O1:O2"/>
    <mergeCell ref="AG1:AG2"/>
    <mergeCell ref="AH1:AH2"/>
    <mergeCell ref="P1:P2"/>
    <mergeCell ref="Q1:Q2"/>
    <mergeCell ref="R1:R2"/>
    <mergeCell ref="S1:S2"/>
    <mergeCell ref="T1:T2"/>
    <mergeCell ref="AI1:AI2"/>
    <mergeCell ref="AJ1:AJ2"/>
    <mergeCell ref="AM1:AX1"/>
    <mergeCell ref="U1:U2"/>
    <mergeCell ref="V1:V2"/>
    <mergeCell ref="Y1:Y2"/>
    <mergeCell ref="Z1:Z2"/>
    <mergeCell ref="W1:W2"/>
    <mergeCell ref="X1:X2"/>
    <mergeCell ref="AA1:AA2"/>
    <mergeCell ref="AB1:AB2"/>
    <mergeCell ref="AL1:AL2"/>
    <mergeCell ref="AC1:AC2"/>
    <mergeCell ref="AD1:AD2"/>
    <mergeCell ref="AE1:AE2"/>
    <mergeCell ref="AF1:AF2"/>
  </mergeCells>
  <phoneticPr fontId="0" type="noConversion"/>
  <conditionalFormatting sqref="C553 C541 C538 C548 C531:C535 C12 C14 A390:A392 A628:A655 A190:A202 A145:A188 A141:A143 A3:A23 A204:A385 A394:A625 A28:A82 A84:A139">
    <cfRule type="cellIs" dxfId="70" priority="714" stopIfTrue="1" operator="equal">
      <formula>"J"</formula>
    </cfRule>
    <cfRule type="cellIs" dxfId="69" priority="715" stopIfTrue="1" operator="equal">
      <formula>"K"</formula>
    </cfRule>
    <cfRule type="cellIs" dxfId="68" priority="716" stopIfTrue="1" operator="equal">
      <formula>"L"</formula>
    </cfRule>
  </conditionalFormatting>
  <conditionalFormatting sqref="A630:A634 A636:A647 A440 A381:A382 A116 A30 A473:A625 A628">
    <cfRule type="cellIs" dxfId="67" priority="699" stopIfTrue="1" operator="equal">
      <formula>"J"</formula>
    </cfRule>
    <cfRule type="cellIs" dxfId="66" priority="700" stopIfTrue="1" operator="equal">
      <formula>"K"</formula>
    </cfRule>
    <cfRule type="cellIs" dxfId="65" priority="701" stopIfTrue="1" operator="equal">
      <formula>"L"</formula>
    </cfRule>
  </conditionalFormatting>
  <conditionalFormatting sqref="F654:F655 F632:F633 E508:F508 F560:F567 F636:F644 E639:F645 E559:F559 F555:F558 E88:F88">
    <cfRule type="cellIs" dxfId="64" priority="697" stopIfTrue="1" operator="between">
      <formula>"New"</formula>
      <formula>"new"</formula>
    </cfRule>
    <cfRule type="cellIs" dxfId="63" priority="698" stopIfTrue="1" operator="between">
      <formula>"X"</formula>
      <formula>"X"</formula>
    </cfRule>
  </conditionalFormatting>
  <conditionalFormatting sqref="A67:A68 A70:A80 A82 A62 A561 A31:A33 A84:A88">
    <cfRule type="cellIs" dxfId="62" priority="658" stopIfTrue="1" operator="equal">
      <formula>"J"</formula>
    </cfRule>
    <cfRule type="cellIs" dxfId="61" priority="659" stopIfTrue="1" operator="equal">
      <formula>"K"</formula>
    </cfRule>
    <cfRule type="cellIs" dxfId="60" priority="660" stopIfTrue="1" operator="equal">
      <formula>"L"</formula>
    </cfRule>
  </conditionalFormatting>
  <conditionalFormatting sqref="AH562:AH567">
    <cfRule type="cellIs" dxfId="59" priority="198" stopIfTrue="1" operator="equal">
      <formula>"???"</formula>
    </cfRule>
  </conditionalFormatting>
  <conditionalFormatting sqref="A629">
    <cfRule type="cellIs" dxfId="58" priority="107" stopIfTrue="1" operator="equal">
      <formula>"J"</formula>
    </cfRule>
    <cfRule type="cellIs" dxfId="57" priority="108" stopIfTrue="1" operator="equal">
      <formula>"K"</formula>
    </cfRule>
    <cfRule type="cellIs" dxfId="56" priority="109" stopIfTrue="1" operator="equal">
      <formula>"L"</formula>
    </cfRule>
  </conditionalFormatting>
  <conditionalFormatting sqref="A635">
    <cfRule type="cellIs" dxfId="55" priority="104" stopIfTrue="1" operator="equal">
      <formula>"J"</formula>
    </cfRule>
    <cfRule type="cellIs" dxfId="54" priority="105" stopIfTrue="1" operator="equal">
      <formula>"K"</formula>
    </cfRule>
    <cfRule type="cellIs" dxfId="53" priority="106" stopIfTrue="1" operator="equal">
      <formula>"L"</formula>
    </cfRule>
  </conditionalFormatting>
  <conditionalFormatting sqref="F635">
    <cfRule type="cellIs" dxfId="52" priority="102" stopIfTrue="1" operator="between">
      <formula>"New"</formula>
      <formula>"new"</formula>
    </cfRule>
    <cfRule type="cellIs" dxfId="51" priority="103" stopIfTrue="1" operator="between">
      <formula>"X"</formula>
      <formula>"X"</formula>
    </cfRule>
  </conditionalFormatting>
  <conditionalFormatting sqref="A615">
    <cfRule type="cellIs" dxfId="50" priority="96" stopIfTrue="1" operator="equal">
      <formula>"J"</formula>
    </cfRule>
    <cfRule type="cellIs" dxfId="49" priority="97" stopIfTrue="1" operator="equal">
      <formula>"K"</formula>
    </cfRule>
    <cfRule type="cellIs" dxfId="48" priority="98" stopIfTrue="1" operator="equal">
      <formula>"L"</formula>
    </cfRule>
  </conditionalFormatting>
  <conditionalFormatting sqref="A614">
    <cfRule type="cellIs" dxfId="47" priority="43" stopIfTrue="1" operator="equal">
      <formula>"J"</formula>
    </cfRule>
    <cfRule type="cellIs" dxfId="46" priority="44" stopIfTrue="1" operator="equal">
      <formula>"K"</formula>
    </cfRule>
    <cfRule type="cellIs" dxfId="45" priority="45" stopIfTrue="1" operator="equal">
      <formula>"L"</formula>
    </cfRule>
  </conditionalFormatting>
  <conditionalFormatting sqref="A609">
    <cfRule type="cellIs" dxfId="44" priority="40" stopIfTrue="1" operator="equal">
      <formula>"J"</formula>
    </cfRule>
    <cfRule type="cellIs" dxfId="43" priority="41" stopIfTrue="1" operator="equal">
      <formula>"K"</formula>
    </cfRule>
    <cfRule type="cellIs" dxfId="42" priority="42" stopIfTrue="1" operator="equal">
      <formula>"L"</formula>
    </cfRule>
  </conditionalFormatting>
  <conditionalFormatting sqref="A24:A27">
    <cfRule type="cellIs" dxfId="41" priority="34" stopIfTrue="1" operator="equal">
      <formula>"J"</formula>
    </cfRule>
    <cfRule type="cellIs" dxfId="40" priority="35" stopIfTrue="1" operator="equal">
      <formula>"K"</formula>
    </cfRule>
    <cfRule type="cellIs" dxfId="39" priority="36" stopIfTrue="1" operator="equal">
      <formula>"L"</formula>
    </cfRule>
  </conditionalFormatting>
  <conditionalFormatting sqref="A24:A27">
    <cfRule type="cellIs" dxfId="38" priority="31" stopIfTrue="1" operator="equal">
      <formula>"J"</formula>
    </cfRule>
    <cfRule type="cellIs" dxfId="37" priority="32" stopIfTrue="1" operator="equal">
      <formula>"K"</formula>
    </cfRule>
    <cfRule type="cellIs" dxfId="36" priority="33" stopIfTrue="1" operator="equal">
      <formula>"L"</formula>
    </cfRule>
  </conditionalFormatting>
  <conditionalFormatting sqref="A393">
    <cfRule type="cellIs" dxfId="35" priority="28" stopIfTrue="1" operator="equal">
      <formula>"J"</formula>
    </cfRule>
    <cfRule type="cellIs" dxfId="34" priority="29" stopIfTrue="1" operator="equal">
      <formula>"K"</formula>
    </cfRule>
    <cfRule type="cellIs" dxfId="33" priority="30" stopIfTrue="1" operator="equal">
      <formula>"L"</formula>
    </cfRule>
  </conditionalFormatting>
  <conditionalFormatting sqref="A386">
    <cfRule type="cellIs" dxfId="32" priority="25" stopIfTrue="1" operator="equal">
      <formula>"J"</formula>
    </cfRule>
    <cfRule type="cellIs" dxfId="31" priority="26" stopIfTrue="1" operator="equal">
      <formula>"K"</formula>
    </cfRule>
    <cfRule type="cellIs" dxfId="30" priority="27" stopIfTrue="1" operator="equal">
      <formula>"L"</formula>
    </cfRule>
  </conditionalFormatting>
  <conditionalFormatting sqref="A388:A389">
    <cfRule type="cellIs" dxfId="29" priority="22" stopIfTrue="1" operator="equal">
      <formula>"J"</formula>
    </cfRule>
    <cfRule type="cellIs" dxfId="28" priority="23" stopIfTrue="1" operator="equal">
      <formula>"K"</formula>
    </cfRule>
    <cfRule type="cellIs" dxfId="27" priority="24" stopIfTrue="1" operator="equal">
      <formula>"L"</formula>
    </cfRule>
  </conditionalFormatting>
  <conditionalFormatting sqref="A387">
    <cfRule type="cellIs" dxfId="26" priority="19" stopIfTrue="1" operator="equal">
      <formula>"J"</formula>
    </cfRule>
    <cfRule type="cellIs" dxfId="25" priority="20" stopIfTrue="1" operator="equal">
      <formula>"K"</formula>
    </cfRule>
    <cfRule type="cellIs" dxfId="24" priority="21" stopIfTrue="1" operator="equal">
      <formula>"L"</formula>
    </cfRule>
  </conditionalFormatting>
  <conditionalFormatting sqref="A626:A627">
    <cfRule type="cellIs" dxfId="23" priority="16" stopIfTrue="1" operator="equal">
      <formula>"J"</formula>
    </cfRule>
    <cfRule type="cellIs" dxfId="22" priority="17" stopIfTrue="1" operator="equal">
      <formula>"K"</formula>
    </cfRule>
    <cfRule type="cellIs" dxfId="21" priority="18" stopIfTrue="1" operator="equal">
      <formula>"L"</formula>
    </cfRule>
  </conditionalFormatting>
  <conditionalFormatting sqref="A189">
    <cfRule type="cellIs" dxfId="20" priority="13" stopIfTrue="1" operator="equal">
      <formula>"J"</formula>
    </cfRule>
    <cfRule type="cellIs" dxfId="19" priority="14" stopIfTrue="1" operator="equal">
      <formula>"K"</formula>
    </cfRule>
    <cfRule type="cellIs" dxfId="18" priority="15" stopIfTrue="1" operator="equal">
      <formula>"L"</formula>
    </cfRule>
  </conditionalFormatting>
  <conditionalFormatting sqref="A203">
    <cfRule type="cellIs" dxfId="17" priority="10" stopIfTrue="1" operator="equal">
      <formula>"J"</formula>
    </cfRule>
    <cfRule type="cellIs" dxfId="16" priority="11" stopIfTrue="1" operator="equal">
      <formula>"K"</formula>
    </cfRule>
    <cfRule type="cellIs" dxfId="15" priority="12" stopIfTrue="1" operator="equal">
      <formula>"L"</formula>
    </cfRule>
  </conditionalFormatting>
  <conditionalFormatting sqref="A144">
    <cfRule type="cellIs" dxfId="14" priority="7" stopIfTrue="1" operator="equal">
      <formula>"J"</formula>
    </cfRule>
    <cfRule type="cellIs" dxfId="13" priority="8" stopIfTrue="1" operator="equal">
      <formula>"K"</formula>
    </cfRule>
    <cfRule type="cellIs" dxfId="12" priority="9" stopIfTrue="1" operator="equal">
      <formula>"L"</formula>
    </cfRule>
  </conditionalFormatting>
  <conditionalFormatting sqref="A140">
    <cfRule type="cellIs" dxfId="11" priority="4" stopIfTrue="1" operator="equal">
      <formula>"J"</formula>
    </cfRule>
    <cfRule type="cellIs" dxfId="10" priority="5" stopIfTrue="1" operator="equal">
      <formula>"K"</formula>
    </cfRule>
    <cfRule type="cellIs" dxfId="9" priority="6" stopIfTrue="1" operator="equal">
      <formula>"L"</formula>
    </cfRule>
  </conditionalFormatting>
  <conditionalFormatting sqref="A83">
    <cfRule type="cellIs" dxfId="8" priority="1" stopIfTrue="1" operator="equal">
      <formula>"J"</formula>
    </cfRule>
    <cfRule type="cellIs" dxfId="7" priority="2" stopIfTrue="1" operator="equal">
      <formula>"K"</formula>
    </cfRule>
    <cfRule type="cellIs" dxfId="6" priority="3" stopIfTrue="1" operator="equal">
      <formula>"L"</formula>
    </cfRule>
  </conditionalFormatting>
  <dataValidations disablePrompts="1" count="3">
    <dataValidation allowBlank="1" showErrorMessage="1" sqref="Y609 O1:P1 L1:M1 AB1:AE1 P63 P66 P52 P69" xr:uid="{00000000-0002-0000-0100-000000000000}"/>
    <dataValidation allowBlank="1" showErrorMessage="1" promptTitle="填写帮助" prompt="该部分知道多少填写多少，不知道可不填写" sqref="Z609" xr:uid="{00000000-0002-0000-0100-000001000000}"/>
    <dataValidation allowBlank="1" showErrorMessage="1" promptTitle="note:" prompt="This table must be filled out by the supplier." sqref="W63:X63 D1 G1 L13:M13 X13 AC13:AE13 X69 AC66:AE66 X66 AB69:AE69 L66:M66 D63 L63:M63 G63 G69 L69:M69 M52 G52 X52 AC52:AE52" xr:uid="{00000000-0002-0000-0100-000002000000}"/>
  </dataValidations>
  <pageMargins left="0.19685039370078741" right="0.19685039370078741" top="0.19685039370078741" bottom="0.19685039370078741" header="0.19685039370078741" footer="0.51181102362204722"/>
  <pageSetup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R23"/>
  <sheetViews>
    <sheetView workbookViewId="0">
      <pane xSplit="6" ySplit="2" topLeftCell="G3" activePane="bottomRight" state="frozen"/>
      <selection pane="topRight" activeCell="G1" sqref="G1"/>
      <selection pane="bottomLeft" activeCell="A3" sqref="A3"/>
      <selection pane="bottomRight" activeCell="E13" sqref="E13"/>
    </sheetView>
  </sheetViews>
  <sheetFormatPr baseColWidth="10" defaultColWidth="9.1640625" defaultRowHeight="13"/>
  <cols>
    <col min="1" max="1" width="6.83203125" style="332" customWidth="1"/>
    <col min="2" max="2" width="7.33203125" style="332" customWidth="1"/>
    <col min="3" max="3" width="10.83203125" style="332" customWidth="1"/>
    <col min="4" max="4" width="14.33203125" style="332" customWidth="1"/>
    <col min="5" max="5" width="20.5" style="332" customWidth="1"/>
    <col min="6" max="6" width="11" style="332" customWidth="1"/>
    <col min="7" max="7" width="9.1640625" style="332"/>
    <col min="8" max="8" width="11.5" style="332" customWidth="1"/>
    <col min="9" max="9" width="9.1640625" style="332"/>
    <col min="10" max="10" width="13.5" style="332" customWidth="1"/>
    <col min="11" max="13" width="9.1640625" style="332"/>
    <col min="14" max="14" width="10.33203125" style="332" bestFit="1" customWidth="1"/>
    <col min="15" max="21" width="10.33203125" style="332" customWidth="1"/>
    <col min="22" max="16384" width="9.1640625" style="339"/>
  </cols>
  <sheetData>
    <row r="1" spans="1:200" s="329" customFormat="1" ht="18.75" customHeight="1">
      <c r="A1" s="382" t="s">
        <v>19</v>
      </c>
      <c r="B1" s="380" t="s">
        <v>29</v>
      </c>
      <c r="C1" s="380" t="s">
        <v>8</v>
      </c>
      <c r="D1" s="380" t="s">
        <v>32</v>
      </c>
      <c r="E1" s="380" t="s">
        <v>9</v>
      </c>
      <c r="F1" s="380" t="s">
        <v>31</v>
      </c>
      <c r="G1" s="380" t="s">
        <v>10</v>
      </c>
      <c r="H1" s="380" t="s">
        <v>12</v>
      </c>
      <c r="I1" s="380" t="s">
        <v>11</v>
      </c>
      <c r="J1" s="380" t="s">
        <v>4</v>
      </c>
      <c r="K1" s="380" t="s">
        <v>3</v>
      </c>
      <c r="L1" s="380"/>
      <c r="M1" s="380"/>
      <c r="N1" s="380"/>
      <c r="O1" s="384"/>
      <c r="P1" s="384"/>
      <c r="Q1" s="384"/>
      <c r="R1" s="384"/>
      <c r="S1" s="384"/>
      <c r="T1" s="384"/>
      <c r="U1" s="384"/>
      <c r="DZ1" s="139"/>
      <c r="EA1" s="139"/>
      <c r="EB1" s="139"/>
      <c r="EC1" s="139"/>
      <c r="ED1" s="139"/>
      <c r="EE1" s="139"/>
      <c r="EF1" s="139"/>
      <c r="EG1" s="139"/>
      <c r="EH1" s="139"/>
      <c r="EI1" s="139"/>
      <c r="EJ1" s="139"/>
      <c r="EK1" s="139"/>
      <c r="EL1" s="139"/>
      <c r="EM1" s="139"/>
      <c r="EN1" s="139"/>
      <c r="EO1" s="139"/>
      <c r="EP1" s="139"/>
      <c r="EQ1" s="139"/>
      <c r="ER1" s="139"/>
      <c r="ES1" s="139"/>
      <c r="ET1" s="139"/>
      <c r="EU1" s="139"/>
      <c r="EV1" s="139"/>
      <c r="EW1" s="139"/>
      <c r="EX1" s="139"/>
      <c r="EY1" s="139"/>
      <c r="EZ1" s="139"/>
      <c r="FA1" s="139"/>
      <c r="FB1" s="139"/>
      <c r="FC1" s="139"/>
      <c r="FD1" s="139"/>
      <c r="FE1" s="139"/>
      <c r="FF1" s="139"/>
      <c r="FG1" s="139"/>
      <c r="FH1" s="139"/>
      <c r="FI1" s="139"/>
      <c r="FJ1" s="139"/>
      <c r="FK1" s="139"/>
      <c r="FL1" s="139"/>
      <c r="FM1" s="139"/>
      <c r="FN1" s="139"/>
      <c r="FO1" s="139"/>
      <c r="FP1" s="139"/>
      <c r="FQ1" s="139"/>
      <c r="FR1" s="139"/>
      <c r="FS1" s="139"/>
      <c r="FT1" s="139"/>
      <c r="FU1" s="139"/>
      <c r="FV1" s="139"/>
      <c r="FW1" s="139"/>
      <c r="FX1" s="139"/>
      <c r="FY1" s="139"/>
      <c r="FZ1" s="139"/>
      <c r="GA1" s="139"/>
      <c r="GB1" s="139"/>
      <c r="GC1" s="139"/>
      <c r="GD1" s="139"/>
      <c r="GE1" s="139"/>
      <c r="GF1" s="139"/>
      <c r="GG1" s="139"/>
      <c r="GH1" s="139"/>
      <c r="GI1" s="139"/>
      <c r="GJ1" s="139"/>
      <c r="GK1" s="139"/>
      <c r="GL1" s="139"/>
      <c r="GM1" s="139"/>
      <c r="GN1" s="139"/>
      <c r="GO1" s="139"/>
      <c r="GP1" s="139"/>
      <c r="GQ1" s="139"/>
      <c r="GR1" s="139"/>
    </row>
    <row r="2" spans="1:200" s="329" customFormat="1" ht="30.75" customHeight="1">
      <c r="A2" s="383"/>
      <c r="B2" s="381"/>
      <c r="C2" s="381"/>
      <c r="D2" s="381"/>
      <c r="E2" s="381"/>
      <c r="F2" s="381"/>
      <c r="G2" s="381"/>
      <c r="H2" s="381"/>
      <c r="I2" s="381"/>
      <c r="J2" s="381"/>
      <c r="K2" s="330" t="s">
        <v>529</v>
      </c>
      <c r="L2" s="330" t="s">
        <v>200</v>
      </c>
      <c r="M2" s="330" t="s">
        <v>201</v>
      </c>
      <c r="N2" s="330" t="s">
        <v>257</v>
      </c>
      <c r="O2" s="330" t="s">
        <v>258</v>
      </c>
      <c r="P2" s="330" t="s">
        <v>259</v>
      </c>
      <c r="Q2" s="330" t="s">
        <v>247</v>
      </c>
      <c r="R2" s="330" t="s">
        <v>260</v>
      </c>
      <c r="S2" s="330" t="s">
        <v>531</v>
      </c>
      <c r="T2" s="331" t="s">
        <v>536</v>
      </c>
      <c r="U2" s="328" t="s">
        <v>538</v>
      </c>
      <c r="V2" s="332"/>
      <c r="DZ2" s="139"/>
      <c r="EA2" s="139"/>
      <c r="EB2" s="139"/>
      <c r="EC2" s="139"/>
      <c r="ED2" s="139"/>
      <c r="EE2" s="139"/>
      <c r="EF2" s="139"/>
      <c r="EG2" s="139"/>
      <c r="EH2" s="139"/>
      <c r="EI2" s="139"/>
      <c r="EJ2" s="139"/>
      <c r="EK2" s="139"/>
      <c r="EL2" s="139"/>
      <c r="EM2" s="139"/>
      <c r="EN2" s="139"/>
      <c r="EO2" s="139"/>
      <c r="EP2" s="139"/>
      <c r="EQ2" s="139"/>
      <c r="ER2" s="139"/>
      <c r="ES2" s="139"/>
      <c r="ET2" s="139"/>
      <c r="EU2" s="139"/>
      <c r="EV2" s="139"/>
      <c r="EW2" s="139"/>
      <c r="EX2" s="139"/>
      <c r="EY2" s="139"/>
      <c r="EZ2" s="139"/>
      <c r="FA2" s="139"/>
      <c r="FB2" s="139"/>
      <c r="FC2" s="139"/>
      <c r="FD2" s="139"/>
      <c r="FE2" s="139"/>
      <c r="FF2" s="139"/>
      <c r="FG2" s="139"/>
      <c r="FH2" s="139"/>
      <c r="FI2" s="139"/>
      <c r="FJ2" s="139"/>
      <c r="FK2" s="139"/>
      <c r="FL2" s="139"/>
      <c r="FM2" s="139"/>
      <c r="FN2" s="139"/>
      <c r="FO2" s="139"/>
      <c r="FP2" s="139"/>
      <c r="FQ2" s="139"/>
      <c r="FR2" s="139"/>
      <c r="FS2" s="139"/>
      <c r="FT2" s="139"/>
      <c r="FU2" s="139"/>
      <c r="FV2" s="139"/>
      <c r="FW2" s="139"/>
      <c r="FX2" s="139"/>
      <c r="FY2" s="139"/>
      <c r="FZ2" s="139"/>
      <c r="GA2" s="139"/>
      <c r="GB2" s="139"/>
      <c r="GC2" s="139"/>
      <c r="GD2" s="139"/>
      <c r="GE2" s="139"/>
      <c r="GF2" s="139"/>
      <c r="GG2" s="139"/>
      <c r="GH2" s="139"/>
      <c r="GI2" s="139"/>
      <c r="GJ2" s="139"/>
      <c r="GK2" s="139"/>
      <c r="GL2" s="139"/>
      <c r="GM2" s="139"/>
      <c r="GN2" s="139"/>
      <c r="GO2" s="139"/>
      <c r="GP2" s="139"/>
      <c r="GQ2" s="139"/>
      <c r="GR2" s="139"/>
    </row>
    <row r="3" spans="1:200" s="335" customFormat="1" ht="56">
      <c r="A3" s="333" t="s">
        <v>6</v>
      </c>
      <c r="B3" s="334">
        <v>1</v>
      </c>
      <c r="C3" s="334" t="s">
        <v>271</v>
      </c>
      <c r="D3" s="169" t="s">
        <v>3057</v>
      </c>
      <c r="E3" s="334" t="s">
        <v>272</v>
      </c>
      <c r="F3" s="334" t="s">
        <v>273</v>
      </c>
      <c r="G3" s="334" t="s">
        <v>274</v>
      </c>
      <c r="H3" s="334" t="s">
        <v>193</v>
      </c>
      <c r="I3" s="334">
        <v>8</v>
      </c>
      <c r="J3" s="334" t="s">
        <v>193</v>
      </c>
      <c r="K3" s="169" t="s">
        <v>537</v>
      </c>
      <c r="L3" s="169" t="s">
        <v>537</v>
      </c>
      <c r="M3" s="169" t="s">
        <v>537</v>
      </c>
      <c r="N3" s="169" t="s">
        <v>537</v>
      </c>
      <c r="O3" s="169" t="s">
        <v>537</v>
      </c>
      <c r="P3" s="169" t="s">
        <v>537</v>
      </c>
      <c r="Q3" s="169" t="s">
        <v>537</v>
      </c>
      <c r="R3" s="169" t="s">
        <v>537</v>
      </c>
      <c r="S3" s="169" t="s">
        <v>537</v>
      </c>
      <c r="T3" s="169" t="s">
        <v>537</v>
      </c>
      <c r="U3" s="169"/>
    </row>
    <row r="4" spans="1:200" s="335" customFormat="1" ht="25">
      <c r="A4" s="333" t="s">
        <v>6</v>
      </c>
      <c r="B4" s="334">
        <v>2</v>
      </c>
      <c r="C4" s="334" t="s">
        <v>271</v>
      </c>
      <c r="D4" s="169" t="s">
        <v>3071</v>
      </c>
      <c r="E4" s="336" t="s">
        <v>552</v>
      </c>
      <c r="F4" s="299" t="s">
        <v>553</v>
      </c>
      <c r="G4" s="334" t="s">
        <v>274</v>
      </c>
      <c r="H4" s="334" t="s">
        <v>193</v>
      </c>
      <c r="I4" s="334">
        <v>8</v>
      </c>
      <c r="J4" s="334" t="s">
        <v>193</v>
      </c>
      <c r="K4" s="169" t="s">
        <v>537</v>
      </c>
      <c r="L4" s="169"/>
      <c r="M4" s="169"/>
      <c r="N4" s="169"/>
      <c r="O4" s="169"/>
      <c r="P4" s="169"/>
      <c r="Q4" s="169"/>
      <c r="R4" s="169"/>
      <c r="S4" s="169"/>
      <c r="T4" s="169"/>
      <c r="U4" s="169"/>
    </row>
    <row r="5" spans="1:200" s="335" customFormat="1" ht="25">
      <c r="A5" s="333" t="s">
        <v>6</v>
      </c>
      <c r="B5" s="334">
        <v>3</v>
      </c>
      <c r="C5" s="334" t="s">
        <v>271</v>
      </c>
      <c r="D5" s="169" t="s">
        <v>3072</v>
      </c>
      <c r="E5" s="282" t="s">
        <v>546</v>
      </c>
      <c r="F5" s="169" t="s">
        <v>549</v>
      </c>
      <c r="G5" s="334" t="s">
        <v>274</v>
      </c>
      <c r="H5" s="334" t="s">
        <v>193</v>
      </c>
      <c r="I5" s="334">
        <v>8</v>
      </c>
      <c r="J5" s="334" t="s">
        <v>193</v>
      </c>
      <c r="K5" s="169" t="s">
        <v>537</v>
      </c>
      <c r="L5" s="169"/>
      <c r="M5" s="169"/>
      <c r="N5" s="169"/>
      <c r="O5" s="169"/>
      <c r="P5" s="169"/>
      <c r="Q5" s="169"/>
      <c r="R5" s="169"/>
      <c r="S5" s="169" t="s">
        <v>537</v>
      </c>
      <c r="T5" s="169"/>
      <c r="U5" s="169"/>
    </row>
    <row r="6" spans="1:200" s="335" customFormat="1" ht="25">
      <c r="A6" s="333" t="s">
        <v>6</v>
      </c>
      <c r="B6" s="334">
        <v>4</v>
      </c>
      <c r="C6" s="334" t="s">
        <v>285</v>
      </c>
      <c r="D6" s="334" t="s">
        <v>3073</v>
      </c>
      <c r="E6" s="169" t="s">
        <v>287</v>
      </c>
      <c r="F6" s="334" t="s">
        <v>281</v>
      </c>
      <c r="G6" s="334" t="s">
        <v>274</v>
      </c>
      <c r="H6" s="334" t="s">
        <v>193</v>
      </c>
      <c r="I6" s="334">
        <v>8</v>
      </c>
      <c r="J6" s="334" t="s">
        <v>193</v>
      </c>
      <c r="K6" s="169" t="s">
        <v>537</v>
      </c>
      <c r="L6" s="169"/>
      <c r="M6" s="169"/>
      <c r="N6" s="169"/>
      <c r="O6" s="169"/>
      <c r="P6" s="169"/>
      <c r="Q6" s="169"/>
      <c r="R6" s="169" t="s">
        <v>537</v>
      </c>
      <c r="S6" s="169"/>
      <c r="T6" s="169"/>
      <c r="U6" s="169"/>
    </row>
    <row r="7" spans="1:200" s="338" customFormat="1" ht="25">
      <c r="A7" s="333" t="s">
        <v>6</v>
      </c>
      <c r="B7" s="334">
        <v>5</v>
      </c>
      <c r="C7" s="282" t="s">
        <v>539</v>
      </c>
      <c r="D7" s="334" t="s">
        <v>3074</v>
      </c>
      <c r="E7" s="281" t="s">
        <v>540</v>
      </c>
      <c r="F7" s="160" t="s">
        <v>541</v>
      </c>
      <c r="G7" s="169" t="s">
        <v>542</v>
      </c>
      <c r="H7" s="160" t="s">
        <v>190</v>
      </c>
      <c r="I7" s="282">
        <v>8</v>
      </c>
      <c r="J7" s="337" t="s">
        <v>190</v>
      </c>
      <c r="K7" s="169" t="s">
        <v>195</v>
      </c>
      <c r="L7" s="334"/>
      <c r="M7" s="334"/>
      <c r="N7" s="334"/>
      <c r="O7" s="334"/>
      <c r="P7" s="169"/>
      <c r="Q7" s="334"/>
      <c r="R7" s="334"/>
      <c r="S7" s="334"/>
      <c r="T7" s="169" t="s">
        <v>537</v>
      </c>
      <c r="U7" s="334"/>
    </row>
    <row r="8" spans="1:200" s="335" customFormat="1" ht="25">
      <c r="A8" s="333" t="s">
        <v>6</v>
      </c>
      <c r="B8" s="334">
        <v>6</v>
      </c>
      <c r="C8" s="334" t="s">
        <v>285</v>
      </c>
      <c r="D8" s="334" t="s">
        <v>3075</v>
      </c>
      <c r="E8" s="169" t="s">
        <v>288</v>
      </c>
      <c r="F8" s="334" t="s">
        <v>282</v>
      </c>
      <c r="G8" s="334" t="s">
        <v>274</v>
      </c>
      <c r="H8" s="334" t="s">
        <v>193</v>
      </c>
      <c r="I8" s="334">
        <v>8</v>
      </c>
      <c r="J8" s="334" t="s">
        <v>193</v>
      </c>
      <c r="K8" s="169" t="s">
        <v>537</v>
      </c>
      <c r="L8" s="169"/>
      <c r="M8" s="169"/>
      <c r="N8" s="169"/>
      <c r="O8" s="169" t="s">
        <v>537</v>
      </c>
      <c r="P8" s="169"/>
      <c r="Q8" s="169"/>
      <c r="R8" s="169"/>
      <c r="S8" s="169"/>
      <c r="T8" s="169"/>
      <c r="U8" s="169"/>
    </row>
    <row r="9" spans="1:200" s="335" customFormat="1" ht="25">
      <c r="A9" s="333" t="s">
        <v>6</v>
      </c>
      <c r="B9" s="334">
        <v>7</v>
      </c>
      <c r="C9" s="334" t="s">
        <v>285</v>
      </c>
      <c r="D9" s="334" t="s">
        <v>3076</v>
      </c>
      <c r="E9" s="169" t="s">
        <v>305</v>
      </c>
      <c r="F9" s="169" t="s">
        <v>304</v>
      </c>
      <c r="G9" s="334" t="s">
        <v>274</v>
      </c>
      <c r="H9" s="334" t="s">
        <v>193</v>
      </c>
      <c r="I9" s="334">
        <v>8</v>
      </c>
      <c r="J9" s="334" t="s">
        <v>193</v>
      </c>
      <c r="K9" s="169" t="s">
        <v>537</v>
      </c>
      <c r="L9" s="169"/>
      <c r="M9" s="169"/>
      <c r="N9" s="169"/>
      <c r="O9" s="169"/>
      <c r="P9" s="169" t="s">
        <v>537</v>
      </c>
      <c r="Q9" s="169"/>
      <c r="R9" s="169"/>
      <c r="S9" s="169"/>
      <c r="T9" s="169"/>
      <c r="U9" s="169"/>
    </row>
    <row r="10" spans="1:200" s="335" customFormat="1" ht="25">
      <c r="A10" s="333" t="s">
        <v>6</v>
      </c>
      <c r="B10" s="334">
        <v>8</v>
      </c>
      <c r="C10" s="334" t="s">
        <v>285</v>
      </c>
      <c r="D10" s="334" t="s">
        <v>3077</v>
      </c>
      <c r="E10" s="169" t="s">
        <v>299</v>
      </c>
      <c r="F10" s="169" t="s">
        <v>295</v>
      </c>
      <c r="G10" s="334" t="s">
        <v>274</v>
      </c>
      <c r="H10" s="334" t="s">
        <v>193</v>
      </c>
      <c r="I10" s="334">
        <v>8</v>
      </c>
      <c r="J10" s="334" t="s">
        <v>193</v>
      </c>
      <c r="K10" s="169" t="s">
        <v>537</v>
      </c>
      <c r="L10" s="169" t="s">
        <v>537</v>
      </c>
      <c r="M10" s="169"/>
      <c r="N10" s="169"/>
      <c r="O10" s="169"/>
      <c r="P10" s="169"/>
      <c r="Q10" s="169"/>
      <c r="R10" s="169"/>
      <c r="S10" s="169"/>
      <c r="T10" s="169"/>
      <c r="U10" s="169"/>
    </row>
    <row r="11" spans="1:200" s="335" customFormat="1" ht="25">
      <c r="A11" s="333" t="s">
        <v>6</v>
      </c>
      <c r="B11" s="334">
        <v>9</v>
      </c>
      <c r="C11" s="334" t="s">
        <v>285</v>
      </c>
      <c r="D11" s="334" t="s">
        <v>3078</v>
      </c>
      <c r="E11" s="169" t="s">
        <v>300</v>
      </c>
      <c r="F11" s="169" t="s">
        <v>301</v>
      </c>
      <c r="G11" s="334" t="s">
        <v>274</v>
      </c>
      <c r="H11" s="334" t="s">
        <v>193</v>
      </c>
      <c r="I11" s="334">
        <v>8</v>
      </c>
      <c r="J11" s="334" t="s">
        <v>193</v>
      </c>
      <c r="K11" s="169" t="s">
        <v>537</v>
      </c>
      <c r="L11" s="169"/>
      <c r="M11" s="169" t="s">
        <v>537</v>
      </c>
      <c r="N11" s="169"/>
      <c r="O11" s="169"/>
      <c r="P11" s="169"/>
      <c r="Q11" s="169"/>
      <c r="R11" s="169"/>
      <c r="S11" s="169"/>
      <c r="T11" s="169"/>
      <c r="U11" s="169"/>
    </row>
    <row r="12" spans="1:200" s="335" customFormat="1" ht="25">
      <c r="A12" s="333" t="s">
        <v>6</v>
      </c>
      <c r="B12" s="334">
        <v>10</v>
      </c>
      <c r="C12" s="334" t="s">
        <v>275</v>
      </c>
      <c r="D12" s="334" t="s">
        <v>3079</v>
      </c>
      <c r="E12" s="334" t="s">
        <v>276</v>
      </c>
      <c r="F12" s="334" t="s">
        <v>277</v>
      </c>
      <c r="G12" s="334" t="s">
        <v>274</v>
      </c>
      <c r="H12" s="334" t="s">
        <v>193</v>
      </c>
      <c r="I12" s="334">
        <v>8</v>
      </c>
      <c r="J12" s="334" t="s">
        <v>193</v>
      </c>
      <c r="K12" s="169" t="s">
        <v>537</v>
      </c>
      <c r="L12" s="169"/>
      <c r="M12" s="169"/>
      <c r="N12" s="169" t="s">
        <v>537</v>
      </c>
      <c r="O12" s="169"/>
      <c r="P12" s="169"/>
      <c r="Q12" s="169"/>
      <c r="R12" s="169"/>
      <c r="S12" s="169"/>
      <c r="T12" s="169"/>
      <c r="U12" s="169"/>
    </row>
    <row r="13" spans="1:200" s="335" customFormat="1" ht="25">
      <c r="A13" s="333" t="s">
        <v>6</v>
      </c>
      <c r="B13" s="334">
        <v>11</v>
      </c>
      <c r="C13" s="334" t="s">
        <v>275</v>
      </c>
      <c r="D13" s="334" t="s">
        <v>3080</v>
      </c>
      <c r="E13" s="169" t="s">
        <v>310</v>
      </c>
      <c r="F13" s="169" t="s">
        <v>308</v>
      </c>
      <c r="G13" s="334" t="s">
        <v>274</v>
      </c>
      <c r="H13" s="334" t="s">
        <v>193</v>
      </c>
      <c r="I13" s="334">
        <v>8</v>
      </c>
      <c r="J13" s="334" t="s">
        <v>193</v>
      </c>
      <c r="K13" s="169" t="s">
        <v>537</v>
      </c>
      <c r="L13" s="169"/>
      <c r="M13" s="169"/>
      <c r="N13" s="169"/>
      <c r="O13" s="169"/>
      <c r="P13" s="169"/>
      <c r="Q13" s="169" t="s">
        <v>537</v>
      </c>
      <c r="R13" s="169"/>
      <c r="S13" s="169"/>
      <c r="T13" s="169"/>
      <c r="U13" s="169"/>
    </row>
    <row r="14" spans="1:200" s="335" customFormat="1" ht="25">
      <c r="A14" s="333" t="s">
        <v>6</v>
      </c>
      <c r="B14" s="334">
        <v>12</v>
      </c>
      <c r="C14" s="169" t="s">
        <v>555</v>
      </c>
      <c r="D14" s="334" t="s">
        <v>3081</v>
      </c>
      <c r="E14" s="299" t="s">
        <v>554</v>
      </c>
      <c r="F14" s="169" t="s">
        <v>556</v>
      </c>
      <c r="G14" s="334" t="s">
        <v>274</v>
      </c>
      <c r="H14" s="334" t="s">
        <v>193</v>
      </c>
      <c r="I14" s="334">
        <v>8</v>
      </c>
      <c r="J14" s="334" t="s">
        <v>193</v>
      </c>
      <c r="K14" s="169"/>
      <c r="L14" s="169"/>
      <c r="M14" s="169"/>
      <c r="N14" s="169"/>
      <c r="O14" s="169"/>
      <c r="P14" s="169"/>
      <c r="Q14" s="169"/>
      <c r="R14" s="169"/>
      <c r="S14" s="169"/>
      <c r="T14" s="169"/>
      <c r="U14" s="169" t="s">
        <v>537</v>
      </c>
    </row>
    <row r="15" spans="1:200" s="335" customFormat="1" ht="25">
      <c r="A15" s="333" t="s">
        <v>6</v>
      </c>
      <c r="B15" s="334">
        <v>13</v>
      </c>
      <c r="C15" s="169" t="s">
        <v>547</v>
      </c>
      <c r="D15" s="334" t="s">
        <v>3082</v>
      </c>
      <c r="E15" s="282" t="s">
        <v>548</v>
      </c>
      <c r="F15" s="169" t="s">
        <v>550</v>
      </c>
      <c r="G15" s="334" t="s">
        <v>274</v>
      </c>
      <c r="H15" s="334" t="s">
        <v>193</v>
      </c>
      <c r="I15" s="334">
        <v>8</v>
      </c>
      <c r="J15" s="334" t="s">
        <v>193</v>
      </c>
      <c r="K15" s="169" t="s">
        <v>551</v>
      </c>
      <c r="L15" s="169"/>
      <c r="M15" s="169"/>
      <c r="N15" s="169"/>
      <c r="O15" s="169"/>
      <c r="P15" s="169"/>
      <c r="Q15" s="169"/>
      <c r="R15" s="169"/>
      <c r="S15" s="169"/>
      <c r="T15" s="169"/>
      <c r="U15" s="169" t="s">
        <v>537</v>
      </c>
    </row>
    <row r="16" spans="1:200" s="335" customFormat="1" ht="25">
      <c r="A16" s="333" t="s">
        <v>6</v>
      </c>
      <c r="B16" s="334">
        <v>14</v>
      </c>
      <c r="C16" s="334" t="s">
        <v>286</v>
      </c>
      <c r="D16" s="334" t="s">
        <v>3082</v>
      </c>
      <c r="E16" s="169" t="s">
        <v>289</v>
      </c>
      <c r="F16" s="334" t="s">
        <v>283</v>
      </c>
      <c r="G16" s="334" t="s">
        <v>274</v>
      </c>
      <c r="H16" s="334" t="s">
        <v>193</v>
      </c>
      <c r="I16" s="334">
        <v>8</v>
      </c>
      <c r="J16" s="334" t="s">
        <v>193</v>
      </c>
      <c r="K16" s="169" t="s">
        <v>537</v>
      </c>
      <c r="L16" s="169"/>
      <c r="M16" s="169"/>
      <c r="N16" s="169"/>
      <c r="O16" s="169"/>
      <c r="P16" s="169"/>
      <c r="Q16" s="169"/>
      <c r="R16" s="169"/>
      <c r="S16" s="169"/>
      <c r="T16" s="169"/>
      <c r="U16" s="169" t="s">
        <v>537</v>
      </c>
    </row>
    <row r="17" spans="1:21" s="338" customFormat="1" ht="25">
      <c r="A17" s="333" t="s">
        <v>6</v>
      </c>
      <c r="B17" s="334">
        <v>15</v>
      </c>
      <c r="C17" s="169" t="s">
        <v>543</v>
      </c>
      <c r="D17" s="160" t="s">
        <v>3082</v>
      </c>
      <c r="E17" s="160" t="s">
        <v>544</v>
      </c>
      <c r="F17" s="160" t="s">
        <v>545</v>
      </c>
      <c r="G17" s="169" t="s">
        <v>542</v>
      </c>
      <c r="H17" s="282" t="s">
        <v>198</v>
      </c>
      <c r="I17" s="282">
        <v>8</v>
      </c>
      <c r="J17" s="337" t="s">
        <v>190</v>
      </c>
      <c r="K17" s="169" t="s">
        <v>195</v>
      </c>
      <c r="L17" s="334"/>
      <c r="M17" s="334"/>
      <c r="N17" s="334"/>
      <c r="O17" s="334"/>
      <c r="P17" s="334"/>
      <c r="Q17" s="334"/>
      <c r="R17" s="334"/>
      <c r="S17" s="334"/>
      <c r="T17" s="334"/>
      <c r="U17" s="169" t="s">
        <v>195</v>
      </c>
    </row>
    <row r="18" spans="1:21" s="335" customFormat="1" ht="25">
      <c r="A18" s="333" t="s">
        <v>6</v>
      </c>
      <c r="B18" s="334">
        <v>16</v>
      </c>
      <c r="C18" s="169" t="s">
        <v>291</v>
      </c>
      <c r="D18" s="334" t="s">
        <v>3082</v>
      </c>
      <c r="E18" s="169" t="s">
        <v>290</v>
      </c>
      <c r="F18" s="334" t="s">
        <v>284</v>
      </c>
      <c r="G18" s="334" t="s">
        <v>274</v>
      </c>
      <c r="H18" s="334" t="s">
        <v>193</v>
      </c>
      <c r="I18" s="334">
        <v>8</v>
      </c>
      <c r="J18" s="334" t="s">
        <v>193</v>
      </c>
      <c r="K18" s="169" t="s">
        <v>537</v>
      </c>
      <c r="L18" s="169"/>
      <c r="M18" s="169"/>
      <c r="N18" s="169"/>
      <c r="O18" s="169"/>
      <c r="P18" s="169"/>
      <c r="Q18" s="169"/>
      <c r="R18" s="169"/>
      <c r="S18" s="169"/>
      <c r="T18" s="169"/>
      <c r="U18" s="169" t="s">
        <v>537</v>
      </c>
    </row>
    <row r="19" spans="1:21" s="335" customFormat="1" ht="25">
      <c r="A19" s="333" t="s">
        <v>6</v>
      </c>
      <c r="B19" s="334">
        <v>17</v>
      </c>
      <c r="C19" s="169" t="s">
        <v>293</v>
      </c>
      <c r="D19" s="334" t="s">
        <v>3082</v>
      </c>
      <c r="E19" s="169" t="s">
        <v>307</v>
      </c>
      <c r="F19" s="169" t="s">
        <v>306</v>
      </c>
      <c r="G19" s="334" t="s">
        <v>274</v>
      </c>
      <c r="H19" s="334" t="s">
        <v>193</v>
      </c>
      <c r="I19" s="334">
        <v>8</v>
      </c>
      <c r="J19" s="334" t="s">
        <v>193</v>
      </c>
      <c r="K19" s="169" t="s">
        <v>537</v>
      </c>
      <c r="L19" s="169"/>
      <c r="M19" s="169"/>
      <c r="N19" s="169"/>
      <c r="O19" s="169"/>
      <c r="P19" s="169"/>
      <c r="Q19" s="169"/>
      <c r="R19" s="169"/>
      <c r="S19" s="169"/>
      <c r="T19" s="169"/>
      <c r="U19" s="169" t="s">
        <v>537</v>
      </c>
    </row>
    <row r="20" spans="1:21" s="335" customFormat="1" ht="25">
      <c r="A20" s="333" t="s">
        <v>6</v>
      </c>
      <c r="B20" s="334">
        <v>18</v>
      </c>
      <c r="C20" s="169" t="s">
        <v>298</v>
      </c>
      <c r="D20" s="334" t="s">
        <v>3082</v>
      </c>
      <c r="E20" s="169" t="s">
        <v>297</v>
      </c>
      <c r="F20" s="169" t="s">
        <v>296</v>
      </c>
      <c r="G20" s="334" t="s">
        <v>274</v>
      </c>
      <c r="H20" s="334" t="s">
        <v>193</v>
      </c>
      <c r="I20" s="334">
        <v>8</v>
      </c>
      <c r="J20" s="334" t="s">
        <v>193</v>
      </c>
      <c r="K20" s="169" t="s">
        <v>537</v>
      </c>
      <c r="L20" s="169"/>
      <c r="M20" s="169"/>
      <c r="N20" s="169"/>
      <c r="O20" s="169"/>
      <c r="P20" s="169"/>
      <c r="Q20" s="169"/>
      <c r="R20" s="169"/>
      <c r="S20" s="169"/>
      <c r="T20" s="169"/>
      <c r="U20" s="169" t="s">
        <v>537</v>
      </c>
    </row>
    <row r="21" spans="1:21" s="335" customFormat="1" ht="25">
      <c r="A21" s="333" t="s">
        <v>6</v>
      </c>
      <c r="B21" s="334">
        <v>19</v>
      </c>
      <c r="C21" s="169" t="s">
        <v>292</v>
      </c>
      <c r="D21" s="334" t="s">
        <v>3082</v>
      </c>
      <c r="E21" s="169" t="s">
        <v>302</v>
      </c>
      <c r="F21" s="169" t="s">
        <v>303</v>
      </c>
      <c r="G21" s="334" t="s">
        <v>274</v>
      </c>
      <c r="H21" s="334" t="s">
        <v>193</v>
      </c>
      <c r="I21" s="334">
        <v>8</v>
      </c>
      <c r="J21" s="334" t="s">
        <v>193</v>
      </c>
      <c r="K21" s="169" t="s">
        <v>537</v>
      </c>
      <c r="L21" s="169"/>
      <c r="M21" s="169"/>
      <c r="N21" s="169"/>
      <c r="O21" s="169"/>
      <c r="P21" s="169"/>
      <c r="Q21" s="169"/>
      <c r="R21" s="169"/>
      <c r="S21" s="169"/>
      <c r="T21" s="169"/>
      <c r="U21" s="169" t="s">
        <v>537</v>
      </c>
    </row>
    <row r="22" spans="1:21" s="335" customFormat="1" ht="25">
      <c r="A22" s="333" t="s">
        <v>6</v>
      </c>
      <c r="B22" s="334">
        <v>20</v>
      </c>
      <c r="C22" s="334" t="s">
        <v>278</v>
      </c>
      <c r="D22" s="334" t="s">
        <v>3058</v>
      </c>
      <c r="E22" s="334" t="s">
        <v>279</v>
      </c>
      <c r="F22" s="334" t="s">
        <v>280</v>
      </c>
      <c r="G22" s="334" t="s">
        <v>274</v>
      </c>
      <c r="H22" s="334" t="s">
        <v>193</v>
      </c>
      <c r="I22" s="334">
        <v>8</v>
      </c>
      <c r="J22" s="334" t="s">
        <v>193</v>
      </c>
      <c r="K22" s="169" t="s">
        <v>537</v>
      </c>
      <c r="L22" s="169"/>
      <c r="M22" s="169"/>
      <c r="N22" s="334"/>
      <c r="O22" s="334"/>
      <c r="P22" s="334"/>
      <c r="Q22" s="334"/>
      <c r="R22" s="334"/>
      <c r="S22" s="334"/>
      <c r="T22" s="334"/>
      <c r="U22" s="169" t="s">
        <v>537</v>
      </c>
    </row>
    <row r="23" spans="1:21" s="335" customFormat="1" ht="25">
      <c r="A23" s="333" t="s">
        <v>6</v>
      </c>
      <c r="B23" s="334">
        <v>21</v>
      </c>
      <c r="C23" s="334" t="s">
        <v>294</v>
      </c>
      <c r="D23" s="334" t="s">
        <v>3082</v>
      </c>
      <c r="E23" s="334" t="s">
        <v>311</v>
      </c>
      <c r="F23" s="334" t="s">
        <v>309</v>
      </c>
      <c r="G23" s="334" t="s">
        <v>274</v>
      </c>
      <c r="H23" s="334" t="s">
        <v>193</v>
      </c>
      <c r="I23" s="334">
        <v>8</v>
      </c>
      <c r="J23" s="334" t="s">
        <v>193</v>
      </c>
      <c r="K23" s="169" t="s">
        <v>537</v>
      </c>
      <c r="L23" s="334"/>
      <c r="M23" s="334"/>
      <c r="N23" s="334"/>
      <c r="O23" s="334"/>
      <c r="P23" s="334"/>
      <c r="Q23" s="334"/>
      <c r="R23" s="334"/>
      <c r="S23" s="334"/>
      <c r="T23" s="334"/>
      <c r="U23" s="169" t="s">
        <v>537</v>
      </c>
    </row>
  </sheetData>
  <protectedRanges>
    <protectedRange sqref="E23:F23 C18:F22 G18:J23 A3:J3 C8:J16 C4:J6 A4:B23" name="区域2_1"/>
  </protectedRanges>
  <mergeCells count="11">
    <mergeCell ref="A1:A2"/>
    <mergeCell ref="J1:J2"/>
    <mergeCell ref="K1:U1"/>
    <mergeCell ref="I1:I2"/>
    <mergeCell ref="G1:G2"/>
    <mergeCell ref="C1:C2"/>
    <mergeCell ref="F1:F2"/>
    <mergeCell ref="E1:E2"/>
    <mergeCell ref="B1:B2"/>
    <mergeCell ref="H1:H2"/>
    <mergeCell ref="D1:D2"/>
  </mergeCells>
  <phoneticPr fontId="6" type="noConversion"/>
  <conditionalFormatting sqref="A3:A23">
    <cfRule type="cellIs" dxfId="5" priority="28" stopIfTrue="1" operator="equal">
      <formula>"J"</formula>
    </cfRule>
    <cfRule type="cellIs" dxfId="4" priority="29" stopIfTrue="1" operator="equal">
      <formula>"K"</formula>
    </cfRule>
    <cfRule type="cellIs" dxfId="3" priority="30" stopIfTrue="1" operator="equal">
      <formula>"L"</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BD28"/>
  <sheetViews>
    <sheetView workbookViewId="0">
      <pane xSplit="5" ySplit="2" topLeftCell="F3" activePane="bottomRight" state="frozen"/>
      <selection pane="topRight" activeCell="F1" sqref="F1"/>
      <selection pane="bottomLeft" activeCell="A3" sqref="A3"/>
      <selection pane="bottomRight" activeCell="D13" sqref="D13"/>
    </sheetView>
  </sheetViews>
  <sheetFormatPr baseColWidth="10" defaultColWidth="9.1640625" defaultRowHeight="13"/>
  <cols>
    <col min="1" max="1" width="9.1640625" style="110"/>
    <col min="2" max="2" width="10" style="106" customWidth="1"/>
    <col min="3" max="3" width="15.83203125" style="106" customWidth="1"/>
    <col min="4" max="4" width="13.6640625" style="106" customWidth="1"/>
    <col min="5" max="5" width="37.83203125" style="106" customWidth="1"/>
    <col min="6" max="6" width="17.33203125" style="106" customWidth="1"/>
    <col min="7" max="7" width="20.33203125" style="106" customWidth="1"/>
    <col min="8" max="8" width="9.6640625" style="106" customWidth="1"/>
    <col min="9" max="9" width="8.1640625" style="106" customWidth="1"/>
    <col min="10" max="10" width="20.1640625" style="106" customWidth="1"/>
    <col min="11" max="11" width="10" style="106" customWidth="1"/>
    <col min="12" max="17" width="9.1640625" style="106"/>
    <col min="18" max="16384" width="9.1640625" style="110"/>
  </cols>
  <sheetData>
    <row r="1" spans="1:56" ht="16.5" customHeight="1">
      <c r="A1" s="388" t="s">
        <v>5</v>
      </c>
      <c r="B1" s="391" t="s">
        <v>20</v>
      </c>
      <c r="C1" s="391" t="s">
        <v>21</v>
      </c>
      <c r="D1" s="391" t="s">
        <v>22</v>
      </c>
      <c r="E1" s="391" t="s">
        <v>23</v>
      </c>
      <c r="F1" s="391" t="s">
        <v>30</v>
      </c>
      <c r="G1" s="391" t="s">
        <v>24</v>
      </c>
      <c r="H1" s="391" t="s">
        <v>25</v>
      </c>
      <c r="I1" s="391" t="s">
        <v>26</v>
      </c>
      <c r="J1" s="391" t="s">
        <v>27</v>
      </c>
      <c r="K1" s="385" t="s">
        <v>3</v>
      </c>
      <c r="L1" s="386"/>
      <c r="M1" s="386"/>
      <c r="N1" s="386"/>
      <c r="O1" s="386"/>
      <c r="P1" s="386"/>
      <c r="Q1" s="387"/>
      <c r="R1" s="107"/>
    </row>
    <row r="2" spans="1:56" ht="26.25" customHeight="1">
      <c r="A2" s="389"/>
      <c r="B2" s="392"/>
      <c r="C2" s="392"/>
      <c r="D2" s="392"/>
      <c r="E2" s="392"/>
      <c r="F2" s="392"/>
      <c r="G2" s="392"/>
      <c r="H2" s="392"/>
      <c r="I2" s="392"/>
      <c r="J2" s="392"/>
      <c r="K2" s="109" t="s">
        <v>2606</v>
      </c>
      <c r="L2" s="109" t="s">
        <v>268</v>
      </c>
      <c r="M2" s="109" t="s">
        <v>269</v>
      </c>
      <c r="N2" s="109" t="s">
        <v>525</v>
      </c>
      <c r="O2" s="109" t="s">
        <v>1993</v>
      </c>
      <c r="P2" s="109" t="s">
        <v>2191</v>
      </c>
      <c r="Q2" s="109" t="s">
        <v>2607</v>
      </c>
    </row>
    <row r="3" spans="1:56" ht="25">
      <c r="A3" s="108" t="s">
        <v>261</v>
      </c>
      <c r="B3" s="111">
        <v>1</v>
      </c>
      <c r="C3" s="111" t="s">
        <v>262</v>
      </c>
      <c r="D3" s="111" t="s">
        <v>3066</v>
      </c>
      <c r="E3" s="111" t="s">
        <v>263</v>
      </c>
      <c r="F3" s="111" t="s">
        <v>264</v>
      </c>
      <c r="G3" s="111" t="s">
        <v>265</v>
      </c>
      <c r="H3" s="111" t="s">
        <v>266</v>
      </c>
      <c r="I3" s="111">
        <v>8</v>
      </c>
      <c r="J3" s="111" t="s">
        <v>266</v>
      </c>
      <c r="K3" s="111"/>
      <c r="L3" s="111"/>
      <c r="M3" s="111" t="s">
        <v>270</v>
      </c>
      <c r="N3" s="111"/>
      <c r="O3" s="111"/>
      <c r="P3" s="111"/>
      <c r="Q3" s="111"/>
    </row>
    <row r="4" spans="1:56" ht="25">
      <c r="A4" s="108" t="s">
        <v>261</v>
      </c>
      <c r="B4" s="111">
        <v>2</v>
      </c>
      <c r="C4" s="111" t="s">
        <v>257</v>
      </c>
      <c r="D4" s="111" t="s">
        <v>3067</v>
      </c>
      <c r="E4" s="111" t="s">
        <v>263</v>
      </c>
      <c r="F4" s="111" t="s">
        <v>267</v>
      </c>
      <c r="G4" s="111" t="s">
        <v>265</v>
      </c>
      <c r="H4" s="111" t="s">
        <v>266</v>
      </c>
      <c r="I4" s="111">
        <v>8</v>
      </c>
      <c r="J4" s="111" t="s">
        <v>266</v>
      </c>
      <c r="K4" s="111"/>
      <c r="L4" s="111" t="s">
        <v>270</v>
      </c>
      <c r="M4" s="111"/>
      <c r="N4" s="111"/>
      <c r="O4" s="111"/>
      <c r="P4" s="111"/>
      <c r="Q4" s="111"/>
    </row>
    <row r="5" spans="1:56" ht="25">
      <c r="A5" s="108" t="s">
        <v>6</v>
      </c>
      <c r="B5" s="111">
        <v>3</v>
      </c>
      <c r="C5" s="111" t="s">
        <v>262</v>
      </c>
      <c r="D5" s="111" t="s">
        <v>3068</v>
      </c>
      <c r="E5" s="111" t="s">
        <v>313</v>
      </c>
      <c r="F5" s="92" t="s">
        <v>315</v>
      </c>
      <c r="G5" s="111" t="s">
        <v>265</v>
      </c>
      <c r="H5" s="111" t="s">
        <v>190</v>
      </c>
      <c r="I5" s="111">
        <v>8</v>
      </c>
      <c r="J5" s="111" t="s">
        <v>190</v>
      </c>
      <c r="K5" s="111"/>
      <c r="L5" s="111"/>
      <c r="M5" s="111"/>
      <c r="N5" s="111"/>
      <c r="O5" s="111"/>
      <c r="P5" s="111" t="s">
        <v>312</v>
      </c>
      <c r="Q5" s="111"/>
    </row>
    <row r="6" spans="1:56" ht="25">
      <c r="A6" s="108" t="s">
        <v>6</v>
      </c>
      <c r="B6" s="111">
        <v>4</v>
      </c>
      <c r="C6" s="111" t="s">
        <v>2191</v>
      </c>
      <c r="D6" s="111" t="s">
        <v>3067</v>
      </c>
      <c r="E6" s="111" t="s">
        <v>314</v>
      </c>
      <c r="F6" s="92" t="s">
        <v>316</v>
      </c>
      <c r="G6" s="111" t="s">
        <v>265</v>
      </c>
      <c r="H6" s="111" t="s">
        <v>190</v>
      </c>
      <c r="I6" s="111">
        <v>8</v>
      </c>
      <c r="J6" s="111" t="s">
        <v>190</v>
      </c>
      <c r="K6" s="111"/>
      <c r="L6" s="111" t="s">
        <v>195</v>
      </c>
      <c r="M6" s="111"/>
      <c r="N6" s="111"/>
      <c r="O6" s="111"/>
      <c r="P6" s="111"/>
      <c r="Q6" s="111"/>
    </row>
    <row r="7" spans="1:56" ht="25">
      <c r="A7" s="108" t="s">
        <v>6</v>
      </c>
      <c r="B7" s="111">
        <v>5</v>
      </c>
      <c r="C7" s="111" t="s">
        <v>262</v>
      </c>
      <c r="D7" s="111" t="s">
        <v>3068</v>
      </c>
      <c r="E7" s="111" t="s">
        <v>319</v>
      </c>
      <c r="F7" s="92" t="s">
        <v>317</v>
      </c>
      <c r="G7" s="111" t="s">
        <v>265</v>
      </c>
      <c r="H7" s="111" t="s">
        <v>190</v>
      </c>
      <c r="I7" s="111">
        <v>8</v>
      </c>
      <c r="J7" s="111" t="s">
        <v>190</v>
      </c>
      <c r="K7" s="111"/>
      <c r="L7" s="111"/>
      <c r="M7" s="111"/>
      <c r="N7" s="111"/>
      <c r="O7" s="111"/>
      <c r="P7" s="111" t="s">
        <v>318</v>
      </c>
      <c r="Q7" s="111"/>
    </row>
    <row r="8" spans="1:56" ht="25">
      <c r="A8" s="108" t="s">
        <v>518</v>
      </c>
      <c r="B8" s="111">
        <v>6</v>
      </c>
      <c r="C8" s="111" t="s">
        <v>519</v>
      </c>
      <c r="D8" s="111" t="s">
        <v>3069</v>
      </c>
      <c r="E8" s="112" t="s">
        <v>521</v>
      </c>
      <c r="F8" s="111" t="s">
        <v>527</v>
      </c>
      <c r="G8" s="111" t="s">
        <v>522</v>
      </c>
      <c r="H8" s="111" t="s">
        <v>523</v>
      </c>
      <c r="I8" s="111">
        <v>8</v>
      </c>
      <c r="J8" s="111" t="s">
        <v>523</v>
      </c>
      <c r="K8" s="111"/>
      <c r="L8" s="111"/>
      <c r="M8" s="111"/>
      <c r="N8" s="111" t="s">
        <v>526</v>
      </c>
      <c r="O8" s="113"/>
      <c r="P8" s="113"/>
      <c r="Q8" s="113"/>
      <c r="R8" s="114"/>
    </row>
    <row r="9" spans="1:56" ht="25">
      <c r="A9" s="108" t="s">
        <v>518</v>
      </c>
      <c r="B9" s="111">
        <v>7</v>
      </c>
      <c r="C9" s="111" t="s">
        <v>520</v>
      </c>
      <c r="D9" s="111" t="s">
        <v>3067</v>
      </c>
      <c r="E9" s="112" t="s">
        <v>521</v>
      </c>
      <c r="F9" s="111" t="s">
        <v>528</v>
      </c>
      <c r="G9" s="111" t="s">
        <v>522</v>
      </c>
      <c r="H9" s="111" t="s">
        <v>523</v>
      </c>
      <c r="I9" s="111">
        <v>8</v>
      </c>
      <c r="J9" s="111" t="s">
        <v>523</v>
      </c>
      <c r="K9" s="111"/>
      <c r="L9" s="111" t="s">
        <v>524</v>
      </c>
      <c r="M9" s="111"/>
      <c r="N9" s="111"/>
      <c r="O9" s="113"/>
      <c r="P9" s="113"/>
      <c r="Q9" s="113"/>
      <c r="R9" s="114"/>
    </row>
    <row r="10" spans="1:56" s="97" customFormat="1" ht="25">
      <c r="A10" s="86" t="s">
        <v>1830</v>
      </c>
      <c r="B10" s="111">
        <v>8</v>
      </c>
      <c r="C10" s="88" t="s">
        <v>1831</v>
      </c>
      <c r="D10" s="87"/>
      <c r="E10" s="91" t="s">
        <v>1834</v>
      </c>
      <c r="F10" s="90" t="s">
        <v>1832</v>
      </c>
      <c r="G10" s="88" t="s">
        <v>1833</v>
      </c>
      <c r="H10" s="90" t="s">
        <v>1835</v>
      </c>
      <c r="I10" s="90">
        <v>8</v>
      </c>
      <c r="J10" s="96" t="s">
        <v>1836</v>
      </c>
      <c r="K10" s="96"/>
      <c r="L10" s="88"/>
      <c r="M10" s="87"/>
      <c r="N10" s="87"/>
      <c r="O10" s="115"/>
      <c r="P10" s="116"/>
      <c r="Q10" s="115"/>
      <c r="R10" s="117"/>
      <c r="S10" s="94"/>
      <c r="T10" s="93"/>
      <c r="U10" s="93"/>
      <c r="V10" s="93"/>
      <c r="W10" s="93"/>
      <c r="X10" s="93"/>
      <c r="Y10" s="93"/>
      <c r="Z10" s="93"/>
      <c r="AA10" s="93"/>
      <c r="AB10" s="93"/>
      <c r="AC10" s="94"/>
      <c r="AD10" s="93"/>
      <c r="AE10" s="93"/>
      <c r="AF10" s="93"/>
      <c r="AG10" s="93"/>
      <c r="AH10" s="93"/>
      <c r="AI10" s="93"/>
      <c r="AJ10" s="93"/>
      <c r="AK10" s="93"/>
      <c r="AL10" s="93"/>
      <c r="AM10" s="95"/>
      <c r="AN10" s="94"/>
      <c r="AO10" s="93"/>
      <c r="AP10" s="93"/>
      <c r="AQ10" s="89"/>
      <c r="AR10" s="89"/>
      <c r="AS10" s="89"/>
      <c r="AT10" s="89"/>
      <c r="AU10" s="89"/>
      <c r="AV10" s="89"/>
      <c r="AW10" s="89"/>
      <c r="AX10" s="89"/>
      <c r="AY10" s="89"/>
      <c r="AZ10" s="89"/>
      <c r="BA10" s="89"/>
      <c r="BB10" s="89"/>
      <c r="BC10" s="89"/>
      <c r="BD10" s="98"/>
    </row>
    <row r="11" spans="1:56" ht="25">
      <c r="A11" s="108" t="s">
        <v>2597</v>
      </c>
      <c r="B11" s="111">
        <v>9</v>
      </c>
      <c r="C11" s="111" t="s">
        <v>2598</v>
      </c>
      <c r="D11" s="111" t="s">
        <v>2942</v>
      </c>
      <c r="E11" s="111" t="s">
        <v>2599</v>
      </c>
      <c r="F11" s="111" t="s">
        <v>2600</v>
      </c>
      <c r="G11" s="111" t="s">
        <v>2601</v>
      </c>
      <c r="H11" s="111" t="s">
        <v>2602</v>
      </c>
      <c r="I11" s="111">
        <v>8</v>
      </c>
      <c r="J11" s="111" t="s">
        <v>2602</v>
      </c>
      <c r="K11" s="111" t="s">
        <v>2605</v>
      </c>
      <c r="L11" s="111"/>
      <c r="M11" s="111"/>
      <c r="N11" s="111"/>
      <c r="O11" s="111"/>
      <c r="P11" s="111"/>
      <c r="Q11" s="111" t="s">
        <v>2605</v>
      </c>
    </row>
    <row r="12" spans="1:56" ht="25">
      <c r="A12" s="108" t="s">
        <v>2597</v>
      </c>
      <c r="B12" s="111">
        <v>10</v>
      </c>
      <c r="C12" s="111" t="s">
        <v>2603</v>
      </c>
      <c r="D12" s="111" t="s">
        <v>3070</v>
      </c>
      <c r="E12" s="111" t="s">
        <v>2599</v>
      </c>
      <c r="F12" s="111" t="s">
        <v>2604</v>
      </c>
      <c r="G12" s="111" t="s">
        <v>2601</v>
      </c>
      <c r="H12" s="111" t="s">
        <v>2602</v>
      </c>
      <c r="I12" s="111">
        <v>8</v>
      </c>
      <c r="J12" s="111" t="s">
        <v>2602</v>
      </c>
      <c r="K12" s="111" t="s">
        <v>2605</v>
      </c>
      <c r="L12" s="111" t="s">
        <v>2605</v>
      </c>
      <c r="M12" s="111"/>
      <c r="N12" s="111"/>
      <c r="O12" s="111"/>
      <c r="P12" s="111"/>
      <c r="Q12" s="111"/>
    </row>
    <row r="13" spans="1:56" ht="25">
      <c r="A13" s="108"/>
      <c r="B13" s="111"/>
      <c r="C13" s="111"/>
      <c r="D13" s="111"/>
      <c r="E13" s="111"/>
      <c r="F13" s="111"/>
      <c r="G13" s="111"/>
      <c r="H13" s="111"/>
      <c r="I13" s="111"/>
      <c r="J13" s="111"/>
      <c r="K13" s="111"/>
      <c r="L13" s="111"/>
      <c r="M13" s="111"/>
      <c r="N13" s="111"/>
      <c r="O13" s="111"/>
      <c r="P13" s="111"/>
      <c r="Q13" s="111"/>
    </row>
    <row r="14" spans="1:56">
      <c r="A14" s="118"/>
      <c r="B14" s="111"/>
      <c r="C14" s="111"/>
      <c r="D14" s="111"/>
      <c r="E14" s="111"/>
      <c r="F14" s="111"/>
      <c r="G14" s="111"/>
      <c r="H14" s="111"/>
      <c r="I14" s="111"/>
      <c r="J14" s="111"/>
      <c r="K14" s="111"/>
      <c r="L14" s="111"/>
      <c r="M14" s="111"/>
      <c r="N14" s="111"/>
      <c r="O14" s="111"/>
      <c r="P14" s="111"/>
      <c r="Q14" s="111"/>
    </row>
    <row r="15" spans="1:56">
      <c r="A15" s="118"/>
      <c r="B15" s="111"/>
      <c r="C15" s="111"/>
      <c r="D15" s="111"/>
      <c r="E15" s="111"/>
      <c r="F15" s="111"/>
      <c r="G15" s="111"/>
      <c r="H15" s="111"/>
      <c r="I15" s="111"/>
      <c r="J15" s="111"/>
      <c r="K15" s="111"/>
      <c r="L15" s="111"/>
      <c r="M15" s="111"/>
      <c r="N15" s="111"/>
      <c r="O15" s="111"/>
      <c r="P15" s="111"/>
      <c r="Q15" s="111"/>
    </row>
    <row r="16" spans="1:56">
      <c r="A16" s="118"/>
      <c r="B16" s="111"/>
      <c r="C16" s="111"/>
      <c r="D16" s="111"/>
      <c r="E16" s="111"/>
      <c r="F16" s="111"/>
      <c r="G16" s="111"/>
      <c r="H16" s="111"/>
      <c r="I16" s="111"/>
      <c r="J16" s="111"/>
      <c r="K16" s="111"/>
      <c r="L16" s="111"/>
      <c r="M16" s="111"/>
      <c r="N16" s="111"/>
      <c r="O16" s="111"/>
      <c r="P16" s="111"/>
      <c r="Q16" s="111"/>
    </row>
    <row r="17" spans="1:17" ht="14" thickBot="1">
      <c r="A17" s="119"/>
      <c r="B17" s="120"/>
      <c r="C17" s="120"/>
      <c r="D17" s="120"/>
      <c r="E17" s="120"/>
      <c r="F17" s="120"/>
      <c r="G17" s="120"/>
      <c r="H17" s="120"/>
      <c r="I17" s="120"/>
      <c r="J17" s="120"/>
      <c r="K17" s="120"/>
      <c r="L17" s="120"/>
      <c r="M17" s="120"/>
      <c r="N17" s="120"/>
      <c r="O17" s="120"/>
      <c r="P17" s="120"/>
      <c r="Q17" s="120"/>
    </row>
    <row r="25" spans="1:17" ht="12.75" customHeight="1">
      <c r="C25" s="390" t="s">
        <v>28</v>
      </c>
      <c r="D25" s="390"/>
      <c r="E25" s="390"/>
      <c r="F25" s="390"/>
      <c r="G25" s="390"/>
      <c r="H25" s="390"/>
      <c r="I25" s="390"/>
      <c r="J25" s="121"/>
      <c r="K25" s="121"/>
    </row>
    <row r="26" spans="1:17" ht="12.75" customHeight="1">
      <c r="B26" s="121"/>
      <c r="C26" s="390"/>
      <c r="D26" s="390"/>
      <c r="E26" s="390"/>
      <c r="F26" s="390"/>
      <c r="G26" s="390"/>
      <c r="H26" s="390"/>
      <c r="I26" s="390"/>
      <c r="J26" s="121"/>
      <c r="K26" s="121"/>
    </row>
    <row r="27" spans="1:17" ht="12.75" customHeight="1">
      <c r="B27" s="121"/>
      <c r="C27" s="390"/>
      <c r="D27" s="390"/>
      <c r="E27" s="390"/>
      <c r="F27" s="390"/>
      <c r="G27" s="390"/>
      <c r="H27" s="390"/>
      <c r="I27" s="390"/>
      <c r="J27" s="121"/>
      <c r="K27" s="121"/>
    </row>
    <row r="28" spans="1:17" ht="13.5" customHeight="1">
      <c r="B28" s="121"/>
      <c r="C28" s="390"/>
      <c r="D28" s="390"/>
      <c r="E28" s="390"/>
      <c r="F28" s="390"/>
      <c r="G28" s="390"/>
      <c r="H28" s="390"/>
      <c r="I28" s="390"/>
      <c r="J28" s="121"/>
      <c r="K28" s="121"/>
    </row>
  </sheetData>
  <protectedRanges>
    <protectedRange sqref="B7:B10 B3:K6 C7:K7 B11" name="区域2"/>
    <protectedRange sqref="A3:A7" name="区域2_1"/>
    <protectedRange sqref="C8:D9 G8:K9" name="区域2_2"/>
    <protectedRange sqref="A8:A9" name="区域2_1_1"/>
    <protectedRange sqref="A10" name="区域2_3"/>
    <protectedRange sqref="AC10" name="区域2_4"/>
    <protectedRange sqref="M10:O10 R10:S10 Q10" name="区域2_11"/>
    <protectedRange sqref="AN10:AO10 Z10:AA10" name="区域2_1_1_1"/>
    <protectedRange sqref="X10:Y10" name="区域2_5"/>
    <protectedRange sqref="AP10" name="区域2_1_1_1_1"/>
    <protectedRange sqref="C11:K12" name="区域2_6"/>
    <protectedRange sqref="A11:A12" name="区域2_1_2"/>
  </protectedRanges>
  <mergeCells count="12">
    <mergeCell ref="K1:Q1"/>
    <mergeCell ref="A1:A2"/>
    <mergeCell ref="C25:I28"/>
    <mergeCell ref="H1:H2"/>
    <mergeCell ref="I1:I2"/>
    <mergeCell ref="J1:J2"/>
    <mergeCell ref="B1:B2"/>
    <mergeCell ref="C1:C2"/>
    <mergeCell ref="D1:D2"/>
    <mergeCell ref="E1:E2"/>
    <mergeCell ref="F1:F2"/>
    <mergeCell ref="G1:G2"/>
  </mergeCells>
  <phoneticPr fontId="8" type="noConversion"/>
  <conditionalFormatting sqref="A3:A13">
    <cfRule type="cellIs" dxfId="2" priority="25" stopIfTrue="1" operator="equal">
      <formula>"J"</formula>
    </cfRule>
    <cfRule type="cellIs" dxfId="1" priority="26" stopIfTrue="1" operator="equal">
      <formula>"K"</formula>
    </cfRule>
    <cfRule type="cellIs" dxfId="0" priority="27" stopIfTrue="1" operator="equal">
      <formula>"L"</formula>
    </cfRule>
  </conditionalFormatting>
  <dataValidations count="2">
    <dataValidation allowBlank="1" showErrorMessage="1" sqref="F1:I2" xr:uid="{00000000-0002-0000-0300-000000000000}"/>
    <dataValidation allowBlank="1" showErrorMessage="1" promptTitle="note:" prompt="This table must be filled out by the supplier." sqref="C1:E2" xr:uid="{00000000-0002-0000-0300-000001000000}"/>
  </dataValidation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F56"/>
  <sheetViews>
    <sheetView topLeftCell="C1" workbookViewId="0">
      <pane ySplit="1" topLeftCell="A13" activePane="bottomLeft" state="frozen"/>
      <selection pane="bottomLeft" activeCell="C19" sqref="C19"/>
    </sheetView>
  </sheetViews>
  <sheetFormatPr baseColWidth="10" defaultColWidth="39.33203125" defaultRowHeight="13"/>
  <cols>
    <col min="1" max="1" width="6" style="12" bestFit="1" customWidth="1"/>
    <col min="2" max="2" width="39.33203125" style="12" customWidth="1"/>
    <col min="3" max="3" width="86.6640625" style="12" customWidth="1"/>
    <col min="4" max="4" width="61.5" style="12" customWidth="1"/>
    <col min="5" max="16384" width="39.33203125" style="12"/>
  </cols>
  <sheetData>
    <row r="1" spans="1:5" ht="20" thickBot="1">
      <c r="A1" s="15" t="s">
        <v>33</v>
      </c>
      <c r="B1" s="16" t="s">
        <v>34</v>
      </c>
      <c r="C1" s="16" t="s">
        <v>35</v>
      </c>
      <c r="D1" s="17" t="s">
        <v>36</v>
      </c>
      <c r="E1" s="18" t="s">
        <v>37</v>
      </c>
    </row>
    <row r="2" spans="1:5" s="14" customFormat="1" ht="14">
      <c r="A2" s="19">
        <v>1</v>
      </c>
      <c r="B2" s="20" t="s">
        <v>38</v>
      </c>
      <c r="C2" s="20" t="s">
        <v>39</v>
      </c>
      <c r="D2" s="20" t="s">
        <v>40</v>
      </c>
      <c r="E2" s="21"/>
    </row>
    <row r="3" spans="1:5" s="14" customFormat="1" ht="14">
      <c r="A3" s="19">
        <v>2</v>
      </c>
      <c r="B3" s="20" t="s">
        <v>41</v>
      </c>
      <c r="C3" s="20" t="s">
        <v>42</v>
      </c>
      <c r="D3" s="20" t="s">
        <v>43</v>
      </c>
      <c r="E3" s="22"/>
    </row>
    <row r="4" spans="1:5" s="14" customFormat="1" ht="28">
      <c r="A4" s="19">
        <v>3</v>
      </c>
      <c r="B4" s="23" t="s">
        <v>44</v>
      </c>
      <c r="C4" s="23" t="s">
        <v>45</v>
      </c>
      <c r="D4" s="24" t="s">
        <v>46</v>
      </c>
      <c r="E4" s="22"/>
    </row>
    <row r="5" spans="1:5" s="14" customFormat="1" ht="42">
      <c r="A5" s="19">
        <v>4</v>
      </c>
      <c r="B5" s="20" t="s">
        <v>47</v>
      </c>
      <c r="C5" s="20" t="s">
        <v>48</v>
      </c>
      <c r="D5" s="20" t="s">
        <v>49</v>
      </c>
      <c r="E5" s="21"/>
    </row>
    <row r="6" spans="1:5" s="14" customFormat="1" ht="28">
      <c r="A6" s="19">
        <v>5</v>
      </c>
      <c r="B6" s="20" t="s">
        <v>50</v>
      </c>
      <c r="C6" s="20" t="s">
        <v>51</v>
      </c>
      <c r="D6" s="9" t="s">
        <v>52</v>
      </c>
      <c r="E6" s="21"/>
    </row>
    <row r="7" spans="1:5" s="14" customFormat="1" ht="28">
      <c r="A7" s="19">
        <v>6</v>
      </c>
      <c r="B7" s="20" t="s">
        <v>53</v>
      </c>
      <c r="C7" s="25" t="s">
        <v>54</v>
      </c>
      <c r="D7" s="10" t="s">
        <v>55</v>
      </c>
      <c r="E7" s="21"/>
    </row>
    <row r="8" spans="1:5" s="14" customFormat="1" ht="14">
      <c r="A8" s="19">
        <v>7</v>
      </c>
      <c r="B8" s="10" t="s">
        <v>56</v>
      </c>
      <c r="C8" s="10" t="s">
        <v>57</v>
      </c>
      <c r="D8" s="10" t="s">
        <v>58</v>
      </c>
      <c r="E8" s="26"/>
    </row>
    <row r="9" spans="1:5" s="14" customFormat="1" ht="28">
      <c r="A9" s="19">
        <v>8</v>
      </c>
      <c r="B9" s="20" t="s">
        <v>59</v>
      </c>
      <c r="C9" s="20" t="s">
        <v>60</v>
      </c>
      <c r="D9" s="27" t="s">
        <v>61</v>
      </c>
      <c r="E9" s="21"/>
    </row>
    <row r="10" spans="1:5" s="14" customFormat="1" ht="42">
      <c r="A10" s="19">
        <v>9</v>
      </c>
      <c r="B10" s="20" t="s">
        <v>62</v>
      </c>
      <c r="C10" s="20" t="s">
        <v>63</v>
      </c>
      <c r="D10" s="13" t="s">
        <v>61</v>
      </c>
      <c r="E10" s="21"/>
    </row>
    <row r="11" spans="1:5" s="14" customFormat="1" ht="42">
      <c r="A11" s="19">
        <v>10</v>
      </c>
      <c r="B11" s="20" t="s">
        <v>64</v>
      </c>
      <c r="C11" s="20" t="s">
        <v>65</v>
      </c>
      <c r="D11" s="13" t="s">
        <v>66</v>
      </c>
      <c r="E11" s="21"/>
    </row>
    <row r="12" spans="1:5" s="14" customFormat="1" ht="28">
      <c r="A12" s="19">
        <v>11</v>
      </c>
      <c r="B12" s="20" t="s">
        <v>67</v>
      </c>
      <c r="C12" s="20" t="s">
        <v>68</v>
      </c>
      <c r="D12" s="13" t="s">
        <v>69</v>
      </c>
      <c r="E12" s="21"/>
    </row>
    <row r="13" spans="1:5" s="14" customFormat="1" ht="98">
      <c r="A13" s="19">
        <v>12</v>
      </c>
      <c r="B13" s="20" t="s">
        <v>70</v>
      </c>
      <c r="C13" s="10" t="s">
        <v>71</v>
      </c>
      <c r="D13" s="28" t="s">
        <v>72</v>
      </c>
      <c r="E13" s="21"/>
    </row>
    <row r="14" spans="1:5" s="14" customFormat="1" ht="91.5" customHeight="1">
      <c r="A14" s="19">
        <v>13</v>
      </c>
      <c r="B14" s="20" t="s">
        <v>73</v>
      </c>
      <c r="C14" s="10" t="s">
        <v>74</v>
      </c>
      <c r="D14" s="393"/>
      <c r="E14" s="21"/>
    </row>
    <row r="15" spans="1:5" s="14" customFormat="1" ht="91.5" customHeight="1">
      <c r="A15" s="19">
        <v>14</v>
      </c>
      <c r="B15" s="20" t="s">
        <v>75</v>
      </c>
      <c r="C15" s="10" t="s">
        <v>76</v>
      </c>
      <c r="D15" s="394"/>
      <c r="E15" s="21"/>
    </row>
    <row r="16" spans="1:5" s="14" customFormat="1" ht="28">
      <c r="A16" s="19">
        <v>15</v>
      </c>
      <c r="B16" s="10" t="s">
        <v>77</v>
      </c>
      <c r="C16" s="10" t="s">
        <v>78</v>
      </c>
      <c r="D16" s="29">
        <v>8</v>
      </c>
      <c r="E16" s="26"/>
    </row>
    <row r="17" spans="1:5" s="14" customFormat="1" ht="86.25" customHeight="1">
      <c r="A17" s="19">
        <v>16</v>
      </c>
      <c r="B17" s="10" t="s">
        <v>79</v>
      </c>
      <c r="C17" s="30" t="s">
        <v>80</v>
      </c>
      <c r="D17" s="395"/>
      <c r="E17" s="26"/>
    </row>
    <row r="18" spans="1:5" s="14" customFormat="1" ht="86.25" customHeight="1">
      <c r="A18" s="19">
        <v>17</v>
      </c>
      <c r="B18" s="10" t="s">
        <v>81</v>
      </c>
      <c r="C18" s="25" t="s">
        <v>82</v>
      </c>
      <c r="D18" s="396"/>
      <c r="E18" s="26"/>
    </row>
    <row r="19" spans="1:5" s="14" customFormat="1" ht="14">
      <c r="A19" s="19">
        <v>18</v>
      </c>
      <c r="B19" s="10" t="s">
        <v>83</v>
      </c>
      <c r="C19" s="25" t="s">
        <v>84</v>
      </c>
      <c r="D19" s="10" t="s">
        <v>85</v>
      </c>
      <c r="E19" s="26"/>
    </row>
    <row r="20" spans="1:5" s="14" customFormat="1" ht="14">
      <c r="A20" s="19">
        <v>19</v>
      </c>
      <c r="B20" s="10" t="s">
        <v>86</v>
      </c>
      <c r="C20" s="10" t="s">
        <v>87</v>
      </c>
      <c r="D20" s="10" t="s">
        <v>88</v>
      </c>
      <c r="E20" s="26"/>
    </row>
    <row r="21" spans="1:5" s="14" customFormat="1" ht="14">
      <c r="A21" s="19">
        <v>20</v>
      </c>
      <c r="B21" s="11" t="s">
        <v>89</v>
      </c>
      <c r="C21" s="10" t="s">
        <v>90</v>
      </c>
      <c r="D21" s="10" t="s">
        <v>91</v>
      </c>
      <c r="E21" s="31"/>
    </row>
    <row r="22" spans="1:5" s="14" customFormat="1" ht="14">
      <c r="A22" s="19">
        <v>21</v>
      </c>
      <c r="B22" s="11" t="s">
        <v>92</v>
      </c>
      <c r="C22" s="10" t="s">
        <v>93</v>
      </c>
      <c r="D22" s="10" t="s">
        <v>94</v>
      </c>
      <c r="E22" s="31"/>
    </row>
    <row r="23" spans="1:5" s="14" customFormat="1" ht="28">
      <c r="A23" s="19">
        <v>22</v>
      </c>
      <c r="B23" s="11" t="s">
        <v>95</v>
      </c>
      <c r="C23" s="10" t="s">
        <v>96</v>
      </c>
      <c r="D23" s="10" t="s">
        <v>97</v>
      </c>
      <c r="E23" s="31"/>
    </row>
    <row r="24" spans="1:5" s="14" customFormat="1" ht="28">
      <c r="A24" s="19">
        <v>23</v>
      </c>
      <c r="B24" s="11" t="s">
        <v>98</v>
      </c>
      <c r="C24" s="10" t="s">
        <v>99</v>
      </c>
      <c r="D24" s="32" t="s">
        <v>100</v>
      </c>
      <c r="E24" s="31"/>
    </row>
    <row r="25" spans="1:5" s="14" customFormat="1" ht="70">
      <c r="A25" s="19">
        <v>24</v>
      </c>
      <c r="B25" s="33" t="s">
        <v>101</v>
      </c>
      <c r="C25" s="10" t="s">
        <v>102</v>
      </c>
      <c r="D25" s="32" t="s">
        <v>103</v>
      </c>
      <c r="E25" s="31"/>
    </row>
    <row r="26" spans="1:5" s="14" customFormat="1" ht="14">
      <c r="A26" s="19">
        <v>25</v>
      </c>
      <c r="B26" s="33" t="s">
        <v>104</v>
      </c>
      <c r="C26" s="10" t="s">
        <v>105</v>
      </c>
      <c r="D26" s="34">
        <v>5.6250000000000001E-2</v>
      </c>
      <c r="E26" s="31"/>
    </row>
    <row r="27" spans="1:5" s="14" customFormat="1" ht="91.5" customHeight="1">
      <c r="A27" s="19">
        <v>26</v>
      </c>
      <c r="B27" s="11" t="s">
        <v>106</v>
      </c>
      <c r="C27" s="10" t="s">
        <v>107</v>
      </c>
      <c r="D27" s="32" t="s">
        <v>108</v>
      </c>
      <c r="E27" s="31"/>
    </row>
    <row r="28" spans="1:5" s="14" customFormat="1" ht="91.5" customHeight="1">
      <c r="A28" s="19">
        <v>27</v>
      </c>
      <c r="B28" s="11" t="s">
        <v>109</v>
      </c>
      <c r="C28" s="10" t="s">
        <v>110</v>
      </c>
      <c r="D28" s="32" t="s">
        <v>111</v>
      </c>
      <c r="E28" s="31"/>
    </row>
    <row r="29" spans="1:5" s="14" customFormat="1" ht="14">
      <c r="A29" s="19">
        <v>28</v>
      </c>
      <c r="B29" s="11" t="s">
        <v>112</v>
      </c>
      <c r="C29" s="10" t="s">
        <v>113</v>
      </c>
      <c r="D29" s="32" t="s">
        <v>114</v>
      </c>
      <c r="E29" s="31"/>
    </row>
    <row r="30" spans="1:5" s="14" customFormat="1" ht="14">
      <c r="A30" s="19">
        <v>29</v>
      </c>
      <c r="B30" s="11" t="s">
        <v>115</v>
      </c>
      <c r="C30" s="10" t="s">
        <v>116</v>
      </c>
      <c r="D30" s="32" t="s">
        <v>117</v>
      </c>
      <c r="E30" s="31"/>
    </row>
    <row r="31" spans="1:5" s="14" customFormat="1" ht="14">
      <c r="A31" s="19">
        <v>30</v>
      </c>
      <c r="B31" s="33" t="s">
        <v>118</v>
      </c>
      <c r="C31" s="10" t="s">
        <v>119</v>
      </c>
      <c r="D31" s="34">
        <v>0</v>
      </c>
      <c r="E31" s="31"/>
    </row>
    <row r="32" spans="1:5" s="14" customFormat="1" ht="14">
      <c r="A32" s="19">
        <v>31</v>
      </c>
      <c r="B32" s="11" t="s">
        <v>120</v>
      </c>
      <c r="C32" s="10" t="s">
        <v>121</v>
      </c>
      <c r="D32" s="32" t="s">
        <v>122</v>
      </c>
      <c r="E32" s="31"/>
    </row>
    <row r="33" spans="1:6" s="14" customFormat="1" ht="14">
      <c r="A33" s="19">
        <v>32</v>
      </c>
      <c r="B33" s="11" t="s">
        <v>123</v>
      </c>
      <c r="C33" s="10" t="s">
        <v>124</v>
      </c>
      <c r="D33" s="32" t="s">
        <v>125</v>
      </c>
      <c r="E33" s="31"/>
    </row>
    <row r="34" spans="1:6" s="38" customFormat="1" ht="17">
      <c r="A34" s="397">
        <v>33</v>
      </c>
      <c r="B34" s="398" t="s">
        <v>126</v>
      </c>
      <c r="C34" s="35" t="s">
        <v>127</v>
      </c>
      <c r="D34" s="36" t="s">
        <v>128</v>
      </c>
      <c r="E34" s="37"/>
      <c r="F34" s="14"/>
    </row>
    <row r="35" spans="1:6" s="38" customFormat="1" ht="14">
      <c r="A35" s="397"/>
      <c r="B35" s="398"/>
      <c r="C35" s="39" t="s">
        <v>129</v>
      </c>
      <c r="D35" s="40" t="s">
        <v>130</v>
      </c>
      <c r="E35" s="41"/>
      <c r="F35" s="14"/>
    </row>
    <row r="36" spans="1:6" s="38" customFormat="1" ht="14">
      <c r="A36" s="397"/>
      <c r="B36" s="398"/>
      <c r="C36" s="39" t="s">
        <v>131</v>
      </c>
      <c r="D36" s="40" t="s">
        <v>7</v>
      </c>
      <c r="E36" s="41"/>
      <c r="F36" s="14"/>
    </row>
    <row r="37" spans="1:6" s="38" customFormat="1">
      <c r="A37" s="397"/>
      <c r="B37" s="398"/>
      <c r="C37" s="42" t="s">
        <v>132</v>
      </c>
      <c r="D37" s="43" t="s">
        <v>133</v>
      </c>
      <c r="E37" s="41"/>
      <c r="F37" s="14"/>
    </row>
    <row r="38" spans="1:6" s="38" customFormat="1" ht="14">
      <c r="A38" s="397"/>
      <c r="B38" s="398"/>
      <c r="C38" s="39" t="s">
        <v>134</v>
      </c>
      <c r="D38" s="44" t="s">
        <v>135</v>
      </c>
      <c r="E38" s="41"/>
      <c r="F38" s="14"/>
    </row>
    <row r="39" spans="1:6" s="38" customFormat="1" ht="14">
      <c r="A39" s="397"/>
      <c r="B39" s="398"/>
      <c r="C39" s="39" t="s">
        <v>136</v>
      </c>
      <c r="D39" s="44" t="s">
        <v>137</v>
      </c>
      <c r="E39" s="41"/>
      <c r="F39" s="14"/>
    </row>
    <row r="40" spans="1:6" s="38" customFormat="1">
      <c r="A40" s="397"/>
      <c r="B40" s="398"/>
      <c r="C40" s="45" t="s">
        <v>138</v>
      </c>
      <c r="D40" s="44" t="s">
        <v>139</v>
      </c>
      <c r="E40" s="41"/>
      <c r="F40" s="14"/>
    </row>
    <row r="41" spans="1:6" s="38" customFormat="1" ht="14">
      <c r="A41" s="397"/>
      <c r="B41" s="398"/>
      <c r="C41" s="39" t="s">
        <v>140</v>
      </c>
      <c r="D41" s="44" t="s">
        <v>141</v>
      </c>
      <c r="E41" s="41"/>
      <c r="F41" s="14"/>
    </row>
    <row r="42" spans="1:6" s="38" customFormat="1">
      <c r="A42" s="397"/>
      <c r="B42" s="398"/>
      <c r="C42" s="45" t="s">
        <v>142</v>
      </c>
      <c r="D42" s="44" t="s">
        <v>143</v>
      </c>
      <c r="E42" s="41"/>
      <c r="F42" s="14"/>
    </row>
    <row r="43" spans="1:6" s="38" customFormat="1">
      <c r="A43" s="397"/>
      <c r="B43" s="398"/>
      <c r="C43" s="45" t="s">
        <v>144</v>
      </c>
      <c r="D43" s="44" t="s">
        <v>145</v>
      </c>
      <c r="E43" s="41"/>
      <c r="F43" s="14"/>
    </row>
    <row r="44" spans="1:6" s="38" customFormat="1">
      <c r="A44" s="397"/>
      <c r="B44" s="398"/>
      <c r="C44" s="45" t="s">
        <v>146</v>
      </c>
      <c r="D44" s="44" t="s">
        <v>147</v>
      </c>
      <c r="E44" s="41"/>
      <c r="F44" s="14"/>
    </row>
    <row r="45" spans="1:6" s="38" customFormat="1">
      <c r="A45" s="397"/>
      <c r="B45" s="398"/>
      <c r="C45" s="45" t="s">
        <v>148</v>
      </c>
      <c r="D45" s="44" t="s">
        <v>149</v>
      </c>
      <c r="E45" s="41"/>
      <c r="F45" s="14"/>
    </row>
    <row r="46" spans="1:6" s="38" customFormat="1">
      <c r="A46" s="397"/>
      <c r="B46" s="398"/>
      <c r="C46" s="45" t="s">
        <v>150</v>
      </c>
      <c r="D46" s="44" t="s">
        <v>151</v>
      </c>
      <c r="E46" s="41"/>
      <c r="F46" s="14"/>
    </row>
    <row r="47" spans="1:6" s="38" customFormat="1">
      <c r="A47" s="397"/>
      <c r="B47" s="398"/>
      <c r="C47" s="45" t="s">
        <v>152</v>
      </c>
      <c r="D47" s="44" t="s">
        <v>153</v>
      </c>
      <c r="E47" s="41"/>
      <c r="F47" s="14"/>
    </row>
    <row r="48" spans="1:6" s="38" customFormat="1">
      <c r="A48" s="397"/>
      <c r="B48" s="398"/>
      <c r="C48" s="45" t="s">
        <v>154</v>
      </c>
      <c r="D48" s="44" t="s">
        <v>155</v>
      </c>
      <c r="E48" s="41"/>
      <c r="F48" s="14"/>
    </row>
    <row r="49" spans="1:6" s="38" customFormat="1">
      <c r="A49" s="397"/>
      <c r="B49" s="398"/>
      <c r="C49" s="46" t="s">
        <v>156</v>
      </c>
      <c r="D49" s="47" t="s">
        <v>157</v>
      </c>
      <c r="E49" s="48"/>
      <c r="F49" s="14"/>
    </row>
    <row r="50" spans="1:6" s="50" customFormat="1" ht="28">
      <c r="A50" s="49">
        <v>34</v>
      </c>
      <c r="B50" s="10" t="s">
        <v>158</v>
      </c>
      <c r="C50" s="11" t="s">
        <v>159</v>
      </c>
      <c r="D50" s="10" t="s">
        <v>160</v>
      </c>
      <c r="E50" s="11"/>
    </row>
    <row r="51" spans="1:6" s="14" customFormat="1" ht="98">
      <c r="A51" s="49">
        <v>35</v>
      </c>
      <c r="B51" s="10" t="s">
        <v>161</v>
      </c>
      <c r="C51" s="28" t="s">
        <v>162</v>
      </c>
      <c r="D51" s="10" t="s">
        <v>163</v>
      </c>
      <c r="E51" s="31"/>
    </row>
    <row r="52" spans="1:6" s="14" customFormat="1" ht="42">
      <c r="A52" s="49">
        <v>36</v>
      </c>
      <c r="B52" s="10" t="s">
        <v>164</v>
      </c>
      <c r="C52" s="10" t="s">
        <v>165</v>
      </c>
      <c r="D52" s="10" t="s">
        <v>166</v>
      </c>
      <c r="E52" s="31"/>
    </row>
    <row r="53" spans="1:6" s="14" customFormat="1" ht="28">
      <c r="A53" s="49">
        <v>37</v>
      </c>
      <c r="B53" s="10" t="s">
        <v>167</v>
      </c>
      <c r="C53" s="10" t="s">
        <v>168</v>
      </c>
      <c r="D53" s="11" t="s">
        <v>169</v>
      </c>
      <c r="E53" s="31"/>
    </row>
    <row r="56" spans="1:6">
      <c r="C56" s="51"/>
    </row>
  </sheetData>
  <mergeCells count="4">
    <mergeCell ref="D14:D15"/>
    <mergeCell ref="D17:D18"/>
    <mergeCell ref="A34:A49"/>
    <mergeCell ref="B34:B49"/>
  </mergeCells>
  <phoneticPr fontId="8"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I23"/>
  <sheetViews>
    <sheetView workbookViewId="0">
      <selection sqref="A1:F10"/>
    </sheetView>
  </sheetViews>
  <sheetFormatPr baseColWidth="10" defaultColWidth="9.1640625" defaultRowHeight="13"/>
  <cols>
    <col min="1" max="4" width="12.5" style="1" customWidth="1"/>
    <col min="5" max="5" width="8.6640625" style="1" customWidth="1"/>
    <col min="6" max="6" width="12.5" style="1" customWidth="1"/>
    <col min="7" max="16384" width="9.1640625" style="1"/>
  </cols>
  <sheetData>
    <row r="1" spans="1:9" ht="35.25" customHeight="1">
      <c r="A1" s="400" t="s">
        <v>1890</v>
      </c>
      <c r="B1" s="400"/>
      <c r="C1" s="400"/>
      <c r="D1" s="400"/>
      <c r="E1" s="400"/>
    </row>
    <row r="2" spans="1:9" ht="35.25" customHeight="1">
      <c r="A2" s="2" t="s">
        <v>1884</v>
      </c>
      <c r="B2" s="2" t="s">
        <v>1885</v>
      </c>
      <c r="D2" s="399"/>
      <c r="E2" s="399"/>
      <c r="F2" s="8"/>
      <c r="G2" s="3"/>
      <c r="H2" s="3"/>
      <c r="I2" s="3"/>
    </row>
    <row r="3" spans="1:9" ht="35.25" customHeight="1">
      <c r="A3" s="4">
        <v>10</v>
      </c>
      <c r="B3" s="5">
        <f>2.4*12</f>
        <v>28.799999999999997</v>
      </c>
    </row>
    <row r="4" spans="1:9" ht="35.25" customHeight="1">
      <c r="A4" s="4">
        <v>20</v>
      </c>
      <c r="B4" s="5">
        <f>1.2*8</f>
        <v>9.6</v>
      </c>
    </row>
    <row r="5" spans="1:9" ht="35.25" customHeight="1">
      <c r="A5" s="4">
        <v>50</v>
      </c>
      <c r="B5" s="5">
        <f>0.48*6</f>
        <v>2.88</v>
      </c>
    </row>
    <row r="6" spans="1:9" ht="35.25" customHeight="1">
      <c r="A6" s="6">
        <v>100</v>
      </c>
      <c r="B6" s="5">
        <f>0.24*19</f>
        <v>4.5599999999999996</v>
      </c>
      <c r="D6" s="399" t="s">
        <v>1886</v>
      </c>
      <c r="E6" s="399"/>
      <c r="F6" s="8">
        <f>B3+B4+B5+B6+B7+B8+B9+B10</f>
        <v>46.788000000000011</v>
      </c>
    </row>
    <row r="7" spans="1:9" ht="35.25" customHeight="1">
      <c r="A7" s="4">
        <v>200</v>
      </c>
      <c r="B7" s="5">
        <f>0.12*5</f>
        <v>0.6</v>
      </c>
    </row>
    <row r="8" spans="1:9" ht="35.25" customHeight="1">
      <c r="A8" s="4">
        <v>500</v>
      </c>
      <c r="B8" s="5">
        <f>0.048*1</f>
        <v>4.8000000000000001E-2</v>
      </c>
    </row>
    <row r="9" spans="1:9" ht="35.25" customHeight="1">
      <c r="A9" s="4">
        <v>1000</v>
      </c>
      <c r="B9" s="5">
        <f>0.024*3</f>
        <v>7.2000000000000008E-2</v>
      </c>
    </row>
    <row r="10" spans="1:9" ht="35.25" customHeight="1">
      <c r="A10" s="7">
        <v>2000</v>
      </c>
      <c r="B10" s="5">
        <f>0.012*19</f>
        <v>0.22800000000000001</v>
      </c>
    </row>
    <row r="11" spans="1:9" ht="35.25" customHeight="1"/>
    <row r="12" spans="1:9" ht="35.25" customHeight="1"/>
    <row r="13" spans="1:9" ht="35.25" customHeight="1"/>
    <row r="14" spans="1:9" ht="35.25" customHeight="1"/>
    <row r="15" spans="1:9" ht="35.25" customHeight="1"/>
    <row r="16" spans="1:9" ht="35.25" customHeight="1"/>
    <row r="17" ht="35.25" customHeight="1"/>
    <row r="18" ht="35.25" customHeight="1"/>
    <row r="19" ht="35.25" customHeight="1"/>
    <row r="20" ht="35.25" customHeight="1"/>
    <row r="21" ht="35.25" customHeight="1"/>
    <row r="22" ht="35.25" customHeight="1"/>
    <row r="23" ht="35.25" customHeight="1"/>
  </sheetData>
  <protectedRanges>
    <protectedRange sqref="A6 A8" name="区域2_11"/>
    <protectedRange sqref="A9" name="区域2_1_1_1"/>
    <protectedRange sqref="A5 A2" name="区域2_2_1"/>
    <protectedRange sqref="A10" name="区域2_4_1"/>
    <protectedRange sqref="A10" name="区域2_4_1_1_4"/>
  </protectedRanges>
  <mergeCells count="3">
    <mergeCell ref="D2:E2"/>
    <mergeCell ref="A1:E1"/>
    <mergeCell ref="D6:E6"/>
  </mergeCells>
  <phoneticPr fontId="8" type="noConversion"/>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6</vt:i4>
      </vt:variant>
      <vt:variant>
        <vt:lpstr>命名范围</vt:lpstr>
      </vt:variant>
      <vt:variant>
        <vt:i4>2</vt:i4>
      </vt:variant>
    </vt:vector>
  </HeadingPairs>
  <TitlesOfParts>
    <vt:vector size="8" baseType="lpstr">
      <vt:lpstr>First_Page</vt:lpstr>
      <vt:lpstr>PT_Matrix</vt:lpstr>
      <vt:lpstr>Diag_Message</vt:lpstr>
      <vt:lpstr>Private_Message</vt:lpstr>
      <vt:lpstr>Explanation</vt:lpstr>
      <vt:lpstr>负载率</vt:lpstr>
      <vt:lpstr>First_Page!OLE_LINK5</vt:lpstr>
      <vt:lpstr>PT_Matrix!Print_Area</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czl9q0</dc:creator>
  <cp:lastModifiedBy>张 振波</cp:lastModifiedBy>
  <cp:lastPrinted>2017-04-10T02:40:06Z</cp:lastPrinted>
  <dcterms:created xsi:type="dcterms:W3CDTF">2009-12-02T06:37:23Z</dcterms:created>
  <dcterms:modified xsi:type="dcterms:W3CDTF">2021-01-09T10:56:48Z</dcterms:modified>
</cp:coreProperties>
</file>